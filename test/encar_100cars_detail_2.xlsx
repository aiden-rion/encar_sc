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aiden/work/encar_data/"/>
    </mc:Choice>
  </mc:AlternateContent>
  <xr:revisionPtr revIDLastSave="0" documentId="13_ncr:1_{80EAEDC7-CAF5-2F40-B1CF-778DCDE6A9B7}" xr6:coauthVersionLast="47" xr6:coauthVersionMax="47" xr10:uidLastSave="{00000000-0000-0000-0000-000000000000}"/>
  <bookViews>
    <workbookView xWindow="0" yWindow="860" windowWidth="34200" windowHeight="20500" xr2:uid="{00000000-000D-0000-FFFF-FFFF00000000}"/>
  </bookViews>
  <sheets>
    <sheet name="목록 최종정리" sheetId="9" r:id="rId1"/>
    <sheet name="list_100" sheetId="2" r:id="rId2"/>
    <sheet name="vehicle_detail" sheetId="3" r:id="rId3"/>
    <sheet name="inspection_detail_raw" sheetId="4" r:id="rId4"/>
    <sheet name="seller_user" sheetId="5" r:id="rId5"/>
    <sheet name="inspection_items" sheetId="6" r:id="rId6"/>
    <sheet name="성능점검 이미지정보" sheetId="7" r:id="rId7"/>
    <sheet name="inspection_etc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9" l="1"/>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J74" i="9"/>
  <c r="J75" i="9"/>
  <c r="J76" i="9"/>
  <c r="J77" i="9"/>
  <c r="J78" i="9"/>
  <c r="J79" i="9"/>
  <c r="J80" i="9"/>
  <c r="J81" i="9"/>
  <c r="J82" i="9"/>
  <c r="J83" i="9"/>
  <c r="J84" i="9"/>
  <c r="J85" i="9"/>
  <c r="J86" i="9"/>
  <c r="J87" i="9"/>
  <c r="J88" i="9"/>
  <c r="J89" i="9"/>
  <c r="J90" i="9"/>
  <c r="J91" i="9"/>
  <c r="J92" i="9"/>
  <c r="J93" i="9"/>
  <c r="J94" i="9"/>
  <c r="J95" i="9"/>
  <c r="J96" i="9"/>
  <c r="J97" i="9"/>
  <c r="J98" i="9"/>
  <c r="J99" i="9"/>
  <c r="J100" i="9"/>
  <c r="J101" i="9"/>
  <c r="J2" i="9"/>
  <c r="Z3" i="9"/>
  <c r="Z4" i="9"/>
  <c r="Z5" i="9"/>
  <c r="Z6" i="9"/>
  <c r="Z7" i="9"/>
  <c r="Z8" i="9"/>
  <c r="Z9" i="9"/>
  <c r="Z10" i="9"/>
  <c r="Z11" i="9"/>
  <c r="Z12" i="9"/>
  <c r="Z13" i="9"/>
  <c r="Z14" i="9"/>
  <c r="Z15" i="9"/>
  <c r="Z16" i="9"/>
  <c r="Z17" i="9"/>
  <c r="Z18" i="9"/>
  <c r="Z19" i="9"/>
  <c r="Z20" i="9"/>
  <c r="Z21" i="9"/>
  <c r="Z22" i="9"/>
  <c r="Z23" i="9"/>
  <c r="Z24" i="9"/>
  <c r="Z25" i="9"/>
  <c r="Z26" i="9"/>
  <c r="Z27" i="9"/>
  <c r="Z28" i="9"/>
  <c r="Z29" i="9"/>
  <c r="Z30" i="9"/>
  <c r="Z31" i="9"/>
  <c r="Z32" i="9"/>
  <c r="Z33" i="9"/>
  <c r="Z34" i="9"/>
  <c r="Z35" i="9"/>
  <c r="Z36" i="9"/>
  <c r="Z37" i="9"/>
  <c r="Z38" i="9"/>
  <c r="Z39" i="9"/>
  <c r="Z40" i="9"/>
  <c r="Z41" i="9"/>
  <c r="Z42" i="9"/>
  <c r="Z43" i="9"/>
  <c r="Z44" i="9"/>
  <c r="Z45" i="9"/>
  <c r="Z46" i="9"/>
  <c r="Z47" i="9"/>
  <c r="Z48" i="9"/>
  <c r="Z49" i="9"/>
  <c r="Z50" i="9"/>
  <c r="Z51" i="9"/>
  <c r="Z52" i="9"/>
  <c r="Z53" i="9"/>
  <c r="Z54" i="9"/>
  <c r="Z55" i="9"/>
  <c r="Z56" i="9"/>
  <c r="Z57" i="9"/>
  <c r="Z58" i="9"/>
  <c r="Z59" i="9"/>
  <c r="Z60" i="9"/>
  <c r="Z61" i="9"/>
  <c r="Z62" i="9"/>
  <c r="Z63" i="9"/>
  <c r="Z64" i="9"/>
  <c r="Z65" i="9"/>
  <c r="Z66" i="9"/>
  <c r="Z67" i="9"/>
  <c r="Z68" i="9"/>
  <c r="Z69" i="9"/>
  <c r="Z70" i="9"/>
  <c r="Z71" i="9"/>
  <c r="Z72" i="9"/>
  <c r="Z73" i="9"/>
  <c r="Z74" i="9"/>
  <c r="Z75" i="9"/>
  <c r="Z76" i="9"/>
  <c r="Z77" i="9"/>
  <c r="Z78" i="9"/>
  <c r="Z79" i="9"/>
  <c r="Z80" i="9"/>
  <c r="Z81" i="9"/>
  <c r="Z82" i="9"/>
  <c r="Z83" i="9"/>
  <c r="Z84" i="9"/>
  <c r="Z85" i="9"/>
  <c r="Z86" i="9"/>
  <c r="Z87" i="9"/>
  <c r="Z88" i="9"/>
  <c r="Z89" i="9"/>
  <c r="Z90" i="9"/>
  <c r="Z91" i="9"/>
  <c r="Z92" i="9"/>
  <c r="Z93" i="9"/>
  <c r="Z94" i="9"/>
  <c r="Z95" i="9"/>
  <c r="Z96" i="9"/>
  <c r="Z97" i="9"/>
  <c r="Z98" i="9"/>
  <c r="Z99" i="9"/>
  <c r="Z100" i="9"/>
  <c r="Z101" i="9"/>
  <c r="Z2" i="9"/>
  <c r="B3" i="9"/>
  <c r="C3" i="9"/>
  <c r="B4" i="9"/>
  <c r="C4" i="9"/>
  <c r="B5" i="9"/>
  <c r="C5" i="9"/>
  <c r="B6" i="9"/>
  <c r="C6" i="9"/>
  <c r="B7" i="9"/>
  <c r="C7" i="9"/>
  <c r="B8" i="9"/>
  <c r="C8" i="9"/>
  <c r="B9" i="9"/>
  <c r="C9" i="9"/>
  <c r="B10" i="9"/>
  <c r="C10" i="9"/>
  <c r="B11" i="9"/>
  <c r="C11" i="9"/>
  <c r="B12" i="9"/>
  <c r="C12" i="9"/>
  <c r="B13" i="9"/>
  <c r="C13" i="9"/>
  <c r="B14" i="9"/>
  <c r="C14" i="9"/>
  <c r="B15" i="9"/>
  <c r="C15" i="9"/>
  <c r="B16" i="9"/>
  <c r="C16" i="9"/>
  <c r="B17" i="9"/>
  <c r="C17" i="9"/>
  <c r="B18" i="9"/>
  <c r="C18" i="9"/>
  <c r="B19" i="9"/>
  <c r="C19" i="9"/>
  <c r="B20" i="9"/>
  <c r="C20" i="9"/>
  <c r="B21" i="9"/>
  <c r="C21" i="9"/>
  <c r="B22" i="9"/>
  <c r="C22" i="9"/>
  <c r="B23" i="9"/>
  <c r="C23" i="9"/>
  <c r="B24" i="9"/>
  <c r="C24" i="9"/>
  <c r="B25" i="9"/>
  <c r="C25" i="9"/>
  <c r="B26" i="9"/>
  <c r="C26" i="9"/>
  <c r="B27" i="9"/>
  <c r="C27" i="9"/>
  <c r="B28" i="9"/>
  <c r="C28" i="9"/>
  <c r="B29" i="9"/>
  <c r="C29" i="9"/>
  <c r="B30" i="9"/>
  <c r="C30" i="9"/>
  <c r="B31" i="9"/>
  <c r="C31" i="9"/>
  <c r="B32" i="9"/>
  <c r="C32" i="9"/>
  <c r="B33" i="9"/>
  <c r="C33" i="9"/>
  <c r="B34" i="9"/>
  <c r="C34" i="9"/>
  <c r="B35" i="9"/>
  <c r="C35" i="9"/>
  <c r="B36" i="9"/>
  <c r="C36" i="9"/>
  <c r="B37" i="9"/>
  <c r="C37" i="9"/>
  <c r="B38" i="9"/>
  <c r="C38" i="9"/>
  <c r="B39" i="9"/>
  <c r="C39" i="9"/>
  <c r="B40" i="9"/>
  <c r="C40" i="9"/>
  <c r="B41" i="9"/>
  <c r="C41" i="9"/>
  <c r="B42" i="9"/>
  <c r="C42" i="9"/>
  <c r="B43" i="9"/>
  <c r="C43" i="9"/>
  <c r="B44" i="9"/>
  <c r="C44" i="9"/>
  <c r="B45" i="9"/>
  <c r="C45" i="9"/>
  <c r="B46" i="9"/>
  <c r="C46" i="9"/>
  <c r="B47" i="9"/>
  <c r="C47" i="9"/>
  <c r="B48" i="9"/>
  <c r="C48" i="9"/>
  <c r="B49" i="9"/>
  <c r="C49" i="9"/>
  <c r="B50" i="9"/>
  <c r="C50" i="9"/>
  <c r="B51" i="9"/>
  <c r="C51" i="9"/>
  <c r="B52" i="9"/>
  <c r="C52" i="9"/>
  <c r="B53" i="9"/>
  <c r="C53" i="9"/>
  <c r="B54" i="9"/>
  <c r="C54" i="9"/>
  <c r="B55" i="9"/>
  <c r="C55" i="9"/>
  <c r="B56" i="9"/>
  <c r="C56" i="9"/>
  <c r="B57" i="9"/>
  <c r="C57" i="9"/>
  <c r="B58" i="9"/>
  <c r="C58" i="9"/>
  <c r="B59" i="9"/>
  <c r="C59" i="9"/>
  <c r="B60" i="9"/>
  <c r="C60" i="9"/>
  <c r="B61" i="9"/>
  <c r="C61" i="9"/>
  <c r="B62" i="9"/>
  <c r="C62" i="9"/>
  <c r="B63" i="9"/>
  <c r="C63" i="9"/>
  <c r="B64" i="9"/>
  <c r="C64" i="9"/>
  <c r="B65" i="9"/>
  <c r="C65" i="9"/>
  <c r="B66" i="9"/>
  <c r="C66" i="9"/>
  <c r="B67" i="9"/>
  <c r="C67" i="9"/>
  <c r="B68" i="9"/>
  <c r="C68" i="9"/>
  <c r="B69" i="9"/>
  <c r="C69" i="9"/>
  <c r="B70" i="9"/>
  <c r="C70" i="9"/>
  <c r="B71" i="9"/>
  <c r="C71" i="9"/>
  <c r="B72" i="9"/>
  <c r="C72" i="9"/>
  <c r="B73" i="9"/>
  <c r="C73" i="9"/>
  <c r="B74" i="9"/>
  <c r="C74" i="9"/>
  <c r="B75" i="9"/>
  <c r="C75" i="9"/>
  <c r="B76" i="9"/>
  <c r="C76" i="9"/>
  <c r="B77" i="9"/>
  <c r="C77" i="9"/>
  <c r="B78" i="9"/>
  <c r="C78" i="9"/>
  <c r="B79" i="9"/>
  <c r="C79" i="9"/>
  <c r="B80" i="9"/>
  <c r="C80" i="9"/>
  <c r="B81" i="9"/>
  <c r="C81" i="9"/>
  <c r="B82" i="9"/>
  <c r="C82" i="9"/>
  <c r="B83" i="9"/>
  <c r="C83" i="9"/>
  <c r="B84" i="9"/>
  <c r="C84" i="9"/>
  <c r="B85" i="9"/>
  <c r="C85" i="9"/>
  <c r="B86" i="9"/>
  <c r="C86" i="9"/>
  <c r="B87" i="9"/>
  <c r="C87" i="9"/>
  <c r="B88" i="9"/>
  <c r="C88" i="9"/>
  <c r="B89" i="9"/>
  <c r="C89" i="9"/>
  <c r="B90" i="9"/>
  <c r="C90" i="9"/>
  <c r="B91" i="9"/>
  <c r="C91" i="9"/>
  <c r="B92" i="9"/>
  <c r="C92" i="9"/>
  <c r="B93" i="9"/>
  <c r="C93" i="9"/>
  <c r="B94" i="9"/>
  <c r="C94" i="9"/>
  <c r="B95" i="9"/>
  <c r="C95" i="9"/>
  <c r="B96" i="9"/>
  <c r="C96" i="9"/>
  <c r="B97" i="9"/>
  <c r="C97" i="9"/>
  <c r="B98" i="9"/>
  <c r="C98" i="9"/>
  <c r="B99" i="9"/>
  <c r="C99" i="9"/>
  <c r="B100" i="9"/>
  <c r="C100" i="9"/>
  <c r="B101" i="9"/>
  <c r="C101" i="9"/>
  <c r="C2" i="9"/>
  <c r="B2" i="9"/>
  <c r="Y3" i="9"/>
  <c r="Y4" i="9"/>
  <c r="Y5" i="9"/>
  <c r="Y6" i="9"/>
  <c r="Y7" i="9"/>
  <c r="Y8" i="9"/>
  <c r="Y9" i="9"/>
  <c r="Y10" i="9"/>
  <c r="Y11" i="9"/>
  <c r="Y12" i="9"/>
  <c r="Y13" i="9"/>
  <c r="Y14" i="9"/>
  <c r="Y15" i="9"/>
  <c r="Y16" i="9"/>
  <c r="Y17" i="9"/>
  <c r="Y18" i="9"/>
  <c r="Y19" i="9"/>
  <c r="Y20" i="9"/>
  <c r="Y21" i="9"/>
  <c r="Y22" i="9"/>
  <c r="Y23" i="9"/>
  <c r="Y24" i="9"/>
  <c r="Y25" i="9"/>
  <c r="Y26" i="9"/>
  <c r="Y27" i="9"/>
  <c r="Y28" i="9"/>
  <c r="Y29" i="9"/>
  <c r="Y30" i="9"/>
  <c r="Y31" i="9"/>
  <c r="Y32" i="9"/>
  <c r="Y33" i="9"/>
  <c r="Y34" i="9"/>
  <c r="Y35" i="9"/>
  <c r="Y36" i="9"/>
  <c r="Y37" i="9"/>
  <c r="Y38" i="9"/>
  <c r="Y39" i="9"/>
  <c r="Y40" i="9"/>
  <c r="Y41" i="9"/>
  <c r="Y42" i="9"/>
  <c r="Y43" i="9"/>
  <c r="Y44" i="9"/>
  <c r="Y45" i="9"/>
  <c r="Y46" i="9"/>
  <c r="Y47" i="9"/>
  <c r="Y48" i="9"/>
  <c r="Y49" i="9"/>
  <c r="Y50" i="9"/>
  <c r="Y51" i="9"/>
  <c r="Y52" i="9"/>
  <c r="Y53" i="9"/>
  <c r="Y54" i="9"/>
  <c r="Y55" i="9"/>
  <c r="Y56" i="9"/>
  <c r="Y57" i="9"/>
  <c r="Y58" i="9"/>
  <c r="Y59" i="9"/>
  <c r="Y60" i="9"/>
  <c r="Y61" i="9"/>
  <c r="Y62" i="9"/>
  <c r="Y63" i="9"/>
  <c r="Y64" i="9"/>
  <c r="Y65" i="9"/>
  <c r="Y66" i="9"/>
  <c r="Y67" i="9"/>
  <c r="Y68" i="9"/>
  <c r="Y69" i="9"/>
  <c r="Y70" i="9"/>
  <c r="Y71" i="9"/>
  <c r="Y72" i="9"/>
  <c r="Y73" i="9"/>
  <c r="Y74" i="9"/>
  <c r="Y75" i="9"/>
  <c r="Y76" i="9"/>
  <c r="Y77" i="9"/>
  <c r="Y78" i="9"/>
  <c r="Y79" i="9"/>
  <c r="Y80" i="9"/>
  <c r="Y81" i="9"/>
  <c r="Y82" i="9"/>
  <c r="Y83" i="9"/>
  <c r="Y84" i="9"/>
  <c r="Y85" i="9"/>
  <c r="Y86" i="9"/>
  <c r="Y87" i="9"/>
  <c r="Y88" i="9"/>
  <c r="Y89" i="9"/>
  <c r="Y90" i="9"/>
  <c r="Y91" i="9"/>
  <c r="Y92" i="9"/>
  <c r="Y93" i="9"/>
  <c r="Y94" i="9"/>
  <c r="Y95" i="9"/>
  <c r="Y96" i="9"/>
  <c r="Y97" i="9"/>
  <c r="Y98" i="9"/>
  <c r="Y99" i="9"/>
  <c r="Y100" i="9"/>
  <c r="Y101" i="9"/>
  <c r="Y2" i="9"/>
  <c r="D30" i="9"/>
  <c r="E30" i="9"/>
  <c r="F30" i="9"/>
  <c r="G30" i="9"/>
  <c r="H30" i="9"/>
  <c r="I30" i="9"/>
  <c r="K30" i="9"/>
  <c r="L30" i="9"/>
  <c r="M30" i="9"/>
  <c r="N30" i="9"/>
  <c r="O30" i="9"/>
  <c r="P30" i="9"/>
  <c r="Q30" i="9"/>
  <c r="R30" i="9"/>
  <c r="S30" i="9"/>
  <c r="T30" i="9"/>
  <c r="U30" i="9"/>
  <c r="V30" i="9"/>
  <c r="W30" i="9"/>
  <c r="X30" i="9"/>
  <c r="D31" i="9"/>
  <c r="E31" i="9"/>
  <c r="F31" i="9"/>
  <c r="G31" i="9"/>
  <c r="H31" i="9"/>
  <c r="I31" i="9"/>
  <c r="K31" i="9"/>
  <c r="L31" i="9"/>
  <c r="M31" i="9"/>
  <c r="N31" i="9"/>
  <c r="O31" i="9"/>
  <c r="P31" i="9"/>
  <c r="Q31" i="9"/>
  <c r="R31" i="9"/>
  <c r="S31" i="9"/>
  <c r="T31" i="9"/>
  <c r="U31" i="9"/>
  <c r="V31" i="9"/>
  <c r="W31" i="9"/>
  <c r="X31" i="9"/>
  <c r="D32" i="9"/>
  <c r="E32" i="9"/>
  <c r="F32" i="9"/>
  <c r="G32" i="9"/>
  <c r="H32" i="9"/>
  <c r="I32" i="9"/>
  <c r="K32" i="9"/>
  <c r="L32" i="9"/>
  <c r="M32" i="9"/>
  <c r="N32" i="9"/>
  <c r="O32" i="9"/>
  <c r="P32" i="9"/>
  <c r="Q32" i="9"/>
  <c r="R32" i="9"/>
  <c r="S32" i="9"/>
  <c r="T32" i="9"/>
  <c r="U32" i="9"/>
  <c r="V32" i="9"/>
  <c r="W32" i="9"/>
  <c r="X32" i="9"/>
  <c r="D33" i="9"/>
  <c r="E33" i="9"/>
  <c r="F33" i="9"/>
  <c r="G33" i="9"/>
  <c r="H33" i="9"/>
  <c r="I33" i="9"/>
  <c r="K33" i="9"/>
  <c r="L33" i="9"/>
  <c r="M33" i="9"/>
  <c r="N33" i="9"/>
  <c r="O33" i="9"/>
  <c r="P33" i="9"/>
  <c r="Q33" i="9"/>
  <c r="R33" i="9"/>
  <c r="S33" i="9"/>
  <c r="T33" i="9"/>
  <c r="U33" i="9"/>
  <c r="V33" i="9"/>
  <c r="W33" i="9"/>
  <c r="X33" i="9"/>
  <c r="D34" i="9"/>
  <c r="E34" i="9"/>
  <c r="F34" i="9"/>
  <c r="G34" i="9"/>
  <c r="H34" i="9"/>
  <c r="I34" i="9"/>
  <c r="K34" i="9"/>
  <c r="L34" i="9"/>
  <c r="M34" i="9"/>
  <c r="N34" i="9"/>
  <c r="O34" i="9"/>
  <c r="P34" i="9"/>
  <c r="Q34" i="9"/>
  <c r="R34" i="9"/>
  <c r="S34" i="9"/>
  <c r="T34" i="9"/>
  <c r="U34" i="9"/>
  <c r="V34" i="9"/>
  <c r="W34" i="9"/>
  <c r="X34" i="9"/>
  <c r="D35" i="9"/>
  <c r="E35" i="9"/>
  <c r="F35" i="9"/>
  <c r="G35" i="9"/>
  <c r="H35" i="9"/>
  <c r="I35" i="9"/>
  <c r="K35" i="9"/>
  <c r="L35" i="9"/>
  <c r="M35" i="9"/>
  <c r="N35" i="9"/>
  <c r="O35" i="9"/>
  <c r="P35" i="9"/>
  <c r="Q35" i="9"/>
  <c r="R35" i="9"/>
  <c r="S35" i="9"/>
  <c r="T35" i="9"/>
  <c r="U35" i="9"/>
  <c r="V35" i="9"/>
  <c r="W35" i="9"/>
  <c r="X35" i="9"/>
  <c r="D36" i="9"/>
  <c r="E36" i="9"/>
  <c r="F36" i="9"/>
  <c r="G36" i="9"/>
  <c r="H36" i="9"/>
  <c r="I36" i="9"/>
  <c r="K36" i="9"/>
  <c r="L36" i="9"/>
  <c r="M36" i="9"/>
  <c r="N36" i="9"/>
  <c r="O36" i="9"/>
  <c r="P36" i="9"/>
  <c r="Q36" i="9"/>
  <c r="R36" i="9"/>
  <c r="S36" i="9"/>
  <c r="T36" i="9"/>
  <c r="U36" i="9"/>
  <c r="V36" i="9"/>
  <c r="W36" i="9"/>
  <c r="X36" i="9"/>
  <c r="D37" i="9"/>
  <c r="E37" i="9"/>
  <c r="F37" i="9"/>
  <c r="G37" i="9"/>
  <c r="H37" i="9"/>
  <c r="I37" i="9"/>
  <c r="K37" i="9"/>
  <c r="L37" i="9"/>
  <c r="M37" i="9"/>
  <c r="N37" i="9"/>
  <c r="O37" i="9"/>
  <c r="P37" i="9"/>
  <c r="Q37" i="9"/>
  <c r="R37" i="9"/>
  <c r="S37" i="9"/>
  <c r="T37" i="9"/>
  <c r="U37" i="9"/>
  <c r="V37" i="9"/>
  <c r="W37" i="9"/>
  <c r="X37" i="9"/>
  <c r="D38" i="9"/>
  <c r="E38" i="9"/>
  <c r="F38" i="9"/>
  <c r="G38" i="9"/>
  <c r="H38" i="9"/>
  <c r="I38" i="9"/>
  <c r="K38" i="9"/>
  <c r="L38" i="9"/>
  <c r="M38" i="9"/>
  <c r="N38" i="9"/>
  <c r="O38" i="9"/>
  <c r="P38" i="9"/>
  <c r="Q38" i="9"/>
  <c r="R38" i="9"/>
  <c r="S38" i="9"/>
  <c r="T38" i="9"/>
  <c r="U38" i="9"/>
  <c r="V38" i="9"/>
  <c r="W38" i="9"/>
  <c r="X38" i="9"/>
  <c r="D39" i="9"/>
  <c r="E39" i="9"/>
  <c r="F39" i="9"/>
  <c r="G39" i="9"/>
  <c r="H39" i="9"/>
  <c r="I39" i="9"/>
  <c r="K39" i="9"/>
  <c r="L39" i="9"/>
  <c r="M39" i="9"/>
  <c r="N39" i="9"/>
  <c r="O39" i="9"/>
  <c r="P39" i="9"/>
  <c r="Q39" i="9"/>
  <c r="R39" i="9"/>
  <c r="S39" i="9"/>
  <c r="T39" i="9"/>
  <c r="U39" i="9"/>
  <c r="V39" i="9"/>
  <c r="W39" i="9"/>
  <c r="X39" i="9"/>
  <c r="D40" i="9"/>
  <c r="E40" i="9"/>
  <c r="F40" i="9"/>
  <c r="G40" i="9"/>
  <c r="H40" i="9"/>
  <c r="I40" i="9"/>
  <c r="K40" i="9"/>
  <c r="L40" i="9"/>
  <c r="M40" i="9"/>
  <c r="N40" i="9"/>
  <c r="O40" i="9"/>
  <c r="P40" i="9"/>
  <c r="Q40" i="9"/>
  <c r="R40" i="9"/>
  <c r="S40" i="9"/>
  <c r="T40" i="9"/>
  <c r="U40" i="9"/>
  <c r="V40" i="9"/>
  <c r="W40" i="9"/>
  <c r="X40" i="9"/>
  <c r="D41" i="9"/>
  <c r="E41" i="9"/>
  <c r="F41" i="9"/>
  <c r="G41" i="9"/>
  <c r="H41" i="9"/>
  <c r="I41" i="9"/>
  <c r="K41" i="9"/>
  <c r="L41" i="9"/>
  <c r="M41" i="9"/>
  <c r="N41" i="9"/>
  <c r="O41" i="9"/>
  <c r="P41" i="9"/>
  <c r="Q41" i="9"/>
  <c r="R41" i="9"/>
  <c r="S41" i="9"/>
  <c r="T41" i="9"/>
  <c r="U41" i="9"/>
  <c r="V41" i="9"/>
  <c r="W41" i="9"/>
  <c r="X41" i="9"/>
  <c r="D42" i="9"/>
  <c r="E42" i="9"/>
  <c r="F42" i="9"/>
  <c r="G42" i="9"/>
  <c r="H42" i="9"/>
  <c r="I42" i="9"/>
  <c r="K42" i="9"/>
  <c r="L42" i="9"/>
  <c r="M42" i="9"/>
  <c r="N42" i="9"/>
  <c r="O42" i="9"/>
  <c r="P42" i="9"/>
  <c r="Q42" i="9"/>
  <c r="R42" i="9"/>
  <c r="S42" i="9"/>
  <c r="T42" i="9"/>
  <c r="U42" i="9"/>
  <c r="V42" i="9"/>
  <c r="W42" i="9"/>
  <c r="X42" i="9"/>
  <c r="D43" i="9"/>
  <c r="E43" i="9"/>
  <c r="F43" i="9"/>
  <c r="G43" i="9"/>
  <c r="H43" i="9"/>
  <c r="I43" i="9"/>
  <c r="K43" i="9"/>
  <c r="L43" i="9"/>
  <c r="M43" i="9"/>
  <c r="N43" i="9"/>
  <c r="O43" i="9"/>
  <c r="P43" i="9"/>
  <c r="Q43" i="9"/>
  <c r="R43" i="9"/>
  <c r="S43" i="9"/>
  <c r="T43" i="9"/>
  <c r="U43" i="9"/>
  <c r="V43" i="9"/>
  <c r="W43" i="9"/>
  <c r="X43" i="9"/>
  <c r="D44" i="9"/>
  <c r="E44" i="9"/>
  <c r="F44" i="9"/>
  <c r="G44" i="9"/>
  <c r="H44" i="9"/>
  <c r="I44" i="9"/>
  <c r="K44" i="9"/>
  <c r="L44" i="9"/>
  <c r="M44" i="9"/>
  <c r="N44" i="9"/>
  <c r="O44" i="9"/>
  <c r="P44" i="9"/>
  <c r="Q44" i="9"/>
  <c r="R44" i="9"/>
  <c r="S44" i="9"/>
  <c r="T44" i="9"/>
  <c r="U44" i="9"/>
  <c r="V44" i="9"/>
  <c r="W44" i="9"/>
  <c r="X44" i="9"/>
  <c r="D45" i="9"/>
  <c r="E45" i="9"/>
  <c r="F45" i="9"/>
  <c r="G45" i="9"/>
  <c r="H45" i="9"/>
  <c r="I45" i="9"/>
  <c r="K45" i="9"/>
  <c r="L45" i="9"/>
  <c r="M45" i="9"/>
  <c r="N45" i="9"/>
  <c r="O45" i="9"/>
  <c r="P45" i="9"/>
  <c r="Q45" i="9"/>
  <c r="R45" i="9"/>
  <c r="S45" i="9"/>
  <c r="T45" i="9"/>
  <c r="U45" i="9"/>
  <c r="V45" i="9"/>
  <c r="W45" i="9"/>
  <c r="X45" i="9"/>
  <c r="D46" i="9"/>
  <c r="E46" i="9"/>
  <c r="F46" i="9"/>
  <c r="G46" i="9"/>
  <c r="H46" i="9"/>
  <c r="I46" i="9"/>
  <c r="K46" i="9"/>
  <c r="L46" i="9"/>
  <c r="M46" i="9"/>
  <c r="N46" i="9"/>
  <c r="O46" i="9"/>
  <c r="P46" i="9"/>
  <c r="Q46" i="9"/>
  <c r="R46" i="9"/>
  <c r="S46" i="9"/>
  <c r="T46" i="9"/>
  <c r="U46" i="9"/>
  <c r="V46" i="9"/>
  <c r="W46" i="9"/>
  <c r="X46" i="9"/>
  <c r="D47" i="9"/>
  <c r="E47" i="9"/>
  <c r="F47" i="9"/>
  <c r="G47" i="9"/>
  <c r="H47" i="9"/>
  <c r="I47" i="9"/>
  <c r="K47" i="9"/>
  <c r="L47" i="9"/>
  <c r="M47" i="9"/>
  <c r="N47" i="9"/>
  <c r="O47" i="9"/>
  <c r="P47" i="9"/>
  <c r="Q47" i="9"/>
  <c r="R47" i="9"/>
  <c r="S47" i="9"/>
  <c r="T47" i="9"/>
  <c r="U47" i="9"/>
  <c r="V47" i="9"/>
  <c r="W47" i="9"/>
  <c r="X47" i="9"/>
  <c r="D48" i="9"/>
  <c r="E48" i="9"/>
  <c r="F48" i="9"/>
  <c r="G48" i="9"/>
  <c r="H48" i="9"/>
  <c r="I48" i="9"/>
  <c r="K48" i="9"/>
  <c r="L48" i="9"/>
  <c r="M48" i="9"/>
  <c r="N48" i="9"/>
  <c r="O48" i="9"/>
  <c r="P48" i="9"/>
  <c r="Q48" i="9"/>
  <c r="R48" i="9"/>
  <c r="S48" i="9"/>
  <c r="T48" i="9"/>
  <c r="U48" i="9"/>
  <c r="V48" i="9"/>
  <c r="W48" i="9"/>
  <c r="X48" i="9"/>
  <c r="D49" i="9"/>
  <c r="E49" i="9"/>
  <c r="F49" i="9"/>
  <c r="G49" i="9"/>
  <c r="H49" i="9"/>
  <c r="I49" i="9"/>
  <c r="K49" i="9"/>
  <c r="L49" i="9"/>
  <c r="M49" i="9"/>
  <c r="N49" i="9"/>
  <c r="O49" i="9"/>
  <c r="P49" i="9"/>
  <c r="Q49" i="9"/>
  <c r="R49" i="9"/>
  <c r="S49" i="9"/>
  <c r="T49" i="9"/>
  <c r="U49" i="9"/>
  <c r="V49" i="9"/>
  <c r="W49" i="9"/>
  <c r="X49" i="9"/>
  <c r="D50" i="9"/>
  <c r="E50" i="9"/>
  <c r="F50" i="9"/>
  <c r="G50" i="9"/>
  <c r="H50" i="9"/>
  <c r="I50" i="9"/>
  <c r="K50" i="9"/>
  <c r="L50" i="9"/>
  <c r="M50" i="9"/>
  <c r="N50" i="9"/>
  <c r="O50" i="9"/>
  <c r="P50" i="9"/>
  <c r="Q50" i="9"/>
  <c r="R50" i="9"/>
  <c r="S50" i="9"/>
  <c r="T50" i="9"/>
  <c r="U50" i="9"/>
  <c r="V50" i="9"/>
  <c r="W50" i="9"/>
  <c r="X50" i="9"/>
  <c r="D51" i="9"/>
  <c r="E51" i="9"/>
  <c r="F51" i="9"/>
  <c r="G51" i="9"/>
  <c r="H51" i="9"/>
  <c r="I51" i="9"/>
  <c r="K51" i="9"/>
  <c r="L51" i="9"/>
  <c r="M51" i="9"/>
  <c r="N51" i="9"/>
  <c r="O51" i="9"/>
  <c r="P51" i="9"/>
  <c r="Q51" i="9"/>
  <c r="R51" i="9"/>
  <c r="S51" i="9"/>
  <c r="T51" i="9"/>
  <c r="U51" i="9"/>
  <c r="V51" i="9"/>
  <c r="W51" i="9"/>
  <c r="X51" i="9"/>
  <c r="D52" i="9"/>
  <c r="E52" i="9"/>
  <c r="F52" i="9"/>
  <c r="G52" i="9"/>
  <c r="H52" i="9"/>
  <c r="I52" i="9"/>
  <c r="K52" i="9"/>
  <c r="L52" i="9"/>
  <c r="M52" i="9"/>
  <c r="N52" i="9"/>
  <c r="O52" i="9"/>
  <c r="P52" i="9"/>
  <c r="Q52" i="9"/>
  <c r="R52" i="9"/>
  <c r="S52" i="9"/>
  <c r="T52" i="9"/>
  <c r="U52" i="9"/>
  <c r="V52" i="9"/>
  <c r="W52" i="9"/>
  <c r="X52" i="9"/>
  <c r="D53" i="9"/>
  <c r="E53" i="9"/>
  <c r="F53" i="9"/>
  <c r="G53" i="9"/>
  <c r="H53" i="9"/>
  <c r="I53" i="9"/>
  <c r="K53" i="9"/>
  <c r="L53" i="9"/>
  <c r="M53" i="9"/>
  <c r="N53" i="9"/>
  <c r="O53" i="9"/>
  <c r="P53" i="9"/>
  <c r="Q53" i="9"/>
  <c r="R53" i="9"/>
  <c r="S53" i="9"/>
  <c r="T53" i="9"/>
  <c r="U53" i="9"/>
  <c r="V53" i="9"/>
  <c r="W53" i="9"/>
  <c r="X53" i="9"/>
  <c r="D54" i="9"/>
  <c r="E54" i="9"/>
  <c r="F54" i="9"/>
  <c r="G54" i="9"/>
  <c r="H54" i="9"/>
  <c r="I54" i="9"/>
  <c r="K54" i="9"/>
  <c r="L54" i="9"/>
  <c r="M54" i="9"/>
  <c r="N54" i="9"/>
  <c r="O54" i="9"/>
  <c r="P54" i="9"/>
  <c r="Q54" i="9"/>
  <c r="R54" i="9"/>
  <c r="S54" i="9"/>
  <c r="T54" i="9"/>
  <c r="U54" i="9"/>
  <c r="V54" i="9"/>
  <c r="W54" i="9"/>
  <c r="X54" i="9"/>
  <c r="D55" i="9"/>
  <c r="E55" i="9"/>
  <c r="F55" i="9"/>
  <c r="G55" i="9"/>
  <c r="H55" i="9"/>
  <c r="I55" i="9"/>
  <c r="K55" i="9"/>
  <c r="L55" i="9"/>
  <c r="M55" i="9"/>
  <c r="N55" i="9"/>
  <c r="O55" i="9"/>
  <c r="P55" i="9"/>
  <c r="Q55" i="9"/>
  <c r="R55" i="9"/>
  <c r="S55" i="9"/>
  <c r="T55" i="9"/>
  <c r="U55" i="9"/>
  <c r="V55" i="9"/>
  <c r="W55" i="9"/>
  <c r="X55" i="9"/>
  <c r="D56" i="9"/>
  <c r="E56" i="9"/>
  <c r="F56" i="9"/>
  <c r="G56" i="9"/>
  <c r="H56" i="9"/>
  <c r="I56" i="9"/>
  <c r="K56" i="9"/>
  <c r="L56" i="9"/>
  <c r="M56" i="9"/>
  <c r="N56" i="9"/>
  <c r="O56" i="9"/>
  <c r="P56" i="9"/>
  <c r="Q56" i="9"/>
  <c r="R56" i="9"/>
  <c r="S56" i="9"/>
  <c r="T56" i="9"/>
  <c r="U56" i="9"/>
  <c r="V56" i="9"/>
  <c r="W56" i="9"/>
  <c r="X56" i="9"/>
  <c r="D57" i="9"/>
  <c r="E57" i="9"/>
  <c r="F57" i="9"/>
  <c r="G57" i="9"/>
  <c r="H57" i="9"/>
  <c r="I57" i="9"/>
  <c r="K57" i="9"/>
  <c r="L57" i="9"/>
  <c r="M57" i="9"/>
  <c r="N57" i="9"/>
  <c r="O57" i="9"/>
  <c r="P57" i="9"/>
  <c r="Q57" i="9"/>
  <c r="R57" i="9"/>
  <c r="S57" i="9"/>
  <c r="T57" i="9"/>
  <c r="U57" i="9"/>
  <c r="V57" i="9"/>
  <c r="W57" i="9"/>
  <c r="X57" i="9"/>
  <c r="D58" i="9"/>
  <c r="E58" i="9"/>
  <c r="F58" i="9"/>
  <c r="G58" i="9"/>
  <c r="H58" i="9"/>
  <c r="I58" i="9"/>
  <c r="K58" i="9"/>
  <c r="L58" i="9"/>
  <c r="M58" i="9"/>
  <c r="N58" i="9"/>
  <c r="O58" i="9"/>
  <c r="P58" i="9"/>
  <c r="Q58" i="9"/>
  <c r="R58" i="9"/>
  <c r="S58" i="9"/>
  <c r="T58" i="9"/>
  <c r="U58" i="9"/>
  <c r="V58" i="9"/>
  <c r="W58" i="9"/>
  <c r="X58" i="9"/>
  <c r="D59" i="9"/>
  <c r="E59" i="9"/>
  <c r="F59" i="9"/>
  <c r="G59" i="9"/>
  <c r="H59" i="9"/>
  <c r="I59" i="9"/>
  <c r="K59" i="9"/>
  <c r="L59" i="9"/>
  <c r="M59" i="9"/>
  <c r="N59" i="9"/>
  <c r="O59" i="9"/>
  <c r="P59" i="9"/>
  <c r="Q59" i="9"/>
  <c r="R59" i="9"/>
  <c r="S59" i="9"/>
  <c r="T59" i="9"/>
  <c r="U59" i="9"/>
  <c r="V59" i="9"/>
  <c r="W59" i="9"/>
  <c r="X59" i="9"/>
  <c r="D60" i="9"/>
  <c r="E60" i="9"/>
  <c r="F60" i="9"/>
  <c r="G60" i="9"/>
  <c r="H60" i="9"/>
  <c r="I60" i="9"/>
  <c r="K60" i="9"/>
  <c r="L60" i="9"/>
  <c r="M60" i="9"/>
  <c r="N60" i="9"/>
  <c r="O60" i="9"/>
  <c r="P60" i="9"/>
  <c r="Q60" i="9"/>
  <c r="R60" i="9"/>
  <c r="S60" i="9"/>
  <c r="T60" i="9"/>
  <c r="U60" i="9"/>
  <c r="V60" i="9"/>
  <c r="W60" i="9"/>
  <c r="X60" i="9"/>
  <c r="D61" i="9"/>
  <c r="E61" i="9"/>
  <c r="F61" i="9"/>
  <c r="G61" i="9"/>
  <c r="H61" i="9"/>
  <c r="I61" i="9"/>
  <c r="K61" i="9"/>
  <c r="L61" i="9"/>
  <c r="M61" i="9"/>
  <c r="N61" i="9"/>
  <c r="O61" i="9"/>
  <c r="P61" i="9"/>
  <c r="Q61" i="9"/>
  <c r="R61" i="9"/>
  <c r="S61" i="9"/>
  <c r="T61" i="9"/>
  <c r="U61" i="9"/>
  <c r="V61" i="9"/>
  <c r="W61" i="9"/>
  <c r="X61" i="9"/>
  <c r="D62" i="9"/>
  <c r="E62" i="9"/>
  <c r="F62" i="9"/>
  <c r="G62" i="9"/>
  <c r="H62" i="9"/>
  <c r="I62" i="9"/>
  <c r="K62" i="9"/>
  <c r="L62" i="9"/>
  <c r="M62" i="9"/>
  <c r="N62" i="9"/>
  <c r="O62" i="9"/>
  <c r="P62" i="9"/>
  <c r="Q62" i="9"/>
  <c r="R62" i="9"/>
  <c r="S62" i="9"/>
  <c r="T62" i="9"/>
  <c r="U62" i="9"/>
  <c r="V62" i="9"/>
  <c r="W62" i="9"/>
  <c r="X62" i="9"/>
  <c r="D63" i="9"/>
  <c r="E63" i="9"/>
  <c r="F63" i="9"/>
  <c r="G63" i="9"/>
  <c r="H63" i="9"/>
  <c r="I63" i="9"/>
  <c r="K63" i="9"/>
  <c r="L63" i="9"/>
  <c r="M63" i="9"/>
  <c r="N63" i="9"/>
  <c r="O63" i="9"/>
  <c r="P63" i="9"/>
  <c r="Q63" i="9"/>
  <c r="R63" i="9"/>
  <c r="S63" i="9"/>
  <c r="T63" i="9"/>
  <c r="U63" i="9"/>
  <c r="V63" i="9"/>
  <c r="W63" i="9"/>
  <c r="X63" i="9"/>
  <c r="D64" i="9"/>
  <c r="E64" i="9"/>
  <c r="F64" i="9"/>
  <c r="G64" i="9"/>
  <c r="H64" i="9"/>
  <c r="I64" i="9"/>
  <c r="K64" i="9"/>
  <c r="L64" i="9"/>
  <c r="M64" i="9"/>
  <c r="N64" i="9"/>
  <c r="O64" i="9"/>
  <c r="P64" i="9"/>
  <c r="Q64" i="9"/>
  <c r="R64" i="9"/>
  <c r="S64" i="9"/>
  <c r="T64" i="9"/>
  <c r="U64" i="9"/>
  <c r="V64" i="9"/>
  <c r="W64" i="9"/>
  <c r="X64" i="9"/>
  <c r="D65" i="9"/>
  <c r="E65" i="9"/>
  <c r="F65" i="9"/>
  <c r="G65" i="9"/>
  <c r="H65" i="9"/>
  <c r="I65" i="9"/>
  <c r="K65" i="9"/>
  <c r="L65" i="9"/>
  <c r="M65" i="9"/>
  <c r="N65" i="9"/>
  <c r="O65" i="9"/>
  <c r="P65" i="9"/>
  <c r="Q65" i="9"/>
  <c r="R65" i="9"/>
  <c r="S65" i="9"/>
  <c r="T65" i="9"/>
  <c r="U65" i="9"/>
  <c r="V65" i="9"/>
  <c r="W65" i="9"/>
  <c r="X65" i="9"/>
  <c r="D66" i="9"/>
  <c r="E66" i="9"/>
  <c r="F66" i="9"/>
  <c r="G66" i="9"/>
  <c r="H66" i="9"/>
  <c r="I66" i="9"/>
  <c r="K66" i="9"/>
  <c r="L66" i="9"/>
  <c r="M66" i="9"/>
  <c r="N66" i="9"/>
  <c r="O66" i="9"/>
  <c r="P66" i="9"/>
  <c r="Q66" i="9"/>
  <c r="R66" i="9"/>
  <c r="S66" i="9"/>
  <c r="T66" i="9"/>
  <c r="U66" i="9"/>
  <c r="V66" i="9"/>
  <c r="W66" i="9"/>
  <c r="X66" i="9"/>
  <c r="D67" i="9"/>
  <c r="E67" i="9"/>
  <c r="F67" i="9"/>
  <c r="G67" i="9"/>
  <c r="H67" i="9"/>
  <c r="I67" i="9"/>
  <c r="K67" i="9"/>
  <c r="L67" i="9"/>
  <c r="M67" i="9"/>
  <c r="N67" i="9"/>
  <c r="O67" i="9"/>
  <c r="P67" i="9"/>
  <c r="Q67" i="9"/>
  <c r="R67" i="9"/>
  <c r="S67" i="9"/>
  <c r="T67" i="9"/>
  <c r="U67" i="9"/>
  <c r="V67" i="9"/>
  <c r="W67" i="9"/>
  <c r="X67" i="9"/>
  <c r="D68" i="9"/>
  <c r="E68" i="9"/>
  <c r="F68" i="9"/>
  <c r="G68" i="9"/>
  <c r="H68" i="9"/>
  <c r="I68" i="9"/>
  <c r="K68" i="9"/>
  <c r="L68" i="9"/>
  <c r="M68" i="9"/>
  <c r="N68" i="9"/>
  <c r="O68" i="9"/>
  <c r="P68" i="9"/>
  <c r="Q68" i="9"/>
  <c r="R68" i="9"/>
  <c r="S68" i="9"/>
  <c r="T68" i="9"/>
  <c r="U68" i="9"/>
  <c r="V68" i="9"/>
  <c r="W68" i="9"/>
  <c r="X68" i="9"/>
  <c r="D69" i="9"/>
  <c r="E69" i="9"/>
  <c r="F69" i="9"/>
  <c r="G69" i="9"/>
  <c r="H69" i="9"/>
  <c r="I69" i="9"/>
  <c r="K69" i="9"/>
  <c r="L69" i="9"/>
  <c r="M69" i="9"/>
  <c r="N69" i="9"/>
  <c r="O69" i="9"/>
  <c r="P69" i="9"/>
  <c r="Q69" i="9"/>
  <c r="R69" i="9"/>
  <c r="S69" i="9"/>
  <c r="T69" i="9"/>
  <c r="U69" i="9"/>
  <c r="V69" i="9"/>
  <c r="W69" i="9"/>
  <c r="X69" i="9"/>
  <c r="D70" i="9"/>
  <c r="E70" i="9"/>
  <c r="F70" i="9"/>
  <c r="G70" i="9"/>
  <c r="H70" i="9"/>
  <c r="I70" i="9"/>
  <c r="K70" i="9"/>
  <c r="L70" i="9"/>
  <c r="M70" i="9"/>
  <c r="N70" i="9"/>
  <c r="O70" i="9"/>
  <c r="P70" i="9"/>
  <c r="Q70" i="9"/>
  <c r="R70" i="9"/>
  <c r="S70" i="9"/>
  <c r="T70" i="9"/>
  <c r="U70" i="9"/>
  <c r="V70" i="9"/>
  <c r="W70" i="9"/>
  <c r="X70" i="9"/>
  <c r="D71" i="9"/>
  <c r="E71" i="9"/>
  <c r="F71" i="9"/>
  <c r="G71" i="9"/>
  <c r="H71" i="9"/>
  <c r="I71" i="9"/>
  <c r="K71" i="9"/>
  <c r="L71" i="9"/>
  <c r="M71" i="9"/>
  <c r="N71" i="9"/>
  <c r="O71" i="9"/>
  <c r="P71" i="9"/>
  <c r="Q71" i="9"/>
  <c r="R71" i="9"/>
  <c r="S71" i="9"/>
  <c r="T71" i="9"/>
  <c r="U71" i="9"/>
  <c r="V71" i="9"/>
  <c r="W71" i="9"/>
  <c r="X71" i="9"/>
  <c r="D72" i="9"/>
  <c r="E72" i="9"/>
  <c r="F72" i="9"/>
  <c r="G72" i="9"/>
  <c r="H72" i="9"/>
  <c r="I72" i="9"/>
  <c r="K72" i="9"/>
  <c r="L72" i="9"/>
  <c r="M72" i="9"/>
  <c r="N72" i="9"/>
  <c r="O72" i="9"/>
  <c r="P72" i="9"/>
  <c r="Q72" i="9"/>
  <c r="R72" i="9"/>
  <c r="S72" i="9"/>
  <c r="T72" i="9"/>
  <c r="U72" i="9"/>
  <c r="V72" i="9"/>
  <c r="W72" i="9"/>
  <c r="X72" i="9"/>
  <c r="D73" i="9"/>
  <c r="E73" i="9"/>
  <c r="F73" i="9"/>
  <c r="G73" i="9"/>
  <c r="H73" i="9"/>
  <c r="I73" i="9"/>
  <c r="K73" i="9"/>
  <c r="L73" i="9"/>
  <c r="M73" i="9"/>
  <c r="N73" i="9"/>
  <c r="O73" i="9"/>
  <c r="P73" i="9"/>
  <c r="Q73" i="9"/>
  <c r="R73" i="9"/>
  <c r="S73" i="9"/>
  <c r="T73" i="9"/>
  <c r="U73" i="9"/>
  <c r="V73" i="9"/>
  <c r="W73" i="9"/>
  <c r="X73" i="9"/>
  <c r="D74" i="9"/>
  <c r="E74" i="9"/>
  <c r="F74" i="9"/>
  <c r="G74" i="9"/>
  <c r="H74" i="9"/>
  <c r="I74" i="9"/>
  <c r="K74" i="9"/>
  <c r="L74" i="9"/>
  <c r="M74" i="9"/>
  <c r="N74" i="9"/>
  <c r="O74" i="9"/>
  <c r="P74" i="9"/>
  <c r="Q74" i="9"/>
  <c r="R74" i="9"/>
  <c r="S74" i="9"/>
  <c r="T74" i="9"/>
  <c r="U74" i="9"/>
  <c r="V74" i="9"/>
  <c r="W74" i="9"/>
  <c r="X74" i="9"/>
  <c r="D75" i="9"/>
  <c r="E75" i="9"/>
  <c r="F75" i="9"/>
  <c r="G75" i="9"/>
  <c r="H75" i="9"/>
  <c r="I75" i="9"/>
  <c r="K75" i="9"/>
  <c r="L75" i="9"/>
  <c r="M75" i="9"/>
  <c r="N75" i="9"/>
  <c r="O75" i="9"/>
  <c r="P75" i="9"/>
  <c r="Q75" i="9"/>
  <c r="R75" i="9"/>
  <c r="S75" i="9"/>
  <c r="T75" i="9"/>
  <c r="U75" i="9"/>
  <c r="V75" i="9"/>
  <c r="W75" i="9"/>
  <c r="X75" i="9"/>
  <c r="D76" i="9"/>
  <c r="E76" i="9"/>
  <c r="F76" i="9"/>
  <c r="G76" i="9"/>
  <c r="H76" i="9"/>
  <c r="I76" i="9"/>
  <c r="K76" i="9"/>
  <c r="L76" i="9"/>
  <c r="M76" i="9"/>
  <c r="N76" i="9"/>
  <c r="O76" i="9"/>
  <c r="P76" i="9"/>
  <c r="Q76" i="9"/>
  <c r="R76" i="9"/>
  <c r="S76" i="9"/>
  <c r="T76" i="9"/>
  <c r="U76" i="9"/>
  <c r="V76" i="9"/>
  <c r="W76" i="9"/>
  <c r="X76" i="9"/>
  <c r="D77" i="9"/>
  <c r="E77" i="9"/>
  <c r="F77" i="9"/>
  <c r="G77" i="9"/>
  <c r="H77" i="9"/>
  <c r="I77" i="9"/>
  <c r="K77" i="9"/>
  <c r="L77" i="9"/>
  <c r="M77" i="9"/>
  <c r="N77" i="9"/>
  <c r="O77" i="9"/>
  <c r="P77" i="9"/>
  <c r="Q77" i="9"/>
  <c r="R77" i="9"/>
  <c r="S77" i="9"/>
  <c r="T77" i="9"/>
  <c r="U77" i="9"/>
  <c r="V77" i="9"/>
  <c r="W77" i="9"/>
  <c r="X77" i="9"/>
  <c r="D78" i="9"/>
  <c r="E78" i="9"/>
  <c r="F78" i="9"/>
  <c r="G78" i="9"/>
  <c r="H78" i="9"/>
  <c r="I78" i="9"/>
  <c r="K78" i="9"/>
  <c r="L78" i="9"/>
  <c r="M78" i="9"/>
  <c r="N78" i="9"/>
  <c r="O78" i="9"/>
  <c r="P78" i="9"/>
  <c r="Q78" i="9"/>
  <c r="R78" i="9"/>
  <c r="S78" i="9"/>
  <c r="T78" i="9"/>
  <c r="U78" i="9"/>
  <c r="V78" i="9"/>
  <c r="W78" i="9"/>
  <c r="X78" i="9"/>
  <c r="D79" i="9"/>
  <c r="E79" i="9"/>
  <c r="F79" i="9"/>
  <c r="G79" i="9"/>
  <c r="H79" i="9"/>
  <c r="I79" i="9"/>
  <c r="K79" i="9"/>
  <c r="L79" i="9"/>
  <c r="M79" i="9"/>
  <c r="N79" i="9"/>
  <c r="O79" i="9"/>
  <c r="P79" i="9"/>
  <c r="Q79" i="9"/>
  <c r="R79" i="9"/>
  <c r="S79" i="9"/>
  <c r="T79" i="9"/>
  <c r="U79" i="9"/>
  <c r="V79" i="9"/>
  <c r="W79" i="9"/>
  <c r="X79" i="9"/>
  <c r="D80" i="9"/>
  <c r="E80" i="9"/>
  <c r="F80" i="9"/>
  <c r="G80" i="9"/>
  <c r="H80" i="9"/>
  <c r="I80" i="9"/>
  <c r="K80" i="9"/>
  <c r="L80" i="9"/>
  <c r="M80" i="9"/>
  <c r="N80" i="9"/>
  <c r="O80" i="9"/>
  <c r="P80" i="9"/>
  <c r="Q80" i="9"/>
  <c r="R80" i="9"/>
  <c r="S80" i="9"/>
  <c r="T80" i="9"/>
  <c r="U80" i="9"/>
  <c r="V80" i="9"/>
  <c r="W80" i="9"/>
  <c r="X80" i="9"/>
  <c r="D81" i="9"/>
  <c r="E81" i="9"/>
  <c r="F81" i="9"/>
  <c r="G81" i="9"/>
  <c r="H81" i="9"/>
  <c r="I81" i="9"/>
  <c r="K81" i="9"/>
  <c r="L81" i="9"/>
  <c r="M81" i="9"/>
  <c r="N81" i="9"/>
  <c r="O81" i="9"/>
  <c r="P81" i="9"/>
  <c r="Q81" i="9"/>
  <c r="R81" i="9"/>
  <c r="S81" i="9"/>
  <c r="T81" i="9"/>
  <c r="U81" i="9"/>
  <c r="V81" i="9"/>
  <c r="W81" i="9"/>
  <c r="X81" i="9"/>
  <c r="D82" i="9"/>
  <c r="E82" i="9"/>
  <c r="F82" i="9"/>
  <c r="G82" i="9"/>
  <c r="H82" i="9"/>
  <c r="I82" i="9"/>
  <c r="K82" i="9"/>
  <c r="L82" i="9"/>
  <c r="M82" i="9"/>
  <c r="N82" i="9"/>
  <c r="O82" i="9"/>
  <c r="P82" i="9"/>
  <c r="Q82" i="9"/>
  <c r="R82" i="9"/>
  <c r="S82" i="9"/>
  <c r="T82" i="9"/>
  <c r="U82" i="9"/>
  <c r="V82" i="9"/>
  <c r="W82" i="9"/>
  <c r="X82" i="9"/>
  <c r="D83" i="9"/>
  <c r="E83" i="9"/>
  <c r="F83" i="9"/>
  <c r="G83" i="9"/>
  <c r="H83" i="9"/>
  <c r="I83" i="9"/>
  <c r="K83" i="9"/>
  <c r="L83" i="9"/>
  <c r="M83" i="9"/>
  <c r="N83" i="9"/>
  <c r="O83" i="9"/>
  <c r="P83" i="9"/>
  <c r="Q83" i="9"/>
  <c r="R83" i="9"/>
  <c r="S83" i="9"/>
  <c r="T83" i="9"/>
  <c r="U83" i="9"/>
  <c r="V83" i="9"/>
  <c r="W83" i="9"/>
  <c r="X83" i="9"/>
  <c r="D84" i="9"/>
  <c r="E84" i="9"/>
  <c r="F84" i="9"/>
  <c r="G84" i="9"/>
  <c r="H84" i="9"/>
  <c r="I84" i="9"/>
  <c r="K84" i="9"/>
  <c r="L84" i="9"/>
  <c r="M84" i="9"/>
  <c r="N84" i="9"/>
  <c r="O84" i="9"/>
  <c r="P84" i="9"/>
  <c r="Q84" i="9"/>
  <c r="R84" i="9"/>
  <c r="S84" i="9"/>
  <c r="T84" i="9"/>
  <c r="U84" i="9"/>
  <c r="V84" i="9"/>
  <c r="W84" i="9"/>
  <c r="X84" i="9"/>
  <c r="D85" i="9"/>
  <c r="E85" i="9"/>
  <c r="F85" i="9"/>
  <c r="G85" i="9"/>
  <c r="H85" i="9"/>
  <c r="I85" i="9"/>
  <c r="K85" i="9"/>
  <c r="L85" i="9"/>
  <c r="M85" i="9"/>
  <c r="N85" i="9"/>
  <c r="O85" i="9"/>
  <c r="P85" i="9"/>
  <c r="Q85" i="9"/>
  <c r="R85" i="9"/>
  <c r="S85" i="9"/>
  <c r="T85" i="9"/>
  <c r="U85" i="9"/>
  <c r="V85" i="9"/>
  <c r="W85" i="9"/>
  <c r="X85" i="9"/>
  <c r="D86" i="9"/>
  <c r="E86" i="9"/>
  <c r="F86" i="9"/>
  <c r="G86" i="9"/>
  <c r="H86" i="9"/>
  <c r="I86" i="9"/>
  <c r="K86" i="9"/>
  <c r="L86" i="9"/>
  <c r="M86" i="9"/>
  <c r="N86" i="9"/>
  <c r="O86" i="9"/>
  <c r="P86" i="9"/>
  <c r="Q86" i="9"/>
  <c r="R86" i="9"/>
  <c r="S86" i="9"/>
  <c r="T86" i="9"/>
  <c r="U86" i="9"/>
  <c r="V86" i="9"/>
  <c r="W86" i="9"/>
  <c r="X86" i="9"/>
  <c r="D87" i="9"/>
  <c r="E87" i="9"/>
  <c r="F87" i="9"/>
  <c r="G87" i="9"/>
  <c r="H87" i="9"/>
  <c r="I87" i="9"/>
  <c r="K87" i="9"/>
  <c r="L87" i="9"/>
  <c r="M87" i="9"/>
  <c r="N87" i="9"/>
  <c r="O87" i="9"/>
  <c r="P87" i="9"/>
  <c r="Q87" i="9"/>
  <c r="R87" i="9"/>
  <c r="S87" i="9"/>
  <c r="T87" i="9"/>
  <c r="U87" i="9"/>
  <c r="V87" i="9"/>
  <c r="W87" i="9"/>
  <c r="X87" i="9"/>
  <c r="D88" i="9"/>
  <c r="E88" i="9"/>
  <c r="F88" i="9"/>
  <c r="G88" i="9"/>
  <c r="H88" i="9"/>
  <c r="I88" i="9"/>
  <c r="K88" i="9"/>
  <c r="L88" i="9"/>
  <c r="M88" i="9"/>
  <c r="N88" i="9"/>
  <c r="O88" i="9"/>
  <c r="P88" i="9"/>
  <c r="Q88" i="9"/>
  <c r="R88" i="9"/>
  <c r="S88" i="9"/>
  <c r="T88" i="9"/>
  <c r="U88" i="9"/>
  <c r="V88" i="9"/>
  <c r="W88" i="9"/>
  <c r="X88" i="9"/>
  <c r="D89" i="9"/>
  <c r="E89" i="9"/>
  <c r="F89" i="9"/>
  <c r="G89" i="9"/>
  <c r="H89" i="9"/>
  <c r="I89" i="9"/>
  <c r="K89" i="9"/>
  <c r="L89" i="9"/>
  <c r="M89" i="9"/>
  <c r="N89" i="9"/>
  <c r="O89" i="9"/>
  <c r="P89" i="9"/>
  <c r="Q89" i="9"/>
  <c r="R89" i="9"/>
  <c r="S89" i="9"/>
  <c r="T89" i="9"/>
  <c r="U89" i="9"/>
  <c r="V89" i="9"/>
  <c r="W89" i="9"/>
  <c r="X89" i="9"/>
  <c r="D90" i="9"/>
  <c r="E90" i="9"/>
  <c r="F90" i="9"/>
  <c r="G90" i="9"/>
  <c r="H90" i="9"/>
  <c r="I90" i="9"/>
  <c r="K90" i="9"/>
  <c r="L90" i="9"/>
  <c r="M90" i="9"/>
  <c r="N90" i="9"/>
  <c r="O90" i="9"/>
  <c r="P90" i="9"/>
  <c r="Q90" i="9"/>
  <c r="R90" i="9"/>
  <c r="S90" i="9"/>
  <c r="T90" i="9"/>
  <c r="U90" i="9"/>
  <c r="V90" i="9"/>
  <c r="W90" i="9"/>
  <c r="X90" i="9"/>
  <c r="D91" i="9"/>
  <c r="E91" i="9"/>
  <c r="F91" i="9"/>
  <c r="G91" i="9"/>
  <c r="H91" i="9"/>
  <c r="I91" i="9"/>
  <c r="K91" i="9"/>
  <c r="L91" i="9"/>
  <c r="M91" i="9"/>
  <c r="N91" i="9"/>
  <c r="O91" i="9"/>
  <c r="P91" i="9"/>
  <c r="Q91" i="9"/>
  <c r="R91" i="9"/>
  <c r="S91" i="9"/>
  <c r="T91" i="9"/>
  <c r="U91" i="9"/>
  <c r="V91" i="9"/>
  <c r="W91" i="9"/>
  <c r="X91" i="9"/>
  <c r="D92" i="9"/>
  <c r="E92" i="9"/>
  <c r="F92" i="9"/>
  <c r="G92" i="9"/>
  <c r="H92" i="9"/>
  <c r="I92" i="9"/>
  <c r="K92" i="9"/>
  <c r="L92" i="9"/>
  <c r="M92" i="9"/>
  <c r="N92" i="9"/>
  <c r="O92" i="9"/>
  <c r="P92" i="9"/>
  <c r="Q92" i="9"/>
  <c r="R92" i="9"/>
  <c r="S92" i="9"/>
  <c r="T92" i="9"/>
  <c r="U92" i="9"/>
  <c r="V92" i="9"/>
  <c r="W92" i="9"/>
  <c r="X92" i="9"/>
  <c r="D93" i="9"/>
  <c r="E93" i="9"/>
  <c r="F93" i="9"/>
  <c r="G93" i="9"/>
  <c r="H93" i="9"/>
  <c r="I93" i="9"/>
  <c r="K93" i="9"/>
  <c r="L93" i="9"/>
  <c r="M93" i="9"/>
  <c r="N93" i="9"/>
  <c r="O93" i="9"/>
  <c r="P93" i="9"/>
  <c r="Q93" i="9"/>
  <c r="R93" i="9"/>
  <c r="S93" i="9"/>
  <c r="T93" i="9"/>
  <c r="U93" i="9"/>
  <c r="V93" i="9"/>
  <c r="W93" i="9"/>
  <c r="X93" i="9"/>
  <c r="D94" i="9"/>
  <c r="E94" i="9"/>
  <c r="F94" i="9"/>
  <c r="G94" i="9"/>
  <c r="H94" i="9"/>
  <c r="I94" i="9"/>
  <c r="K94" i="9"/>
  <c r="L94" i="9"/>
  <c r="M94" i="9"/>
  <c r="N94" i="9"/>
  <c r="O94" i="9"/>
  <c r="P94" i="9"/>
  <c r="Q94" i="9"/>
  <c r="R94" i="9"/>
  <c r="S94" i="9"/>
  <c r="T94" i="9"/>
  <c r="U94" i="9"/>
  <c r="V94" i="9"/>
  <c r="W94" i="9"/>
  <c r="X94" i="9"/>
  <c r="D95" i="9"/>
  <c r="E95" i="9"/>
  <c r="F95" i="9"/>
  <c r="G95" i="9"/>
  <c r="H95" i="9"/>
  <c r="I95" i="9"/>
  <c r="K95" i="9"/>
  <c r="L95" i="9"/>
  <c r="M95" i="9"/>
  <c r="N95" i="9"/>
  <c r="O95" i="9"/>
  <c r="P95" i="9"/>
  <c r="Q95" i="9"/>
  <c r="R95" i="9"/>
  <c r="S95" i="9"/>
  <c r="T95" i="9"/>
  <c r="U95" i="9"/>
  <c r="V95" i="9"/>
  <c r="W95" i="9"/>
  <c r="X95" i="9"/>
  <c r="D96" i="9"/>
  <c r="E96" i="9"/>
  <c r="F96" i="9"/>
  <c r="G96" i="9"/>
  <c r="H96" i="9"/>
  <c r="I96" i="9"/>
  <c r="K96" i="9"/>
  <c r="L96" i="9"/>
  <c r="M96" i="9"/>
  <c r="N96" i="9"/>
  <c r="O96" i="9"/>
  <c r="P96" i="9"/>
  <c r="Q96" i="9"/>
  <c r="R96" i="9"/>
  <c r="S96" i="9"/>
  <c r="T96" i="9"/>
  <c r="U96" i="9"/>
  <c r="V96" i="9"/>
  <c r="W96" i="9"/>
  <c r="X96" i="9"/>
  <c r="D97" i="9"/>
  <c r="E97" i="9"/>
  <c r="F97" i="9"/>
  <c r="G97" i="9"/>
  <c r="H97" i="9"/>
  <c r="I97" i="9"/>
  <c r="K97" i="9"/>
  <c r="L97" i="9"/>
  <c r="M97" i="9"/>
  <c r="N97" i="9"/>
  <c r="O97" i="9"/>
  <c r="P97" i="9"/>
  <c r="Q97" i="9"/>
  <c r="R97" i="9"/>
  <c r="S97" i="9"/>
  <c r="T97" i="9"/>
  <c r="U97" i="9"/>
  <c r="V97" i="9"/>
  <c r="W97" i="9"/>
  <c r="X97" i="9"/>
  <c r="D98" i="9"/>
  <c r="E98" i="9"/>
  <c r="F98" i="9"/>
  <c r="G98" i="9"/>
  <c r="H98" i="9"/>
  <c r="I98" i="9"/>
  <c r="K98" i="9"/>
  <c r="L98" i="9"/>
  <c r="M98" i="9"/>
  <c r="N98" i="9"/>
  <c r="O98" i="9"/>
  <c r="P98" i="9"/>
  <c r="Q98" i="9"/>
  <c r="R98" i="9"/>
  <c r="S98" i="9"/>
  <c r="T98" i="9"/>
  <c r="U98" i="9"/>
  <c r="V98" i="9"/>
  <c r="W98" i="9"/>
  <c r="X98" i="9"/>
  <c r="D99" i="9"/>
  <c r="E99" i="9"/>
  <c r="F99" i="9"/>
  <c r="G99" i="9"/>
  <c r="H99" i="9"/>
  <c r="I99" i="9"/>
  <c r="K99" i="9"/>
  <c r="L99" i="9"/>
  <c r="M99" i="9"/>
  <c r="N99" i="9"/>
  <c r="O99" i="9"/>
  <c r="P99" i="9"/>
  <c r="Q99" i="9"/>
  <c r="R99" i="9"/>
  <c r="S99" i="9"/>
  <c r="T99" i="9"/>
  <c r="U99" i="9"/>
  <c r="V99" i="9"/>
  <c r="W99" i="9"/>
  <c r="X99" i="9"/>
  <c r="D100" i="9"/>
  <c r="E100" i="9"/>
  <c r="F100" i="9"/>
  <c r="G100" i="9"/>
  <c r="H100" i="9"/>
  <c r="I100" i="9"/>
  <c r="K100" i="9"/>
  <c r="L100" i="9"/>
  <c r="M100" i="9"/>
  <c r="N100" i="9"/>
  <c r="O100" i="9"/>
  <c r="P100" i="9"/>
  <c r="Q100" i="9"/>
  <c r="R100" i="9"/>
  <c r="S100" i="9"/>
  <c r="T100" i="9"/>
  <c r="U100" i="9"/>
  <c r="V100" i="9"/>
  <c r="W100" i="9"/>
  <c r="X100" i="9"/>
  <c r="D101" i="9"/>
  <c r="E101" i="9"/>
  <c r="F101" i="9"/>
  <c r="G101" i="9"/>
  <c r="H101" i="9"/>
  <c r="I101" i="9"/>
  <c r="K101" i="9"/>
  <c r="L101" i="9"/>
  <c r="M101" i="9"/>
  <c r="N101" i="9"/>
  <c r="O101" i="9"/>
  <c r="P101" i="9"/>
  <c r="Q101" i="9"/>
  <c r="R101" i="9"/>
  <c r="S101" i="9"/>
  <c r="T101" i="9"/>
  <c r="U101" i="9"/>
  <c r="V101" i="9"/>
  <c r="W101" i="9"/>
  <c r="X101" i="9"/>
  <c r="X2" i="9"/>
  <c r="X3" i="9"/>
  <c r="X4" i="9"/>
  <c r="X5" i="9"/>
  <c r="X6" i="9"/>
  <c r="X7" i="9"/>
  <c r="X8" i="9"/>
  <c r="X9" i="9"/>
  <c r="X10" i="9"/>
  <c r="X11" i="9"/>
  <c r="X12" i="9"/>
  <c r="X13" i="9"/>
  <c r="X14" i="9"/>
  <c r="X15" i="9"/>
  <c r="X16" i="9"/>
  <c r="X17" i="9"/>
  <c r="X18" i="9"/>
  <c r="X19" i="9"/>
  <c r="X20" i="9"/>
  <c r="X21" i="9"/>
  <c r="X22" i="9"/>
  <c r="X23" i="9"/>
  <c r="X24" i="9"/>
  <c r="X25" i="9"/>
  <c r="X26" i="9"/>
  <c r="X27" i="9"/>
  <c r="X28" i="9"/>
  <c r="X29" i="9"/>
  <c r="W3" i="9"/>
  <c r="W4" i="9"/>
  <c r="W5" i="9"/>
  <c r="W6" i="9"/>
  <c r="W7" i="9"/>
  <c r="W8" i="9"/>
  <c r="W9" i="9"/>
  <c r="W10" i="9"/>
  <c r="W11" i="9"/>
  <c r="W12" i="9"/>
  <c r="W13" i="9"/>
  <c r="W14" i="9"/>
  <c r="W15" i="9"/>
  <c r="W16" i="9"/>
  <c r="W17" i="9"/>
  <c r="W18" i="9"/>
  <c r="W19" i="9"/>
  <c r="W20" i="9"/>
  <c r="W21" i="9"/>
  <c r="W22" i="9"/>
  <c r="W23" i="9"/>
  <c r="W24" i="9"/>
  <c r="W25" i="9"/>
  <c r="W26" i="9"/>
  <c r="W27" i="9"/>
  <c r="W28" i="9"/>
  <c r="W29" i="9"/>
  <c r="W2" i="9"/>
  <c r="V3" i="9"/>
  <c r="V4" i="9"/>
  <c r="V5" i="9"/>
  <c r="V6" i="9"/>
  <c r="V7" i="9"/>
  <c r="V8" i="9"/>
  <c r="V9" i="9"/>
  <c r="V10" i="9"/>
  <c r="V11" i="9"/>
  <c r="V12" i="9"/>
  <c r="V13" i="9"/>
  <c r="V14" i="9"/>
  <c r="V15" i="9"/>
  <c r="V16" i="9"/>
  <c r="V17" i="9"/>
  <c r="V18" i="9"/>
  <c r="V19" i="9"/>
  <c r="V20" i="9"/>
  <c r="V21" i="9"/>
  <c r="V22" i="9"/>
  <c r="V23" i="9"/>
  <c r="V24" i="9"/>
  <c r="V25" i="9"/>
  <c r="V26" i="9"/>
  <c r="V27" i="9"/>
  <c r="V28" i="9"/>
  <c r="V29" i="9"/>
  <c r="V2" i="9"/>
  <c r="U2" i="9"/>
  <c r="U21" i="9"/>
  <c r="T3" i="9"/>
  <c r="U3" i="9"/>
  <c r="T4" i="9"/>
  <c r="U4" i="9"/>
  <c r="T5" i="9"/>
  <c r="U5" i="9"/>
  <c r="T6" i="9"/>
  <c r="U6" i="9"/>
  <c r="T7" i="9"/>
  <c r="U7" i="9"/>
  <c r="T8" i="9"/>
  <c r="U8" i="9"/>
  <c r="T9" i="9"/>
  <c r="U9" i="9"/>
  <c r="T10" i="9"/>
  <c r="U10" i="9"/>
  <c r="T11" i="9"/>
  <c r="U11" i="9"/>
  <c r="T12" i="9"/>
  <c r="U12" i="9"/>
  <c r="T13" i="9"/>
  <c r="U13" i="9"/>
  <c r="T14" i="9"/>
  <c r="U14" i="9"/>
  <c r="T15" i="9"/>
  <c r="U15" i="9"/>
  <c r="T16" i="9"/>
  <c r="U16" i="9"/>
  <c r="T17" i="9"/>
  <c r="U17" i="9"/>
  <c r="T18" i="9"/>
  <c r="U18" i="9"/>
  <c r="T19" i="9"/>
  <c r="U19" i="9"/>
  <c r="T20" i="9"/>
  <c r="U20" i="9"/>
  <c r="T21" i="9"/>
  <c r="T22" i="9"/>
  <c r="U22" i="9"/>
  <c r="T23" i="9"/>
  <c r="U23" i="9"/>
  <c r="T24" i="9"/>
  <c r="U24" i="9"/>
  <c r="T25" i="9"/>
  <c r="U25" i="9"/>
  <c r="T26" i="9"/>
  <c r="U26" i="9"/>
  <c r="T27" i="9"/>
  <c r="U27" i="9"/>
  <c r="T28" i="9"/>
  <c r="U28" i="9"/>
  <c r="T29" i="9"/>
  <c r="U29" i="9"/>
  <c r="T2" i="9"/>
  <c r="S2" i="9"/>
  <c r="S3" i="9"/>
  <c r="S4" i="9"/>
  <c r="S5" i="9"/>
  <c r="S6" i="9"/>
  <c r="S7" i="9"/>
  <c r="S8" i="9"/>
  <c r="S9" i="9"/>
  <c r="S10" i="9"/>
  <c r="S11" i="9"/>
  <c r="S12" i="9"/>
  <c r="S13" i="9"/>
  <c r="S14" i="9"/>
  <c r="S15" i="9"/>
  <c r="S16" i="9"/>
  <c r="S17" i="9"/>
  <c r="S18" i="9"/>
  <c r="S19" i="9"/>
  <c r="S20" i="9"/>
  <c r="S21" i="9"/>
  <c r="S22" i="9"/>
  <c r="S23" i="9"/>
  <c r="S24" i="9"/>
  <c r="S25" i="9"/>
  <c r="S26" i="9"/>
  <c r="S27" i="9"/>
  <c r="S28" i="9"/>
  <c r="S29" i="9"/>
  <c r="D3" i="9"/>
  <c r="E3" i="9"/>
  <c r="F3" i="9"/>
  <c r="G3" i="9"/>
  <c r="H3" i="9"/>
  <c r="I3" i="9"/>
  <c r="K3" i="9"/>
  <c r="L3" i="9"/>
  <c r="M3" i="9"/>
  <c r="N3" i="9"/>
  <c r="O3" i="9"/>
  <c r="P3" i="9"/>
  <c r="Q3" i="9"/>
  <c r="R3" i="9"/>
  <c r="D4" i="9"/>
  <c r="E4" i="9"/>
  <c r="F4" i="9"/>
  <c r="G4" i="9"/>
  <c r="H4" i="9"/>
  <c r="I4" i="9"/>
  <c r="K4" i="9"/>
  <c r="L4" i="9"/>
  <c r="M4" i="9"/>
  <c r="N4" i="9"/>
  <c r="O4" i="9"/>
  <c r="P4" i="9"/>
  <c r="Q4" i="9"/>
  <c r="R4" i="9"/>
  <c r="D5" i="9"/>
  <c r="E5" i="9"/>
  <c r="F5" i="9"/>
  <c r="G5" i="9"/>
  <c r="H5" i="9"/>
  <c r="I5" i="9"/>
  <c r="K5" i="9"/>
  <c r="L5" i="9"/>
  <c r="M5" i="9"/>
  <c r="N5" i="9"/>
  <c r="O5" i="9"/>
  <c r="P5" i="9"/>
  <c r="Q5" i="9"/>
  <c r="R5" i="9"/>
  <c r="D6" i="9"/>
  <c r="E6" i="9"/>
  <c r="F6" i="9"/>
  <c r="G6" i="9"/>
  <c r="H6" i="9"/>
  <c r="I6" i="9"/>
  <c r="K6" i="9"/>
  <c r="L6" i="9"/>
  <c r="M6" i="9"/>
  <c r="N6" i="9"/>
  <c r="O6" i="9"/>
  <c r="P6" i="9"/>
  <c r="Q6" i="9"/>
  <c r="R6" i="9"/>
  <c r="D7" i="9"/>
  <c r="E7" i="9"/>
  <c r="F7" i="9"/>
  <c r="G7" i="9"/>
  <c r="H7" i="9"/>
  <c r="I7" i="9"/>
  <c r="K7" i="9"/>
  <c r="L7" i="9"/>
  <c r="M7" i="9"/>
  <c r="N7" i="9"/>
  <c r="O7" i="9"/>
  <c r="P7" i="9"/>
  <c r="Q7" i="9"/>
  <c r="R7" i="9"/>
  <c r="D8" i="9"/>
  <c r="E8" i="9"/>
  <c r="F8" i="9"/>
  <c r="G8" i="9"/>
  <c r="H8" i="9"/>
  <c r="I8" i="9"/>
  <c r="K8" i="9"/>
  <c r="L8" i="9"/>
  <c r="M8" i="9"/>
  <c r="N8" i="9"/>
  <c r="O8" i="9"/>
  <c r="P8" i="9"/>
  <c r="Q8" i="9"/>
  <c r="R8" i="9"/>
  <c r="D9" i="9"/>
  <c r="E9" i="9"/>
  <c r="F9" i="9"/>
  <c r="G9" i="9"/>
  <c r="H9" i="9"/>
  <c r="I9" i="9"/>
  <c r="K9" i="9"/>
  <c r="L9" i="9"/>
  <c r="M9" i="9"/>
  <c r="N9" i="9"/>
  <c r="O9" i="9"/>
  <c r="P9" i="9"/>
  <c r="Q9" i="9"/>
  <c r="R9" i="9"/>
  <c r="D10" i="9"/>
  <c r="E10" i="9"/>
  <c r="F10" i="9"/>
  <c r="G10" i="9"/>
  <c r="H10" i="9"/>
  <c r="I10" i="9"/>
  <c r="K10" i="9"/>
  <c r="L10" i="9"/>
  <c r="M10" i="9"/>
  <c r="N10" i="9"/>
  <c r="O10" i="9"/>
  <c r="P10" i="9"/>
  <c r="Q10" i="9"/>
  <c r="R10" i="9"/>
  <c r="D11" i="9"/>
  <c r="E11" i="9"/>
  <c r="F11" i="9"/>
  <c r="G11" i="9"/>
  <c r="H11" i="9"/>
  <c r="I11" i="9"/>
  <c r="K11" i="9"/>
  <c r="L11" i="9"/>
  <c r="M11" i="9"/>
  <c r="N11" i="9"/>
  <c r="O11" i="9"/>
  <c r="P11" i="9"/>
  <c r="Q11" i="9"/>
  <c r="R11" i="9"/>
  <c r="D12" i="9"/>
  <c r="E12" i="9"/>
  <c r="F12" i="9"/>
  <c r="G12" i="9"/>
  <c r="H12" i="9"/>
  <c r="I12" i="9"/>
  <c r="K12" i="9"/>
  <c r="L12" i="9"/>
  <c r="M12" i="9"/>
  <c r="N12" i="9"/>
  <c r="O12" i="9"/>
  <c r="P12" i="9"/>
  <c r="Q12" i="9"/>
  <c r="R12" i="9"/>
  <c r="D13" i="9"/>
  <c r="E13" i="9"/>
  <c r="F13" i="9"/>
  <c r="G13" i="9"/>
  <c r="H13" i="9"/>
  <c r="I13" i="9"/>
  <c r="K13" i="9"/>
  <c r="L13" i="9"/>
  <c r="M13" i="9"/>
  <c r="N13" i="9"/>
  <c r="O13" i="9"/>
  <c r="P13" i="9"/>
  <c r="Q13" i="9"/>
  <c r="R13" i="9"/>
  <c r="D14" i="9"/>
  <c r="E14" i="9"/>
  <c r="F14" i="9"/>
  <c r="G14" i="9"/>
  <c r="H14" i="9"/>
  <c r="I14" i="9"/>
  <c r="K14" i="9"/>
  <c r="L14" i="9"/>
  <c r="M14" i="9"/>
  <c r="N14" i="9"/>
  <c r="O14" i="9"/>
  <c r="P14" i="9"/>
  <c r="Q14" i="9"/>
  <c r="R14" i="9"/>
  <c r="D15" i="9"/>
  <c r="E15" i="9"/>
  <c r="F15" i="9"/>
  <c r="G15" i="9"/>
  <c r="H15" i="9"/>
  <c r="I15" i="9"/>
  <c r="K15" i="9"/>
  <c r="L15" i="9"/>
  <c r="M15" i="9"/>
  <c r="N15" i="9"/>
  <c r="O15" i="9"/>
  <c r="P15" i="9"/>
  <c r="Q15" i="9"/>
  <c r="R15" i="9"/>
  <c r="D16" i="9"/>
  <c r="E16" i="9"/>
  <c r="F16" i="9"/>
  <c r="G16" i="9"/>
  <c r="H16" i="9"/>
  <c r="I16" i="9"/>
  <c r="K16" i="9"/>
  <c r="L16" i="9"/>
  <c r="M16" i="9"/>
  <c r="N16" i="9"/>
  <c r="O16" i="9"/>
  <c r="P16" i="9"/>
  <c r="Q16" i="9"/>
  <c r="R16" i="9"/>
  <c r="D17" i="9"/>
  <c r="E17" i="9"/>
  <c r="F17" i="9"/>
  <c r="G17" i="9"/>
  <c r="H17" i="9"/>
  <c r="I17" i="9"/>
  <c r="K17" i="9"/>
  <c r="L17" i="9"/>
  <c r="M17" i="9"/>
  <c r="N17" i="9"/>
  <c r="O17" i="9"/>
  <c r="P17" i="9"/>
  <c r="Q17" i="9"/>
  <c r="R17" i="9"/>
  <c r="D18" i="9"/>
  <c r="E18" i="9"/>
  <c r="F18" i="9"/>
  <c r="G18" i="9"/>
  <c r="H18" i="9"/>
  <c r="I18" i="9"/>
  <c r="K18" i="9"/>
  <c r="L18" i="9"/>
  <c r="M18" i="9"/>
  <c r="N18" i="9"/>
  <c r="O18" i="9"/>
  <c r="P18" i="9"/>
  <c r="Q18" i="9"/>
  <c r="R18" i="9"/>
  <c r="D19" i="9"/>
  <c r="E19" i="9"/>
  <c r="F19" i="9"/>
  <c r="G19" i="9"/>
  <c r="H19" i="9"/>
  <c r="I19" i="9"/>
  <c r="K19" i="9"/>
  <c r="L19" i="9"/>
  <c r="M19" i="9"/>
  <c r="N19" i="9"/>
  <c r="O19" i="9"/>
  <c r="P19" i="9"/>
  <c r="Q19" i="9"/>
  <c r="R19" i="9"/>
  <c r="D20" i="9"/>
  <c r="E20" i="9"/>
  <c r="F20" i="9"/>
  <c r="G20" i="9"/>
  <c r="H20" i="9"/>
  <c r="I20" i="9"/>
  <c r="K20" i="9"/>
  <c r="L20" i="9"/>
  <c r="M20" i="9"/>
  <c r="N20" i="9"/>
  <c r="O20" i="9"/>
  <c r="P20" i="9"/>
  <c r="Q20" i="9"/>
  <c r="R20" i="9"/>
  <c r="D21" i="9"/>
  <c r="E21" i="9"/>
  <c r="F21" i="9"/>
  <c r="G21" i="9"/>
  <c r="H21" i="9"/>
  <c r="I21" i="9"/>
  <c r="K21" i="9"/>
  <c r="L21" i="9"/>
  <c r="M21" i="9"/>
  <c r="N21" i="9"/>
  <c r="O21" i="9"/>
  <c r="P21" i="9"/>
  <c r="Q21" i="9"/>
  <c r="R21" i="9"/>
  <c r="D22" i="9"/>
  <c r="E22" i="9"/>
  <c r="F22" i="9"/>
  <c r="G22" i="9"/>
  <c r="H22" i="9"/>
  <c r="I22" i="9"/>
  <c r="K22" i="9"/>
  <c r="L22" i="9"/>
  <c r="M22" i="9"/>
  <c r="N22" i="9"/>
  <c r="O22" i="9"/>
  <c r="P22" i="9"/>
  <c r="Q22" i="9"/>
  <c r="R22" i="9"/>
  <c r="D23" i="9"/>
  <c r="E23" i="9"/>
  <c r="F23" i="9"/>
  <c r="G23" i="9"/>
  <c r="H23" i="9"/>
  <c r="I23" i="9"/>
  <c r="K23" i="9"/>
  <c r="L23" i="9"/>
  <c r="M23" i="9"/>
  <c r="N23" i="9"/>
  <c r="O23" i="9"/>
  <c r="P23" i="9"/>
  <c r="Q23" i="9"/>
  <c r="R23" i="9"/>
  <c r="D24" i="9"/>
  <c r="E24" i="9"/>
  <c r="F24" i="9"/>
  <c r="G24" i="9"/>
  <c r="H24" i="9"/>
  <c r="I24" i="9"/>
  <c r="K24" i="9"/>
  <c r="L24" i="9"/>
  <c r="M24" i="9"/>
  <c r="N24" i="9"/>
  <c r="O24" i="9"/>
  <c r="P24" i="9"/>
  <c r="Q24" i="9"/>
  <c r="R24" i="9"/>
  <c r="D25" i="9"/>
  <c r="E25" i="9"/>
  <c r="F25" i="9"/>
  <c r="G25" i="9"/>
  <c r="H25" i="9"/>
  <c r="I25" i="9"/>
  <c r="K25" i="9"/>
  <c r="L25" i="9"/>
  <c r="M25" i="9"/>
  <c r="N25" i="9"/>
  <c r="O25" i="9"/>
  <c r="P25" i="9"/>
  <c r="Q25" i="9"/>
  <c r="R25" i="9"/>
  <c r="D26" i="9"/>
  <c r="E26" i="9"/>
  <c r="F26" i="9"/>
  <c r="G26" i="9"/>
  <c r="H26" i="9"/>
  <c r="I26" i="9"/>
  <c r="K26" i="9"/>
  <c r="L26" i="9"/>
  <c r="M26" i="9"/>
  <c r="N26" i="9"/>
  <c r="O26" i="9"/>
  <c r="P26" i="9"/>
  <c r="Q26" i="9"/>
  <c r="R26" i="9"/>
  <c r="D27" i="9"/>
  <c r="E27" i="9"/>
  <c r="F27" i="9"/>
  <c r="G27" i="9"/>
  <c r="H27" i="9"/>
  <c r="I27" i="9"/>
  <c r="K27" i="9"/>
  <c r="L27" i="9"/>
  <c r="M27" i="9"/>
  <c r="N27" i="9"/>
  <c r="O27" i="9"/>
  <c r="P27" i="9"/>
  <c r="Q27" i="9"/>
  <c r="R27" i="9"/>
  <c r="D28" i="9"/>
  <c r="E28" i="9"/>
  <c r="F28" i="9"/>
  <c r="G28" i="9"/>
  <c r="H28" i="9"/>
  <c r="I28" i="9"/>
  <c r="K28" i="9"/>
  <c r="L28" i="9"/>
  <c r="M28" i="9"/>
  <c r="N28" i="9"/>
  <c r="O28" i="9"/>
  <c r="P28" i="9"/>
  <c r="Q28" i="9"/>
  <c r="R28" i="9"/>
  <c r="D29" i="9"/>
  <c r="E29" i="9"/>
  <c r="F29" i="9"/>
  <c r="G29" i="9"/>
  <c r="H29" i="9"/>
  <c r="I29" i="9"/>
  <c r="K29" i="9"/>
  <c r="L29" i="9"/>
  <c r="M29" i="9"/>
  <c r="N29" i="9"/>
  <c r="O29" i="9"/>
  <c r="P29" i="9"/>
  <c r="Q29" i="9"/>
  <c r="R29" i="9"/>
  <c r="Q2" i="9"/>
  <c r="R2" i="9"/>
  <c r="P2" i="9"/>
  <c r="O2" i="9"/>
  <c r="N2" i="9"/>
  <c r="M2" i="9"/>
  <c r="L2" i="9"/>
  <c r="K2" i="9"/>
  <c r="I2" i="9"/>
  <c r="H2" i="9"/>
  <c r="G2" i="9"/>
  <c r="F2" i="9"/>
  <c r="E2" i="9"/>
  <c r="D2" i="9"/>
</calcChain>
</file>

<file path=xl/sharedStrings.xml><?xml version="1.0" encoding="utf-8"?>
<sst xmlns="http://schemas.openxmlformats.org/spreadsheetml/2006/main" count="46597" uniqueCount="3705">
  <si>
    <t>carId</t>
  </si>
  <si>
    <t>41356587</t>
  </si>
  <si>
    <t>dnfltnghk92</t>
  </si>
  <si>
    <t>41353573</t>
  </si>
  <si>
    <t>41403456</t>
  </si>
  <si>
    <t>41390361</t>
  </si>
  <si>
    <t>41403526</t>
  </si>
  <si>
    <t>40279299</t>
  </si>
  <si>
    <t>41017047</t>
  </si>
  <si>
    <t>41298024</t>
  </si>
  <si>
    <t>dksdudtn9326</t>
  </si>
  <si>
    <t>39870119</t>
  </si>
  <si>
    <t>41326098</t>
  </si>
  <si>
    <t>41307028</t>
  </si>
  <si>
    <t>41376170</t>
  </si>
  <si>
    <t>41381376</t>
  </si>
  <si>
    <t>41383463</t>
  </si>
  <si>
    <t>41395915</t>
  </si>
  <si>
    <t>41309179</t>
  </si>
  <si>
    <t>rlarmatjd</t>
  </si>
  <si>
    <t>40740292</t>
  </si>
  <si>
    <t>41241229</t>
  </si>
  <si>
    <t>hwang5533</t>
  </si>
  <si>
    <t>41285668</t>
  </si>
  <si>
    <t>rladudtn</t>
  </si>
  <si>
    <t>41085806</t>
  </si>
  <si>
    <t>40151520</t>
  </si>
  <si>
    <t>38557627</t>
  </si>
  <si>
    <t>41218565</t>
  </si>
  <si>
    <t>40055487</t>
  </si>
  <si>
    <t>39345655</t>
  </si>
  <si>
    <t>40952759</t>
  </si>
  <si>
    <t>hyeon6209</t>
  </si>
  <si>
    <t>41370416</t>
  </si>
  <si>
    <t>cks0290</t>
  </si>
  <si>
    <t>41398674</t>
  </si>
  <si>
    <t>gold99</t>
  </si>
  <si>
    <t>41130226</t>
  </si>
  <si>
    <t>kcardgbyw</t>
  </si>
  <si>
    <t>40988766</t>
  </si>
  <si>
    <t>nobility4569</t>
  </si>
  <si>
    <t>41388391</t>
  </si>
  <si>
    <t>tankdotcom</t>
  </si>
  <si>
    <t>41369527</t>
  </si>
  <si>
    <t>ef9550</t>
  </si>
  <si>
    <t>41390598</t>
  </si>
  <si>
    <t>aka3319</t>
  </si>
  <si>
    <t>41393805</t>
  </si>
  <si>
    <t>qorwogh0827</t>
  </si>
  <si>
    <t>41315606</t>
  </si>
  <si>
    <t>thirst1234</t>
  </si>
  <si>
    <t>41313544</t>
  </si>
  <si>
    <t>lsw30992288</t>
  </si>
  <si>
    <t>41135028</t>
  </si>
  <si>
    <t>skdisk5487</t>
  </si>
  <si>
    <t>41393779</t>
  </si>
  <si>
    <t>autoplusic</t>
  </si>
  <si>
    <t>41359860</t>
  </si>
  <si>
    <t>wind1511</t>
  </si>
  <si>
    <t>39193215</t>
  </si>
  <si>
    <t>korea0315</t>
  </si>
  <si>
    <t>39854943</t>
  </si>
  <si>
    <t>ghdtn778</t>
  </si>
  <si>
    <t>41189526</t>
  </si>
  <si>
    <t>zxc4055</t>
  </si>
  <si>
    <t>41187820</t>
  </si>
  <si>
    <t>jkj810115</t>
  </si>
  <si>
    <t>41194026</t>
  </si>
  <si>
    <t>bonanet</t>
  </si>
  <si>
    <t>41274924</t>
  </si>
  <si>
    <t>yuil8788</t>
  </si>
  <si>
    <t>41270430</t>
  </si>
  <si>
    <t>nos0909</t>
  </si>
  <si>
    <t>41259286</t>
  </si>
  <si>
    <t>shs71659</t>
  </si>
  <si>
    <t>41254301</t>
  </si>
  <si>
    <t>pika0060</t>
  </si>
  <si>
    <t>41247540</t>
  </si>
  <si>
    <t>41238114</t>
  </si>
  <si>
    <t>sunsin68</t>
  </si>
  <si>
    <t>41128990</t>
  </si>
  <si>
    <t>jylee77</t>
  </si>
  <si>
    <t>41120507</t>
  </si>
  <si>
    <t>qkrrjsgh333</t>
  </si>
  <si>
    <t>41228721</t>
  </si>
  <si>
    <t>lak8662</t>
  </si>
  <si>
    <t>41222823</t>
  </si>
  <si>
    <t>hb0836</t>
  </si>
  <si>
    <t>41203439</t>
  </si>
  <si>
    <t>mindssydc79</t>
  </si>
  <si>
    <t>41192737</t>
  </si>
  <si>
    <t>41189810</t>
  </si>
  <si>
    <t>wlals743</t>
  </si>
  <si>
    <t>41169630</t>
  </si>
  <si>
    <t>sopy1764</t>
  </si>
  <si>
    <t>41179282</t>
  </si>
  <si>
    <t>vvcar78</t>
  </si>
  <si>
    <t>41161416</t>
  </si>
  <si>
    <t>chaseunggun7</t>
  </si>
  <si>
    <t>41151139</t>
  </si>
  <si>
    <t>41149660</t>
  </si>
  <si>
    <t>kami0870</t>
  </si>
  <si>
    <t>41148444</t>
  </si>
  <si>
    <t>silvercoin</t>
  </si>
  <si>
    <t>41146024</t>
  </si>
  <si>
    <t>zuzusl</t>
  </si>
  <si>
    <t>40403035</t>
  </si>
  <si>
    <t>kdy1007</t>
  </si>
  <si>
    <t>40788412</t>
  </si>
  <si>
    <t>rnjsduddls</t>
  </si>
  <si>
    <t>40211340</t>
  </si>
  <si>
    <t>mmm486</t>
  </si>
  <si>
    <t>40349454</t>
  </si>
  <si>
    <t>ashssw</t>
  </si>
  <si>
    <t>40815620</t>
  </si>
  <si>
    <t>icar07072</t>
  </si>
  <si>
    <t>40815862</t>
  </si>
  <si>
    <t>40941213</t>
  </si>
  <si>
    <t>wlghks7592</t>
  </si>
  <si>
    <t>40943677</t>
  </si>
  <si>
    <t>smasu2024</t>
  </si>
  <si>
    <t>40951140</t>
  </si>
  <si>
    <t>is98381</t>
  </si>
  <si>
    <t>41289569</t>
  </si>
  <si>
    <t>whwqkq18</t>
  </si>
  <si>
    <t>41296449</t>
  </si>
  <si>
    <t>cht0109</t>
  </si>
  <si>
    <t>41295732</t>
  </si>
  <si>
    <t>lotte03</t>
  </si>
  <si>
    <t>41285870</t>
  </si>
  <si>
    <t>hsj227</t>
  </si>
  <si>
    <t>41279771</t>
  </si>
  <si>
    <t>hnyjds</t>
  </si>
  <si>
    <t>40500959</t>
  </si>
  <si>
    <t>CHO01020</t>
  </si>
  <si>
    <t>40648835</t>
  </si>
  <si>
    <t>chun9993</t>
  </si>
  <si>
    <t>40681023</t>
  </si>
  <si>
    <t>glakehtk95</t>
  </si>
  <si>
    <t>40525443</t>
  </si>
  <si>
    <t>sunleepre</t>
  </si>
  <si>
    <t>39159625</t>
  </si>
  <si>
    <t>manful83</t>
  </si>
  <si>
    <t>39927353</t>
  </si>
  <si>
    <t>rla7910aa</t>
  </si>
  <si>
    <t>40006270</t>
  </si>
  <si>
    <t>yunwh300</t>
  </si>
  <si>
    <t>40730683</t>
  </si>
  <si>
    <t>andi1122</t>
  </si>
  <si>
    <t>40918149</t>
  </si>
  <si>
    <t>40854743</t>
  </si>
  <si>
    <t>tokky123</t>
  </si>
  <si>
    <t>40851329</t>
  </si>
  <si>
    <t>40844342</t>
  </si>
  <si>
    <t>gleaming79</t>
  </si>
  <si>
    <t>40928686</t>
  </si>
  <si>
    <t>cho5136</t>
  </si>
  <si>
    <t>40826466</t>
  </si>
  <si>
    <t>40826410</t>
  </si>
  <si>
    <t>40826273</t>
  </si>
  <si>
    <t>40826207</t>
  </si>
  <si>
    <t>40826187</t>
  </si>
  <si>
    <t>40820916</t>
  </si>
  <si>
    <t>q1234qazxs</t>
  </si>
  <si>
    <t>40817026</t>
  </si>
  <si>
    <t>park9855</t>
  </si>
  <si>
    <t>41091081</t>
  </si>
  <si>
    <t>jesus8801</t>
  </si>
  <si>
    <t>41061934</t>
  </si>
  <si>
    <t>dpdltpqms</t>
  </si>
  <si>
    <t>list.AccidentOuter</t>
  </si>
  <si>
    <t>list.Badge</t>
  </si>
  <si>
    <t>list.BadgeDetail</t>
  </si>
  <si>
    <t>list.BuyType</t>
  </si>
  <si>
    <t>list.Condition</t>
  </si>
  <si>
    <t>list.FormYear</t>
  </si>
  <si>
    <t>list.FuelType</t>
  </si>
  <si>
    <t>list.Id</t>
  </si>
  <si>
    <t>list.Manufacturer</t>
  </si>
  <si>
    <t>list.Mileage</t>
  </si>
  <si>
    <t>list.Model</t>
  </si>
  <si>
    <t>list.OfficeCityState</t>
  </si>
  <si>
    <t>list.Photo</t>
  </si>
  <si>
    <t>list.Photos</t>
  </si>
  <si>
    <t>list.Price</t>
  </si>
  <si>
    <t>list.SalesStatus</t>
  </si>
  <si>
    <t>list.Separation</t>
  </si>
  <si>
    <t>list.ServiceCopyCar</t>
  </si>
  <si>
    <t>list.ServiceMark</t>
  </si>
  <si>
    <t>list.Trust</t>
  </si>
  <si>
    <t>list.Year</t>
  </si>
  <si>
    <t>1.6</t>
  </si>
  <si>
    <t>모던</t>
  </si>
  <si>
    <t>[]</t>
  </si>
  <si>
    <t>["Inspection", "Record"]</t>
  </si>
  <si>
    <t>2021</t>
  </si>
  <si>
    <t>가솔린</t>
  </si>
  <si>
    <t>현대</t>
  </si>
  <si>
    <t>아반떼 (CN7)</t>
  </si>
  <si>
    <t>경기</t>
  </si>
  <si>
    <t>/carpicture05/pic4135/41356587_</t>
  </si>
  <si>
    <t>[{"type": "001", "location": "/carpicture05/pic4135/41356587_001.jpg", "updatedDate": "2026-01-19T01:41:25Z", "ordering": 1.0}, {"type": "003", "location": "/carpicture05/pic4135/41356587_003.jpg", "updatedDate": "2026-01-19T01:41:25Z", "ordering": 3.0}, {"type": "004", "location": "/carpicture05/pic4135/41356587_004.jpg", "updatedDate": "2026-01-19T01:41:25Z", "ordering": 4.0}, {"type": "007", "location": "/carpicture05/pic4135/41356587_007.jpg", "updatedDate": "2026-01-19T01:41:25Z", "ordering": 7.0}]</t>
  </si>
  <si>
    <t>["B"]</t>
  </si>
  <si>
    <t>ORIGINAL</t>
  </si>
  <si>
    <t>디젤 2.0 2WD</t>
  </si>
  <si>
    <t>익스클루시브</t>
  </si>
  <si>
    <t>2016</t>
  </si>
  <si>
    <t>디젤</t>
  </si>
  <si>
    <t>싼타페 더 프라임</t>
  </si>
  <si>
    <t>/carpicture05/pic4135/41353573_</t>
  </si>
  <si>
    <t>[{"type": "001", "location": "/carpicture05/pic4135/41353573_001.jpg", "updatedDate": "2026-01-15T08:11:00Z", "ordering": 1.0}, {"type": "003", "location": "/carpicture05/pic4135/41353573_003.jpg", "updatedDate": "2026-01-15T08:11:00Z", "ordering": 3.0}, {"type": "004", "location": "/carpicture05/pic4135/41353573_004.jpg", "updatedDate": "2026-01-15T08:11:00Z", "ordering": 4.0}, {"type": "007", "location": "/carpicture05/pic4135/41353573_007.jpg", "updatedDate": "2026-01-15T08:11:00Z", "ordering": 7.0}]</t>
  </si>
  <si>
    <t>HG240 모던</t>
  </si>
  <si>
    <t>2014</t>
  </si>
  <si>
    <t>그랜저 HG</t>
  </si>
  <si>
    <t>/carpicture10/pic4140/41403456_</t>
  </si>
  <si>
    <t>[{"type": "001", "location": "/carpicture10/pic4140/41403456_001.jpg", "updatedDate": "2026-01-24T10:54:12Z", "ordering": 1.0}]</t>
  </si>
  <si>
    <t>스마트</t>
  </si>
  <si>
    <t>2019</t>
  </si>
  <si>
    <t>더 뉴 아반떼 AD</t>
  </si>
  <si>
    <t>/carpicture09/pic4139/41390361_</t>
  </si>
  <si>
    <t>[{"type": "001", "location": "/carpicture09/pic4139/41390361_001.jpg", "updatedDate": "2026-01-22T01:29:56Z", "ordering": 1.0}, {"type": "003", "location": "/carpicture09/pic4139/41390361_003.jpg", "updatedDate": "2026-01-22T01:29:56Z", "ordering": 3.0}, {"type": "004", "location": "/carpicture09/pic4139/41390361_004.jpg", "updatedDate": "2026-01-22T01:29:56Z", "ordering": 4.0}, {"type": "007", "location": "/carpicture09/pic4139/41390361_007.jpg", "updatedDate": "2026-01-22T01:29:56Z", "ordering": 7.0}]</t>
  </si>
  <si>
    <t>디젤 1.6 VGT 익스트림</t>
  </si>
  <si>
    <t>2012</t>
  </si>
  <si>
    <t>i30(신형)</t>
  </si>
  <si>
    <t>/carpicture10/pic4140/41403526_</t>
  </si>
  <si>
    <t>[{"type": "001", "location": "/carpicture10/pic4140/41403526_001.jpg", "updatedDate": "2026-01-24T14:42:58Z", "ordering": 1.0}, {"type": "003", "location": "/carpicture10/pic4140/41403526_003.jpg", "updatedDate": "2026-01-24T14:42:58Z", "ordering": 3.0}, {"type": "004", "location": "/carpicture10/pic4140/41403526_004.jpg", "updatedDate": "2026-01-24T14:42:58Z", "ordering": 4.0}, {"type": "007", "location": "/carpicture10/pic4140/41403526_007.jpg", "updatedDate": "2026-01-24T14:42:58Z", "ordering": 7.0}]</t>
  </si>
  <si>
    <t>2.0 스마트</t>
  </si>
  <si>
    <t>스페셜</t>
  </si>
  <si>
    <t>LF 쏘나타</t>
  </si>
  <si>
    <t>/carpicture07/pic4027/40279299_</t>
  </si>
  <si>
    <t>[{"type": "001", "location": "/carpicture07/pic4027/40279299_001.jpg", "updatedDate": "2025-08-11T06:57:16Z", "ordering": 1.0}, {"type": "003", "location": "/carpicture07/pic4027/40279299_003.jpg", "updatedDate": "2025-08-11T06:57:16Z", "ordering": 3.0}, {"type": "004", "location": "/carpicture07/pic4027/40279299_004.jpg", "updatedDate": "2025-08-11T06:57:16Z", "ordering": 4.0}, {"type": "007", "location": "/carpicture07/pic4027/40279299_007.jpg", "updatedDate": "2025-08-11T06:57:16Z", "ordering": 7.0}]</t>
  </si>
  <si>
    <t>밴 5인승</t>
  </si>
  <si>
    <t>스타일</t>
  </si>
  <si>
    <t>더 뉴 그랜드 스타렉스</t>
  </si>
  <si>
    <t>/carpicture01/pic4101/41017047_</t>
  </si>
  <si>
    <t>[{"type": "001", "location": "/carpicture01/pic4101/41017047_001.jpg", "updatedDate": "2025-11-21T01:30:44Z", "ordering": 1.0}, {"type": "003", "location": "/carpicture01/pic4101/41017047_003.jpg", "updatedDate": "2025-11-21T01:30:44Z", "ordering": 3.0}, {"type": "004", "location": "/carpicture01/pic4101/41017047_004.jpg", "updatedDate": "2025-11-21T01:30:44Z", "ordering": 4.0}, {"type": "007", "location": "/carpicture01/pic4101/41017047_007.jpg", "updatedDate": "2025-11-21T01:30:44Z", "ordering": 7.0}]</t>
  </si>
  <si>
    <t>디젤 2.2 2WD</t>
  </si>
  <si>
    <t>프리미엄 초이스</t>
  </si>
  <si>
    <t>["Inspection", "Record", "Resume"]</t>
  </si>
  <si>
    <t>더 뉴 싼타페</t>
  </si>
  <si>
    <t>광주</t>
  </si>
  <si>
    <t>/carpicture09/pic4129/41298024_</t>
  </si>
  <si>
    <t>[{"type": "001", "location": "/carpicture09/pic4129/41298024_001.jpg", "updatedDate": "2026-01-08T01:02:46Z", "ordering": 1.0}, {"type": "003", "location": "/carpicture09/pic4129/41298024_003.jpg", "updatedDate": "2026-01-08T01:02:46Z", "ordering": 3.0}, {"type": "004", "location": "/carpicture09/pic4129/41298024_004.jpg", "updatedDate": "2026-01-08T01:02:46Z", "ordering": 4.0}, {"type": "007", "location": "/carpicture09/pic4129/41298024_007.jpg", "updatedDate": "2026-01-08T01:02:46Z", "ordering": 7.0}]</t>
  </si>
  <si>
    <t>["EncarDiagnosisP1"]</t>
  </si>
  <si>
    <t>["Warranty"]</t>
  </si>
  <si>
    <t>HG300 프라임</t>
  </si>
  <si>
    <t>/carpicture07/pic3987/39870119_</t>
  </si>
  <si>
    <t>[{"type": "001", "location": "/carpicture07/pic3987/39870119_001.jpg", "updatedDate": "2025-06-16T02:27:03Z", "ordering": 1.0}, {"type": "003", "location": "/carpicture07/pic3987/39870119_003.jpg", "updatedDate": "2025-06-16T02:27:03Z", "ordering": 3.0}, {"type": "004", "location": "/carpicture07/pic3987/39870119_004.jpg", "updatedDate": "2025-06-16T02:27:03Z", "ordering": 4.0}, {"type": "007", "location": "/carpicture07/pic3987/39870119_007.jpg", "updatedDate": "2025-06-16T02:27:03Z", "ordering": 7.0}]</t>
  </si>
  <si>
    <t>1.6 LPi (렌터카)</t>
  </si>
  <si>
    <t>2023</t>
  </si>
  <si>
    <t>LPG(일반인 구입)</t>
  </si>
  <si>
    <t>/carpicture02/pic4132/41326098_</t>
  </si>
  <si>
    <t>[{"type": "001", "location": "/carpicture02/pic4132/41326098_001.jpg", "updatedDate": "2026-01-12T05:11:07Z", "ordering": 1.0}, {"type": "003", "location": "/carpicture02/pic4132/41326098_003.jpg", "updatedDate": "2026-01-12T05:11:07Z", "ordering": 3.0}, {"type": "004", "location": "/carpicture02/pic4132/41326098_004.jpg", "updatedDate": "2026-01-12T05:11:07Z", "ordering": 4.0}, {"type": "007", "location": "/carpicture02/pic4132/41326098_007.jpg", "updatedDate": "2026-01-12T05:11:07Z", "ordering": 7.0}]</t>
  </si>
  <si>
    <t>LPI 프리미엄</t>
  </si>
  <si>
    <t>2018</t>
  </si>
  <si>
    <t>쏘나타 뉴 라이즈</t>
  </si>
  <si>
    <t>/carpicture10/pic4130/41307028_</t>
  </si>
  <si>
    <t>[{"type": "001", "location": "/carpicture10/pic4130/41307028_001.jpg", "updatedDate": "2026-01-08T05:50:49Z", "ordering": 1.0}, {"type": "003", "location": "/carpicture10/pic4130/41307028_003.jpg", "updatedDate": "2026-01-08T05:50:49Z", "ordering": 3.0}, {"type": "004", "location": "/carpicture10/pic4130/41307028_004.jpg", "updatedDate": "2026-01-08T05:50:49Z", "ordering": 4.0}, {"type": "007", "location": "/carpicture10/pic4130/41307028_007.jpg", "updatedDate": "2026-01-08T05:50:49Z", "ordering": 7.0}]</t>
  </si>
  <si>
    <t>2.0</t>
  </si>
  <si>
    <t>프리미엄</t>
  </si>
  <si>
    <t>2020</t>
  </si>
  <si>
    <t>쏘나타 (DN8)</t>
  </si>
  <si>
    <t>/carpicture07/pic4137/41376170_</t>
  </si>
  <si>
    <t>[{"type": "001", "location": "/carpicture07/pic4137/41376170_001.jpg", "updatedDate": "2026-01-22T00:56:38Z", "ordering": 1.0}, {"type": "003", "location": "/carpicture07/pic4137/41376170_003.jpg", "updatedDate": "2026-01-22T00:56:38Z", "ordering": 3.0}, {"type": "004", "location": "/carpicture07/pic4137/41376170_004.jpg", "updatedDate": "2026-01-22T00:56:38Z", "ordering": 4.0}, {"type": "007", "location": "/carpicture07/pic4137/41376170_007.jpg", "updatedDate": "2026-01-22T00:56:38Z", "ordering": 7.0}]</t>
  </si>
  <si>
    <t>2.0 스타일</t>
  </si>
  <si>
    <t>/carpicture08/pic4138/41381376_</t>
  </si>
  <si>
    <t>[{"type": "001", "location": "/carpicture08/pic4138/41381376_001.jpg", "updatedDate": "2026-01-20T13:29:28Z", "ordering": 1.0}, {"type": "003", "location": "/carpicture08/pic4138/41381376_003.jpg", "updatedDate": "2026-01-20T13:29:28Z", "ordering": 3.0}, {"type": "004", "location": "/carpicture08/pic4138/41381376_004.jpg", "updatedDate": "2026-01-20T13:29:28Z", "ordering": 4.0}, {"type": "007", "location": "/carpicture08/pic4138/41381376_007.jpg", "updatedDate": "2026-01-20T13:29:28Z", "ordering": 7.0}]</t>
  </si>
  <si>
    <t>1.6 GDI 모던</t>
  </si>
  <si>
    <t>아반떼 AD</t>
  </si>
  <si>
    <t>/carpicture08/pic4138/41383463_</t>
  </si>
  <si>
    <t>[{"type": "001", "location": "/carpicture08/pic4138/41383463_001.jpg", "updatedDate": "2026-01-21T01:55:38Z", "ordering": 1.0}, {"type": "003", "location": "/carpicture08/pic4138/41383463_003.jpg", "updatedDate": "2026-01-21T01:55:38Z", "ordering": 3.0}, {"type": "004", "location": "/carpicture08/pic4138/41383463_004.jpg", "updatedDate": "2026-01-21T01:55:38Z", "ordering": 4.0}, {"type": "007", "location": "/carpicture08/pic4138/41383463_007.jpg", "updatedDate": "2026-01-21T01:55:38Z", "ordering": 7.0}]</t>
  </si>
  <si>
    <t>익스클루시브 스페셜</t>
  </si>
  <si>
    <t>/carpicture09/pic4139/41395915_</t>
  </si>
  <si>
    <t>[{"type": "001", "location": "/carpicture09/pic4139/41395915_001.jpg", "updatedDate": "2026-01-22T14:12:37Z", "ordering": 1.0}]</t>
  </si>
  <si>
    <t>4WD 라운지 7인승</t>
  </si>
  <si>
    <t>인스퍼레이션</t>
  </si>
  <si>
    <t>2025</t>
  </si>
  <si>
    <t>스타리아</t>
  </si>
  <si>
    <t>/carpicture10/pic4130/41309179_</t>
  </si>
  <si>
    <t>[{"type": "001", "location": "/carpicture10/pic4130/41309179_001.jpg", "updatedDate": "2026-01-08T07:03:47Z", "ordering": 1.0}, {"type": "003", "location": "/carpicture10/pic4130/41309179_003.jpg", "updatedDate": "2026-01-08T07:03:47Z", "ordering": 3.0}, {"type": "004", "location": "/carpicture10/pic4130/41309179_004.jpg", "updatedDate": "2026-01-08T07:03:47Z", "ordering": 4.0}, {"type": "007", "location": "/carpicture10/pic4130/41309179_007.jpg", "updatedDate": "2026-01-08T07:03:47Z", "ordering": 7.0}]</t>
  </si>
  <si>
    <t>디젤 2.2 4WD</t>
  </si>
  <si>
    <t>프레스티지</t>
  </si>
  <si>
    <t>팰리세이드</t>
  </si>
  <si>
    <t>/carpicture04/pic4074/40740292_</t>
  </si>
  <si>
    <t>[{"type": "001", "location": "/carpicture04/pic4074/40740292_001.jpg", "updatedDate": "2025-10-16T06:03:03Z", "ordering": 1.0}, {"type": "003", "location": "/carpicture04/pic4074/40740292_003.jpg", "updatedDate": "2025-10-16T06:03:03Z", "ordering": 3.0}, {"type": "004", "location": "/carpicture04/pic4074/40740292_004.jpg", "updatedDate": "2025-10-16T06:03:03Z", "ordering": 4.0}, {"type": "007", "location": "/carpicture04/pic4074/40740292_007.jpg", "updatedDate": "2025-10-16T06:03:03Z", "ordering": 7.0}]</t>
  </si>
  <si>
    <t>1.6 GDI 스마트</t>
  </si>
  <si>
    <t>2017</t>
  </si>
  <si>
    <t>울산</t>
  </si>
  <si>
    <t>/carpicture04/pic4124/41241229_</t>
  </si>
  <si>
    <t>[{"type": "001", "location": "/carpicture04/pic4124/41241229_001.jpg", "updatedDate": "2025-12-29T01:45:33Z", "ordering": 1.0}, {"type": "003", "location": "/carpicture04/pic4124/41241229_003.jpg", "updatedDate": "2025-12-29T01:45:33Z", "ordering": 3.0}, {"type": "004", "location": "/carpicture04/pic4124/41241229_004.jpg", "updatedDate": "2025-12-29T01:45:33Z", "ordering": 4.0}, {"type": "007", "location": "/carpicture04/pic4124/41241229_007.jpg", "updatedDate": "2025-12-29T01:45:33Z", "ordering": 7.0}]</t>
  </si>
  <si>
    <t>가솔린 1.6 터보 2WD</t>
  </si>
  <si>
    <t>투싼 (NX4)</t>
  </si>
  <si>
    <t>부산</t>
  </si>
  <si>
    <t>/carpicture08/pic4128/41285668_</t>
  </si>
  <si>
    <t>[{"type": "001", "location": "/carpicture08/pic4128/41285668_001.jpg", "updatedDate": "2026-01-06T02:26:11Z", "ordering": 1.0}, {"type": "003", "location": "/carpicture08/pic4128/41285668_003.jpg", "updatedDate": "2026-01-06T02:26:11Z", "ordering": 3.0}, {"type": "004", "location": "/carpicture08/pic4128/41285668_004.jpg", "updatedDate": "2026-01-06T02:26:11Z", "ordering": 4.0}, {"type": "007", "location": "/carpicture08/pic4128/41285668_007.jpg", "updatedDate": "2026-01-06T02:26:11Z", "ordering": 7.0}]</t>
  </si>
  <si>
    <t>["EncarDiagnosisP0"]</t>
  </si>
  <si>
    <t>디젤 1.6 2WD</t>
  </si>
  <si>
    <t>올 뉴 투싼</t>
  </si>
  <si>
    <t>/carpicture08/pic4108/41085806_</t>
  </si>
  <si>
    <t>[{"type": "001", "location": "/carpicture08/pic4108/41085806_001.jpg", "updatedDate": "2025-12-02T07:35:52Z", "ordering": 1.0}, {"type": "003", "location": "/carpicture08/pic4108/41085806_003.jpg", "updatedDate": "2025-12-02T07:35:52Z", "ordering": 3.0}, {"type": "004", "location": "/carpicture08/pic4108/41085806_004.jpg", "updatedDate": "2025-12-02T07:35:52Z", "ordering": 4.0}, {"type": "007", "location": "/carpicture08/pic4108/41085806_007.jpg", "updatedDate": "2025-12-02T07:35:52Z", "ordering": 7.0}]</t>
  </si>
  <si>
    <t>2.5</t>
  </si>
  <si>
    <t>캘리그래피</t>
  </si>
  <si>
    <t>2022</t>
  </si>
  <si>
    <t>더 뉴 그랜저 IG</t>
  </si>
  <si>
    <t>/carpicture05/pic4015/40151520_</t>
  </si>
  <si>
    <t>[{"type": "001", "location": "/carpicture05/pic4015/40151520_001.jpg", "updatedDate": "2025-07-23T05:47:27Z", "ordering": 1.0}, {"type": "003", "location": "/carpicture05/pic4015/40151520_003.jpg", "updatedDate": "2025-07-23T05:47:27Z", "ordering": 3.0}, {"type": "004", "location": "/carpicture05/pic4015/40151520_004.jpg", "updatedDate": "2025-07-23T05:47:27Z", "ordering": 4.0}, {"type": "007", "location": "/carpicture05/pic4015/40151520_007.jpg", "updatedDate": "2025-07-23T05:47:27Z", "ordering": 7.0}]</t>
  </si>
  <si>
    <t>["Warranty", "ExtendWarranty"]</t>
  </si>
  <si>
    <t>/carpicture05/pic3855/38557627_</t>
  </si>
  <si>
    <t>[{"type": "001", "location": "/carpicture05/pic3855/38557627_001.jpg", "updatedDate": "2025-09-08T01:05:57Z", "ordering": 1.0}, {"type": "003", "location": "/carpicture05/pic3855/38557627_003.jpg", "updatedDate": "2025-09-08T01:05:57Z", "ordering": 3.0}, {"type": "004", "location": "/carpicture05/pic3855/38557627_004.jpg", "updatedDate": "2025-09-08T01:05:57Z", "ordering": 4.0}, {"type": "007", "location": "/carpicture05/pic3855/38557627_007.jpg", "updatedDate": "2025-09-08T01:05:57Z", "ordering": 7.0}]</t>
  </si>
  <si>
    <t>/carpicture01/pic4121/41218565_</t>
  </si>
  <si>
    <t>[{"type": "001", "location": "/carpicture01/pic4121/41218565_001.jpg", "updatedDate": "2025-12-23T04:41:01Z", "ordering": 1.0}, {"type": "003", "location": "/carpicture01/pic4121/41218565_003.jpg", "updatedDate": "2025-12-23T04:41:01Z", "ordering": 3.0}, {"type": "004", "location": "/carpicture01/pic4121/41218565_004.jpg", "updatedDate": "2025-12-23T04:41:01Z", "ordering": 4.0}, {"type": "007", "location": "/carpicture01/pic4121/41218565_007.jpg", "updatedDate": "2025-12-23T04:41:01Z", "ordering": 7.0}]</t>
  </si>
  <si>
    <t>카고 5인승</t>
  </si>
  <si>
    <t>/carpicture05/pic4005/40055487_</t>
  </si>
  <si>
    <t>[{"type": "001", "location": "/carpicture05/pic4005/40055487_001.jpg", "updatedDate": "2025-07-10T05:25:45Z", "ordering": 1.0}, {"type": "003", "location": "/carpicture05/pic4005/40055487_003.jpg", "updatedDate": "2025-07-10T05:25:45Z", "ordering": 3.0}, {"type": "004", "location": "/carpicture05/pic4005/40055487_004.jpg", "updatedDate": "2025-07-10T05:25:45Z", "ordering": 4.0}, {"type": "007", "location": "/carpicture05/pic4005/40055487_007.jpg", "updatedDate": "2025-07-10T05:25:45Z", "ordering": 7.0}]</t>
  </si>
  <si>
    <t>2.0 GDi</t>
  </si>
  <si>
    <t>더 뉴 i40</t>
  </si>
  <si>
    <t>/carpicture04/pic3934/39345655_</t>
  </si>
  <si>
    <t>[{"type": "001", "location": "/carpicture04/pic3934/39345655_001.jpg", "updatedDate": "2025-04-01T00:52:26Z", "ordering": 1.0}, {"type": "003", "location": "/carpicture04/pic3934/39345655_003.jpg", "updatedDate": "2025-04-01T00:52:26Z", "ordering": 3.0}, {"type": "004", "location": "/carpicture04/pic3934/39345655_004.jpg", "updatedDate": "2025-04-01T00:52:26Z", "ordering": 4.0}, {"type": "007", "location": "/carpicture04/pic3934/39345655_007.jpg", "updatedDate": "2025-04-01T00:52:26Z", "ordering": 7.0}]</t>
  </si>
  <si>
    <t>2.4 프리미엄</t>
  </si>
  <si>
    <t>그랜저 IG</t>
  </si>
  <si>
    <t>/carpicture05/pic4095/40952759_</t>
  </si>
  <si>
    <t>[{"type": "001", "location": "/carpicture05/pic4095/40952759_001.jpg", "updatedDate": "2025-11-13T07:07:50Z", "ordering": 1.0}, {"type": "003", "location": "/carpicture05/pic4095/40952759_003.jpg", "updatedDate": "2025-11-13T07:07:50Z", "ordering": 3.0}, {"type": "004", "location": "/carpicture05/pic4095/40952759_004.jpg", "updatedDate": "2025-11-13T07:07:50Z", "ordering": 4.0}, {"type": "007", "location": "/carpicture05/pic4095/40952759_007.jpg", "updatedDate": "2025-11-13T07:07:50Z", "ordering": 7.0}]</t>
  </si>
  <si>
    <t>충북</t>
  </si>
  <si>
    <t>/carpicture07/pic4137/41370416_</t>
  </si>
  <si>
    <t>[{"type": "001", "location": "/carpicture07/pic4137/41370416_001.jpg", "updatedDate": "2026-01-19T06:12:06Z", "ordering": 1.0}, {"type": "003", "location": "/carpicture07/pic4137/41370416_003.jpg", "updatedDate": "2026-01-19T06:12:06Z", "ordering": 3.0}, {"type": "004", "location": "/carpicture07/pic4137/41370416_004.jpg", "updatedDate": "2026-01-19T06:12:06Z", "ordering": 4.0}, {"type": "007", "location": "/carpicture07/pic4137/41370416_007.jpg", "updatedDate": "2026-01-19T06:12:06Z", "ordering": 7.0}]</t>
  </si>
  <si>
    <t>디젤(e-VGT) 2.0 2WD 모던</t>
  </si>
  <si>
    <t>2015</t>
  </si>
  <si>
    <t>싼타페 DM</t>
  </si>
  <si>
    <t>충남</t>
  </si>
  <si>
    <t>/carpicture09/pic4139/41398674_</t>
  </si>
  <si>
    <t>[{"type": "001", "location": "/carpicture09/pic4139/41398674_001.jpg", "updatedDate": "2026-01-23T07:08:49Z", "ordering": 1.0}, {"type": "003", "location": "/carpicture09/pic4139/41398674_003.jpg", "updatedDate": "2026-01-23T07:08:49Z", "ordering": 3.0}, {"type": "004", "location": "/carpicture09/pic4139/41398674_004.jpg", "updatedDate": "2026-01-23T07:08:49Z", "ordering": 4.0}, {"type": "007", "location": "/carpicture09/pic4139/41398674_007.jpg", "updatedDate": "2026-01-23T07:08:49Z", "ordering": 7.0}]</t>
  </si>
  <si>
    <t>가솔린 2.0T 2WD</t>
  </si>
  <si>
    <t>싼타페 TM</t>
  </si>
  <si>
    <t>대구</t>
  </si>
  <si>
    <t>/carpicture03/pic4113/41130226_</t>
  </si>
  <si>
    <t>[{"type": "001", "location": "/carpicture03/pic4113/41130226_001.jpg", "updatedDate": "2025-12-09T06:39:59Z", "ordering": 1.0}, {"type": "003", "location": "/carpicture03/pic4113/41130226_003.jpg", "updatedDate": "2025-12-09T06:39:59Z", "ordering": 3.0}, {"type": "004", "location": "/carpicture03/pic4113/41130226_004.jpg", "updatedDate": "2025-12-09T06:39:59Z", "ordering": 4.0}, {"type": "007", "location": "/carpicture03/pic4113/41130226_007.jpg", "updatedDate": "2025-12-09T06:39:59Z", "ordering": 7.0}]</t>
  </si>
  <si>
    <t>가솔린+전기</t>
  </si>
  <si>
    <t>그랜저 HG 하이브리드</t>
  </si>
  <si>
    <t>/carpicture08/pic4098/40988766_</t>
  </si>
  <si>
    <t>[{"type": "001", "location": "/carpicture08/pic4098/40988766_001.jpg", "updatedDate": "2025-11-20T01:44:32Z", "ordering": 1.0}, {"type": "003", "location": "/carpicture08/pic4098/40988766_003.jpg", "updatedDate": "2025-11-20T01:44:32Z", "ordering": 3.0}, {"type": "004", "location": "/carpicture08/pic4098/40988766_004.jpg", "updatedDate": "2025-11-20T01:44:32Z", "ordering": 4.0}, {"type": "007", "location": "/carpicture08/pic4098/40988766_007.jpg", "updatedDate": "2025-11-20T01:44:32Z", "ordering": 7.0}]</t>
  </si>
  <si>
    <t>3.0 LPi 익스클루시브 (렌터카)</t>
  </si>
  <si>
    <t>서울</t>
  </si>
  <si>
    <t>/carpicture08/pic4138/41388391_</t>
  </si>
  <si>
    <t>[{"type": "001", "location": "/carpicture08/pic4138/41388391_001.jpg", "updatedDate": "2026-01-22T05:56:16Z", "ordering": 1.0}, {"type": "003", "location": "/carpicture08/pic4138/41388391_003.jpg", "updatedDate": "2026-01-22T05:56:16Z", "ordering": 3.0}, {"type": "004", "location": "/carpicture08/pic4138/41388391_004.jpg", "updatedDate": "2026-01-22T05:56:16Z", "ordering": 4.0}, {"type": "007", "location": "/carpicture08/pic4138/41388391_007.jpg", "updatedDate": "2026-01-22T05:56:16Z", "ordering": 7.0}]</t>
  </si>
  <si>
    <t>CONTRACT</t>
  </si>
  <si>
    <t>밴</t>
  </si>
  <si>
    <t>캐스퍼</t>
  </si>
  <si>
    <t>인천</t>
  </si>
  <si>
    <t>/carpicture06/pic4136/41369527_</t>
  </si>
  <si>
    <t>[{"type": "001", "location": "/carpicture06/pic4136/41369527_001.jpg", "updatedDate": "2026-01-19T07:56:25Z", "ordering": 1.0}, {"type": "003", "location": "/carpicture06/pic4136/41369527_003.jpg", "updatedDate": "2026-01-19T07:56:25Z", "ordering": 3.0}, {"type": "004", "location": "/carpicture06/pic4136/41369527_004.jpg", "updatedDate": "2026-01-19T07:56:25Z", "ordering": 4.0}, {"type": "007", "location": "/carpicture06/pic4136/41369527_007.jpg", "updatedDate": "2026-01-19T07:56:25Z", "ordering": 7.0}]</t>
  </si>
  <si>
    <t>/carpicture09/pic4139/41390598_</t>
  </si>
  <si>
    <t>[{"type": "001", "location": "/carpicture09/pic4139/41390598_001.jpg", "updatedDate": "2026-01-22T06:55:44Z", "ordering": 1.0}, {"type": "003", "location": "/carpicture09/pic4139/41390598_003.jpg", "updatedDate": "2026-01-22T06:55:44Z", "ordering": 3.0}, {"type": "004", "location": "/carpicture09/pic4139/41390598_004.jpg", "updatedDate": "2026-01-22T06:55:44Z", "ordering": 4.0}, {"type": "007", "location": "/carpicture09/pic4139/41390598_007.jpg", "updatedDate": "2026-01-22T06:55:44Z", "ordering": 7.0}]</t>
  </si>
  <si>
    <t>M16 GDI 럭셔리</t>
  </si>
  <si>
    <t>2011</t>
  </si>
  <si>
    <t>아반떼 MD</t>
  </si>
  <si>
    <t>/carpicture09/pic4139/41393805_</t>
  </si>
  <si>
    <t>[{"type": "001", "location": "/carpicture09/pic4139/41393805_001.jpg", "updatedDate": "2026-01-22T06:37:24Z", "ordering": 1.0}, {"type": "003", "location": "/carpicture09/pic4139/41393805_003.jpg", "updatedDate": "2026-01-22T06:37:24Z", "ordering": 3.0}, {"type": "004", "location": "/carpicture09/pic4139/41393805_004.jpg", "updatedDate": "2026-01-22T06:37:24Z", "ordering": 4.0}, {"type": "007", "location": "/carpicture09/pic4139/41393805_007.jpg", "updatedDate": "2026-01-22T06:37:24Z", "ordering": 7.0}]</t>
  </si>
  <si>
    <t>1.6 GDI 밸류 플러스</t>
  </si>
  <si>
    <t>/carpicture01/pic4131/41315606_</t>
  </si>
  <si>
    <t>[{"type": "001", "location": "/carpicture01/pic4131/41315606_001.jpg", "updatedDate": "2026-01-12T06:50:07Z", "ordering": 1.0}, {"type": "003", "location": "/carpicture01/pic4131/41315606_003.jpg", "updatedDate": "2026-01-12T06:50:07Z", "ordering": 3.0}, {"type": "004", "location": "/carpicture01/pic4131/41315606_004.jpg", "updatedDate": "2026-01-12T06:50:07Z", "ordering": 4.0}, {"type": "007", "location": "/carpicture01/pic4131/41315606_007.jpg", "updatedDate": "2026-01-12T06:50:07Z", "ordering": 7.0}]</t>
  </si>
  <si>
    <t>르블랑</t>
  </si>
  <si>
    <t>/carpicture01/pic4131/41313544_</t>
  </si>
  <si>
    <t>[{"type": "001", "location": "/carpicture01/pic4131/41313544_001.jpg", "updatedDate": "2026-01-09T01:52:11Z", "ordering": 1.0}, {"type": "003", "location": "/carpicture01/pic4131/41313544_003.jpg", "updatedDate": "2026-01-09T01:52:11Z", "ordering": 3.0}, {"type": "004", "location": "/carpicture01/pic4131/41313544_004.jpg", "updatedDate": "2026-01-09T01:52:11Z", "ordering": 4.0}, {"type": "007", "location": "/carpicture01/pic4131/41313544_007.jpg", "updatedDate": "2026-01-09T01:52:11Z", "ordering": 7.0}]</t>
  </si>
  <si>
    <t>M16 GDI 모던</t>
  </si>
  <si>
    <t>2013</t>
  </si>
  <si>
    <t>/carpicture03/pic4113/41135028_</t>
  </si>
  <si>
    <t>[{"type": "001", "location": "/carpicture03/pic4113/41135028_001.jpg", "updatedDate": "2025-12-09T07:54:49Z", "ordering": 1.0}, {"type": "003", "location": "/carpicture03/pic4113/41135028_003.jpg", "updatedDate": "2025-12-09T07:54:49Z", "ordering": 3.0}, {"type": "004", "location": "/carpicture03/pic4113/41135028_004.jpg", "updatedDate": "2025-12-09T07:54:49Z", "ordering": 4.0}, {"type": "007", "location": "/carpicture03/pic4113/41135028_007.jpg", "updatedDate": "2025-12-09T07:54:49Z", "ordering": 7.0}]</t>
  </si>
  <si>
    <t>/carpicture09/pic4139/41393779_</t>
  </si>
  <si>
    <t>[{"type": "001", "location": "/carpicture09/pic4139/41393779_001.jpg", "updatedDate": "2026-01-22T06:46:07Z", "ordering": 1.0}, {"type": "003", "location": "/carpicture09/pic4139/41393779_003.jpg", "updatedDate": "2026-01-22T06:46:07Z", "ordering": 3.0}, {"type": "004", "location": "/carpicture09/pic4139/41393779_004.jpg", "updatedDate": "2026-01-22T06:46:07Z", "ordering": 4.0}, {"type": "007", "location": "/carpicture09/pic4139/41393779_007.jpg", "updatedDate": "2026-01-22T06:46:07Z", "ordering": 7.0}]</t>
  </si>
  <si>
    <t>/carpicture05/pic4135/41359860_</t>
  </si>
  <si>
    <t>[{"type": "001", "location": "/carpicture05/pic4135/41359860_001.jpg", "updatedDate": "2026-01-19T01:00:33Z", "ordering": 1.0}, {"type": "003", "location": "/carpicture05/pic4135/41359860_003.jpg", "updatedDate": "2026-01-19T01:00:33Z", "ordering": 3.0}, {"type": "004", "location": "/carpicture05/pic4135/41359860_004.jpg", "updatedDate": "2026-01-19T01:00:33Z", "ordering": 4.0}, {"type": "007", "location": "/carpicture05/pic4135/41359860_007.jpg", "updatedDate": "2026-01-19T01:00:33Z", "ordering": 7.0}]</t>
  </si>
  <si>
    <t>가솔린 2.5T 4WD</t>
  </si>
  <si>
    <t>2024</t>
  </si>
  <si>
    <t>싼타페 (MX5)</t>
  </si>
  <si>
    <t>/carpicture09/pic3919/39193215_</t>
  </si>
  <si>
    <t>[{"type": "001", "location": "/carpicture09/pic3919/39193215_001.jpg", "updatedDate": "2025-03-11T08:32:48Z", "ordering": 1.0}, {"type": "003", "location": "/carpicture09/pic3919/39193215_003.jpg", "updatedDate": "2025-03-11T08:32:48Z", "ordering": 3.0}, {"type": "004", "location": "/carpicture09/pic3919/39193215_004.jpg", "updatedDate": "2025-03-11T08:32:48Z", "ordering": 4.0}, {"type": "007", "location": "/carpicture09/pic3919/39193215_007.jpg", "updatedDate": "2025-03-11T08:32:48Z", "ordering": 7.0}]</t>
  </si>
  <si>
    <t>VS380</t>
  </si>
  <si>
    <t>에쿠스(신형)</t>
  </si>
  <si>
    <t>/carpicture05/pic3985/39854943_</t>
  </si>
  <si>
    <t>[{"type": "001", "location": "/carpicture05/pic3985/39854943_001.jpg", "updatedDate": "2025-06-12T11:07:40Z", "ordering": 1.0}, {"type": "003", "location": "/carpicture05/pic3985/39854943_003.jpg", "updatedDate": "2025-06-12T11:07:40Z", "ordering": 3.0}, {"type": "004", "location": "/carpicture05/pic3985/39854943_004.jpg", "updatedDate": "2025-06-12T11:07:40Z", "ordering": 4.0}, {"type": "007", "location": "/carpicture05/pic3985/39854943_007.jpg", "updatedDate": "2025-06-12T11:07:40Z", "ordering": 7.0}]</t>
  </si>
  <si>
    <t>2.0 모던</t>
  </si>
  <si>
    <t>/carpicture08/pic4118/41189526_</t>
  </si>
  <si>
    <t>[{"type": "001", "location": "/carpicture08/pic4118/41189526_001.jpg", "updatedDate": "2025-12-19T00:44:11Z", "ordering": 1.0}, {"type": "003", "location": "/carpicture08/pic4118/41189526_003.jpg", "updatedDate": "2025-12-19T00:44:11Z", "ordering": 3.0}, {"type": "004", "location": "/carpicture08/pic4118/41189526_004.jpg", "updatedDate": "2025-12-19T00:44:11Z", "ordering": 4.0}, {"type": "007", "location": "/carpicture08/pic4118/41189526_007.jpg", "updatedDate": "2025-12-19T00:44:11Z", "ordering": 7.0}]</t>
  </si>
  <si>
    <t>/carpicture08/pic4118/41187820_</t>
  </si>
  <si>
    <t>[{"type": "001", "location": "/carpicture08/pic4118/41187820_001.jpg", "updatedDate": "2025-12-17T07:55:51Z", "ordering": 1.0}, {"type": "003", "location": "/carpicture08/pic4118/41187820_003.jpg", "updatedDate": "2025-12-17T07:55:51Z", "ordering": 3.0}, {"type": "004", "location": "/carpicture08/pic4118/41187820_004.jpg", "updatedDate": "2025-12-17T07:55:51Z", "ordering": 4.0}, {"type": "007", "location": "/carpicture08/pic4118/41187820_007.jpg", "updatedDate": "2025-12-17T07:55:51Z", "ordering": 7.0}]</t>
  </si>
  <si>
    <t>4WD 투어러 9인승</t>
  </si>
  <si>
    <t>/carpicture09/pic4119/41194026_</t>
  </si>
  <si>
    <t>[{"type": "001", "location": "/carpicture09/pic4119/41194026_001.jpg", "updatedDate": "2025-12-18T07:55:36Z", "ordering": 1.0}, {"type": "003", "location": "/carpicture09/pic4119/41194026_003.jpg", "updatedDate": "2025-12-18T07:55:36Z", "ordering": 3.0}, {"type": "004", "location": "/carpicture09/pic4119/41194026_004.jpg", "updatedDate": "2025-12-18T07:55:36Z", "ordering": 4.0}, {"type": "007", "location": "/carpicture09/pic4119/41194026_007.jpg", "updatedDate": "2025-12-18T07:55:36Z", "ordering": 7.0}]</t>
  </si>
  <si>
    <t>1.4 터보</t>
  </si>
  <si>
    <t>i30 (PD)</t>
  </si>
  <si>
    <t>/carpicture07/pic4127/41274924_</t>
  </si>
  <si>
    <t>[{"type": "001", "location": "/carpicture07/pic4127/41274924_001.jpg", "updatedDate": "2026-01-06T07:52:45Z", "ordering": 1.0}, {"type": "003", "location": "/carpicture07/pic4127/41274924_003.jpg", "updatedDate": "2026-01-06T07:52:45Z", "ordering": 3.0}, {"type": "004", "location": "/carpicture07/pic4127/41274924_004.jpg", "updatedDate": "2026-01-06T07:52:45Z", "ordering": 4.0}, {"type": "007", "location": "/carpicture07/pic4127/41274924_007.jpg", "updatedDate": "2026-01-06T07:52:45Z", "ordering": 7.0}]</t>
  </si>
  <si>
    <t>1.6 터보 2WD</t>
  </si>
  <si>
    <t>모던 테크</t>
  </si>
  <si>
    <t>코나</t>
  </si>
  <si>
    <t>/carpicture07/pic4127/41270430_</t>
  </si>
  <si>
    <t>[{"type": "001", "location": "/carpicture07/pic4127/41270430_001.jpg", "updatedDate": "2026-01-02T08:12:00Z", "ordering": 1.0}, {"type": "003", "location": "/carpicture07/pic4127/41270430_003.jpg", "updatedDate": "2026-01-02T08:12:00Z", "ordering": 3.0}, {"type": "004", "location": "/carpicture07/pic4127/41270430_004.jpg", "updatedDate": "2026-01-02T08:12:00Z", "ordering": 4.0}, {"type": "007", "location": "/carpicture07/pic4127/41270430_007.jpg", "updatedDate": "2026-01-02T08:12:00Z", "ordering": 7.0}]</t>
  </si>
  <si>
    <t>/carpicture05/pic4125/41259286_</t>
  </si>
  <si>
    <t>[{"type": "001", "location": "/carpicture05/pic4125/41259286_001.jpg", "updatedDate": "2025-12-31T01:56:05Z", "ordering": 1.0}, {"type": "003", "location": "/carpicture05/pic4125/41259286_003.jpg", "updatedDate": "2025-12-31T01:56:05Z", "ordering": 3.0}, {"type": "004", "location": "/carpicture05/pic4125/41259286_004.jpg", "updatedDate": "2025-12-31T01:56:05Z", "ordering": 4.0}, {"type": "007", "location": "/carpicture05/pic4125/41259286_007.jpg", "updatedDate": "2025-12-31T01:56:05Z", "ordering": 7.0}]</t>
  </si>
  <si>
    <t>아반떼 하이브리드 (CN7)</t>
  </si>
  <si>
    <t>/carpicture05/pic4125/41254301_</t>
  </si>
  <si>
    <t>[{"type": "001", "location": "/carpicture05/pic4125/41254301_001.jpg", "updatedDate": "2025-12-30T05:56:04Z", "ordering": 1.0}, {"type": "003", "location": "/carpicture05/pic4125/41254301_003.jpg", "updatedDate": "2025-12-30T05:56:04Z", "ordering": 3.0}, {"type": "004", "location": "/carpicture05/pic4125/41254301_004.jpg", "updatedDate": "2025-12-30T05:56:04Z", "ordering": 4.0}, {"type": "007", "location": "/carpicture05/pic4125/41254301_007.jpg", "updatedDate": "2025-12-30T05:56:04Z", "ordering": 7.0}]</t>
  </si>
  <si>
    <t>3.0 LPi (렌터카용)</t>
  </si>
  <si>
    <t>/carpicture04/pic4124/41247540_</t>
  </si>
  <si>
    <t>[{"type": "001", "location": "/carpicture04/pic4124/41247540_001.jpg", "updatedDate": "2025-12-30T01:51:57Z", "ordering": 1.0}, {"type": "003", "location": "/carpicture04/pic4124/41247540_003.jpg", "updatedDate": "2025-12-30T01:51:57Z", "ordering": 3.0}, {"type": "004", "location": "/carpicture04/pic4124/41247540_004.jpg", "updatedDate": "2025-12-30T01:51:57Z", "ordering": 4.0}, {"type": "007", "location": "/carpicture04/pic4124/41247540_007.jpg", "updatedDate": "2025-12-30T01:51:57Z", "ordering": 7.0}]</t>
  </si>
  <si>
    <t>/carpicture03/pic4123/41238114_</t>
  </si>
  <si>
    <t>[{"type": "001", "location": "/carpicture03/pic4123/41238114_001.jpg", "updatedDate": "2025-12-29T07:56:42Z", "ordering": 1.0}, {"type": "003", "location": "/carpicture03/pic4123/41238114_003.jpg", "updatedDate": "2025-12-29T07:56:42Z", "ordering": 3.0}, {"type": "004", "location": "/carpicture03/pic4123/41238114_004.jpg", "updatedDate": "2025-12-29T07:56:42Z", "ordering": 4.0}, {"type": "007", "location": "/carpicture03/pic4123/41238114_007.jpg", "updatedDate": "2025-12-29T07:56:42Z", "ordering": 7.0}]</t>
  </si>
  <si>
    <t>로열</t>
  </si>
  <si>
    <t>쏘나타 하이브리드</t>
  </si>
  <si>
    <t>/carpicture02/pic4112/41128990_</t>
  </si>
  <si>
    <t>[{"type": "001", "location": "/carpicture02/pic4112/41128990_001.jpg", "updatedDate": "2025-12-10T07:14:56Z", "ordering": 1.0}, {"type": "003", "location": "/carpicture02/pic4112/41128990_003.jpg", "updatedDate": "2025-12-10T07:14:56Z", "ordering": 3.0}, {"type": "004", "location": "/carpicture02/pic4112/41128990_004.jpg", "updatedDate": "2025-12-10T07:14:56Z", "ordering": 4.0}, {"type": "007", "location": "/carpicture02/pic4112/41128990_007.jpg", "updatedDate": "2025-12-10T07:14:56Z", "ordering": 7.0}]</t>
  </si>
  <si>
    <t>(세부등급 없음)</t>
  </si>
  <si>
    <t>/carpicture02/pic4112/41120507_</t>
  </si>
  <si>
    <t>[{"type": "001", "location": "/carpicture02/pic4112/41120507_001.jpg", "updatedDate": "2025-12-08T04:41:54Z", "ordering": 1.0}, {"type": "003", "location": "/carpicture02/pic4112/41120507_003.jpg", "updatedDate": "2025-12-08T04:41:54Z", "ordering": 3.0}, {"type": "004", "location": "/carpicture02/pic4112/41120507_004.jpg", "updatedDate": "2025-12-08T04:41:54Z", "ordering": 4.0}, {"type": "007", "location": "/carpicture02/pic4112/41120507_007.jpg", "updatedDate": "2025-12-08T04:41:54Z", "ordering": 7.0}]</t>
  </si>
  <si>
    <t>/carpicture02/pic4122/41228721_</t>
  </si>
  <si>
    <t>[{"type": "001", "location": "/carpicture02/pic4122/41228721_001.jpg", "updatedDate": "2026-01-19T02:19:33Z", "ordering": 1.0}, {"type": "003", "location": "/carpicture02/pic4122/41228721_003.jpg", "updatedDate": "2026-01-19T02:19:33Z", "ordering": 3.0}, {"type": "004", "location": "/carpicture02/pic4122/41228721_004.jpg", "updatedDate": "2026-01-19T02:19:33Z", "ordering": 4.0}, {"type": "007", "location": "/carpicture02/pic4122/41228721_007.jpg", "updatedDate": "2026-01-19T02:19:33Z", "ordering": 7.0}]</t>
  </si>
  <si>
    <t>/carpicture02/pic4122/41222823_</t>
  </si>
  <si>
    <t>[{"type": "001", "location": "/carpicture02/pic4122/41222823_001.jpg", "updatedDate": "2025-12-24T00:56:16Z", "ordering": 1.0}, {"type": "003", "location": "/carpicture02/pic4122/41222823_003.jpg", "updatedDate": "2025-12-24T00:56:16Z", "ordering": 3.0}, {"type": "004", "location": "/carpicture02/pic4122/41222823_004.jpg", "updatedDate": "2025-12-24T00:56:16Z", "ordering": 4.0}, {"type": "007", "location": "/carpicture02/pic4122/41222823_007.jpg", "updatedDate": "2025-12-24T00:56:16Z", "ordering": 7.0}]</t>
  </si>
  <si>
    <t>인스퍼레이션 2WD</t>
  </si>
  <si>
    <t>투싼 하이브리드 (NX4)</t>
  </si>
  <si>
    <t>/carpicture10/pic4120/41203439_</t>
  </si>
  <si>
    <t>[{"type": "001", "location": "/carpicture10/pic4120/41203439_001.jpg", "updatedDate": "2025-12-19T07:54:34Z", "ordering": 1.0}, {"type": "003", "location": "/carpicture10/pic4120/41203439_003.jpg", "updatedDate": "2025-12-19T07:54:34Z", "ordering": 3.0}, {"type": "004", "location": "/carpicture10/pic4120/41203439_004.jpg", "updatedDate": "2025-12-19T07:54:34Z", "ordering": 4.0}, {"type": "007", "location": "/carpicture10/pic4120/41203439_007.jpg", "updatedDate": "2025-12-19T07:54:34Z", "ordering": 7.0}]</t>
  </si>
  <si>
    <t>/carpicture09/pic4119/41192737_</t>
  </si>
  <si>
    <t>[{"type": "001", "location": "/carpicture09/pic4119/41192737_001.jpg", "updatedDate": "2025-12-18T05:02:40Z", "ordering": 1.0}, {"type": "003", "location": "/carpicture09/pic4119/41192737_003.jpg", "updatedDate": "2025-12-18T05:02:40Z", "ordering": 3.0}, {"type": "004", "location": "/carpicture09/pic4119/41192737_004.jpg", "updatedDate": "2025-12-18T05:02:40Z", "ordering": 4.0}, {"type": "007", "location": "/carpicture09/pic4119/41192737_007.jpg", "updatedDate": "2025-12-18T05:02:40Z", "ordering": 7.0}]</t>
  </si>
  <si>
    <t>/carpicture08/pic4118/41189810_</t>
  </si>
  <si>
    <t>[{"type": "001", "location": "/carpicture08/pic4118/41189810_001.jpg", "updatedDate": "2025-12-18T01:55:48Z", "ordering": 1.0}, {"type": "003", "location": "/carpicture08/pic4118/41189810_003.jpg", "updatedDate": "2025-12-18T01:55:48Z", "ordering": 3.0}, {"type": "004", "location": "/carpicture08/pic4118/41189810_004.jpg", "updatedDate": "2025-12-18T01:55:48Z", "ordering": 4.0}, {"type": "007", "location": "/carpicture08/pic4118/41189810_007.jpg", "updatedDate": "2025-12-18T01:55:48Z", "ordering": 7.0}]</t>
  </si>
  <si>
    <t>디 에센셜</t>
  </si>
  <si>
    <t>/carpicture06/pic4116/41169630_</t>
  </si>
  <si>
    <t>[{"type": "001", "location": "/carpicture06/pic4116/41169630_001.jpg", "updatedDate": "2025-12-16T01:45:00Z", "ordering": 1.0}, {"type": "003", "location": "/carpicture06/pic4116/41169630_003.jpg", "updatedDate": "2025-12-16T01:45:00Z", "ordering": 3.0}, {"type": "004", "location": "/carpicture06/pic4116/41169630_004.jpg", "updatedDate": "2025-12-16T01:45:00Z", "ordering": 4.0}, {"type": "007", "location": "/carpicture06/pic4116/41169630_007.jpg", "updatedDate": "2025-12-16T01:45:00Z", "ordering": 7.0}]</t>
  </si>
  <si>
    <t>3.0 익스클루시브</t>
  </si>
  <si>
    <t>경북</t>
  </si>
  <si>
    <t>/carpicture07/pic4117/41179282_</t>
  </si>
  <si>
    <t>[{"type": "001", "location": "/carpicture07/pic4117/41179282_001.jpg", "updatedDate": "2025-12-16T06:54:03Z", "ordering": 1.0}, {"type": "003", "location": "/carpicture07/pic4117/41179282_003.jpg", "updatedDate": "2025-12-16T06:54:03Z", "ordering": 3.0}, {"type": "004", "location": "/carpicture07/pic4117/41179282_004.jpg", "updatedDate": "2025-12-16T06:54:03Z", "ordering": 4.0}, {"type": "007", "location": "/carpicture07/pic4117/41179282_007.jpg", "updatedDate": "2025-12-16T06:54:03Z", "ordering": 7.0}]</t>
  </si>
  <si>
    <t>프리미엄 플러스</t>
  </si>
  <si>
    <t>/carpicture06/pic4116/41161416_</t>
  </si>
  <si>
    <t>[{"type": "001", "location": "/carpicture06/pic4116/41161416_001.jpg", "updatedDate": "2025-12-12T07:55:14Z", "ordering": 1.0}, {"type": "003", "location": "/carpicture06/pic4116/41161416_003.jpg", "updatedDate": "2025-12-12T07:55:14Z", "ordering": 3.0}, {"type": "004", "location": "/carpicture06/pic4116/41161416_004.jpg", "updatedDate": "2025-12-12T07:55:14Z", "ordering": 4.0}, {"type": "007", "location": "/carpicture06/pic4116/41161416_007.jpg", "updatedDate": "2025-12-12T07:55:14Z", "ordering": 7.0}]</t>
  </si>
  <si>
    <t>/carpicture05/pic4115/41151139_</t>
  </si>
  <si>
    <t>[{"type": "001", "location": "/carpicture05/pic4115/41151139_001.jpg", "updatedDate": "2025-12-12T01:55:42Z", "ordering": 1.0}, {"type": "003", "location": "/carpicture05/pic4115/41151139_003.jpg", "updatedDate": "2025-12-12T01:55:42Z", "ordering": 3.0}, {"type": "004", "location": "/carpicture05/pic4115/41151139_004.jpg", "updatedDate": "2025-12-12T01:55:42Z", "ordering": 4.0}, {"type": "007", "location": "/carpicture05/pic4115/41151139_007.jpg", "updatedDate": "2025-12-12T01:55:42Z", "ordering": 7.0}]</t>
  </si>
  <si>
    <t>1.5 DOHC 디럭스</t>
  </si>
  <si>
    <t>기본형</t>
  </si>
  <si>
    <t>2001</t>
  </si>
  <si>
    <t>아반떼 XD</t>
  </si>
  <si>
    <t>/carpicture04/pic4114/41149660_</t>
  </si>
  <si>
    <t>[{"type": "001", "location": "/carpicture04/pic4114/41149660_001.jpg", "updatedDate": "2025-12-11T07:02:41Z", "ordering": 1.0}, {"type": "003", "location": "/carpicture04/pic4114/41149660_003.jpg", "updatedDate": "2025-12-11T07:02:41Z", "ordering": 3.0}, {"type": "004", "location": "/carpicture04/pic4114/41149660_004.jpg", "updatedDate": "2025-12-11T07:02:41Z", "ordering": 4.0}, {"type": "007", "location": "/carpicture04/pic4114/41149660_007.jpg", "updatedDate": "2025-12-11T07:02:41Z", "ordering": 7.0}]</t>
  </si>
  <si>
    <t>가솔린 2.5T 2WD</t>
  </si>
  <si>
    <t>/carpicture04/pic4114/41148444_</t>
  </si>
  <si>
    <t>[{"type": "001", "location": "/carpicture04/pic4114/41148444_001.jpg", "updatedDate": "2025-12-11T05:56:00Z", "ordering": 1.0}, {"type": "003", "location": "/carpicture04/pic4114/41148444_003.jpg", "updatedDate": "2025-12-11T05:56:00Z", "ordering": 3.0}, {"type": "004", "location": "/carpicture04/pic4114/41148444_004.jpg", "updatedDate": "2025-12-11T05:56:00Z", "ordering": 4.0}, {"type": "007", "location": "/carpicture04/pic4114/41148444_007.jpg", "updatedDate": "2025-12-11T05:56:00Z", "ordering": 7.0}]</t>
  </si>
  <si>
    <t>/carpicture04/pic4114/41146024_</t>
  </si>
  <si>
    <t>[{"type": "001", "location": "/carpicture04/pic4114/41146024_001.jpg", "updatedDate": "2025-12-12T08:03:27Z", "ordering": 1.0}, {"type": "003", "location": "/carpicture04/pic4114/41146024_003.jpg", "updatedDate": "2025-12-12T08:03:27Z", "ordering": 3.0}, {"type": "004", "location": "/carpicture04/pic4114/41146024_004.jpg", "updatedDate": "2025-12-12T08:03:27Z", "ordering": 4.0}, {"type": "007", "location": "/carpicture04/pic4114/41146024_007.jpg", "updatedDate": "2025-12-12T08:03:27Z", "ordering": 7.0}]</t>
  </si>
  <si>
    <t>/carpicture10/pic4040/40403035_</t>
  </si>
  <si>
    <t>[{"type": "001", "location": "/carpicture10/pic4040/40403035_001.jpg", "updatedDate": "2025-08-28T07:42:54Z", "ordering": 1.0}, {"type": "003", "location": "/carpicture10/pic4040/40403035_003.jpg", "updatedDate": "2025-08-28T07:42:54Z", "ordering": 3.0}, {"type": "004", "location": "/carpicture10/pic4040/40403035_004.jpg", "updatedDate": "2025-08-28T07:42:54Z", "ordering": 4.0}, {"type": "007", "location": "/carpicture10/pic4040/40403035_007.jpg", "updatedDate": "2025-08-28T07:42:54Z", "ordering": 7.0}]</t>
  </si>
  <si>
    <t>더 뉴 팰리세이드</t>
  </si>
  <si>
    <t>/carpicture08/pic4078/40788412_</t>
  </si>
  <si>
    <t>[{"type": "001", "location": "/carpicture08/pic4078/40788412_001.jpg", "updatedDate": "2025-10-23T00:50:36Z", "ordering": 1.0}, {"type": "003", "location": "/carpicture08/pic4078/40788412_003.jpg", "updatedDate": "2025-10-23T00:50:36Z", "ordering": 3.0}, {"type": "004", "location": "/carpicture08/pic4078/40788412_004.jpg", "updatedDate": "2025-10-23T00:50:36Z", "ordering": 4.0}, {"type": "007", "location": "/carpicture08/pic4078/40788412_007.jpg", "updatedDate": "2025-10-23T00:50:36Z", "ordering": 7.0}]</t>
  </si>
  <si>
    <t>/carpicture01/pic4021/40211340_</t>
  </si>
  <si>
    <t>[{"type": "001", "location": "/carpicture01/pic4021/40211340_001.jpg", "updatedDate": "2025-08-01T07:38:12Z", "ordering": 1.0}, {"type": "003", "location": "/carpicture01/pic4021/40211340_003.jpg", "updatedDate": "2025-08-01T07:38:12Z", "ordering": 3.0}, {"type": "004", "location": "/carpicture01/pic4021/40211340_004.jpg", "updatedDate": "2025-08-01T07:38:12Z", "ordering": 4.0}, {"type": "007", "location": "/carpicture01/pic4021/40211340_007.jpg", "updatedDate": "2025-08-01T07:38:12Z", "ordering": 7.0}]</t>
  </si>
  <si>
    <t>["Warranty", "ExtendWarranty", "Compensate"]</t>
  </si>
  <si>
    <t>/carpicture04/pic4034/40349454_</t>
  </si>
  <si>
    <t>[{"type": "001", "location": "/carpicture04/pic4034/40349454_001.jpg", "updatedDate": "2025-08-21T05:06:53Z", "ordering": 1.0}, {"type": "003", "location": "/carpicture04/pic4034/40349454_003.jpg", "updatedDate": "2025-08-21T05:06:53Z", "ordering": 3.0}, {"type": "004", "location": "/carpicture04/pic4034/40349454_004.jpg", "updatedDate": "2025-08-21T05:06:53Z", "ordering": 4.0}, {"type": "007", "location": "/carpicture04/pic4034/40349454_007.jpg", "updatedDate": "2025-08-21T05:06:53Z", "ordering": 7.0}]</t>
  </si>
  <si>
    <t>3.0 LPi 모던 (렌터카)</t>
  </si>
  <si>
    <t>["Record"]</t>
  </si>
  <si>
    <t>/carpicture01/pic4081/40815620_</t>
  </si>
  <si>
    <t>[{"type": "001", "location": "/carpicture01/pic4081/40815620_001.jpg", "updatedDate": "2025-10-31T04:30:14Z", "ordering": 1.0}, {"type": "003", "location": "/carpicture01/pic4081/40815620_003.jpg", "updatedDate": "2025-10-31T04:30:14Z", "ordering": 3.0}, {"type": "004", "location": "/carpicture01/pic4081/40815620_004.jpg", "updatedDate": "2025-10-31T04:30:14Z", "ordering": 4.0}, {"type": "007", "location": "/carpicture01/pic4081/40815620_007.jpg", "updatedDate": "2025-10-31T04:30:14Z", "ordering": 7.0}]</t>
  </si>
  <si>
    <t>/carpicture01/pic4081/40815862_</t>
  </si>
  <si>
    <t>[{"type": "001", "location": "/carpicture01/pic4081/40815862_001.jpg", "updatedDate": "2025-10-31T04:37:14Z", "ordering": 1.0}, {"type": "003", "location": "/carpicture01/pic4081/40815862_003.jpg", "updatedDate": "2025-10-31T04:37:14Z", "ordering": 3.0}, {"type": "004", "location": "/carpicture01/pic4081/40815862_004.jpg", "updatedDate": "2025-10-31T04:37:14Z", "ordering": 4.0}, {"type": "007", "location": "/carpicture01/pic4081/40815862_007.jpg", "updatedDate": "2025-10-31T04:37:14Z", "ordering": 7.0}]</t>
  </si>
  <si>
    <t>["R"]</t>
  </si>
  <si>
    <t>/carpicture04/pic4094/40941213_</t>
  </si>
  <si>
    <t>[{"type": "001", "location": "/carpicture04/pic4094/40941213_001.jpg", "updatedDate": "2025-11-12T06:35:00Z", "ordering": 1.0}, {"type": "003", "location": "/carpicture04/pic4094/40941213_003.jpg", "updatedDate": "2025-11-12T06:35:00Z", "ordering": 3.0}, {"type": "004", "location": "/carpicture04/pic4094/40941213_004.jpg", "updatedDate": "2025-11-12T06:35:00Z", "ordering": 4.0}, {"type": "007", "location": "/carpicture04/pic4094/40941213_007.jpg", "updatedDate": "2025-11-12T06:35:00Z", "ordering": 7.0}]</t>
  </si>
  <si>
    <t>2.0 스마트 스페셜</t>
  </si>
  <si>
    <t>/carpicture04/pic4094/40943677_</t>
  </si>
  <si>
    <t>[{"type": "001", "location": "/carpicture04/pic4094/40943677_001.jpg", "updatedDate": "2025-11-13T06:40:04Z", "ordering": 1.0}, {"type": "003", "location": "/carpicture04/pic4094/40943677_003.jpg", "updatedDate": "2025-11-13T06:40:04Z", "ordering": 3.0}, {"type": "004", "location": "/carpicture04/pic4094/40943677_004.jpg", "updatedDate": "2025-11-13T06:40:04Z", "ordering": 4.0}, {"type": "007", "location": "/carpicture04/pic4094/40943677_007.jpg", "updatedDate": "2025-11-13T06:40:04Z", "ordering": 7.0}]</t>
  </si>
  <si>
    <t>터보 인스퍼레이션</t>
  </si>
  <si>
    <t>/carpicture05/pic4095/40951140_</t>
  </si>
  <si>
    <t>[{"type": "001", "location": "/carpicture05/pic4095/40951140_001.jpg", "updatedDate": "2025-11-14T04:39:10Z", "ordering": 1.0}, {"type": "003", "location": "/carpicture05/pic4095/40951140_003.jpg", "updatedDate": "2025-11-14T04:39:10Z", "ordering": 3.0}, {"type": "004", "location": "/carpicture05/pic4095/40951140_004.jpg", "updatedDate": "2025-11-14T04:39:10Z", "ordering": 4.0}, {"type": "007", "location": "/carpicture05/pic4095/40951140_007.jpg", "updatedDate": "2025-11-14T04:39:10Z", "ordering": 7.0}]</t>
  </si>
  <si>
    <t>BH330 럭셔리</t>
  </si>
  <si>
    <t>제네시스</t>
  </si>
  <si>
    <t>/carpicture08/pic4128/41289569_</t>
  </si>
  <si>
    <t>[{"type": "001", "location": "/carpicture08/pic4128/41289569_001.jpg", "updatedDate": "2026-01-23T06:03:00Z", "ordering": 1.0}, {"type": "003", "location": "/carpicture08/pic4128/41289569_003.jpg", "updatedDate": "2026-01-23T06:03:00Z", "ordering": 3.0}, {"type": "004", "location": "/carpicture08/pic4128/41289569_004.jpg", "updatedDate": "2026-01-23T06:03:00Z", "ordering": 4.0}, {"type": "007", "location": "/carpicture08/pic4128/41289569_007.jpg", "updatedDate": "2026-01-23T06:03:00Z", "ordering": 7.0}]</t>
  </si>
  <si>
    <t>G380 프레스티지 AWD</t>
  </si>
  <si>
    <t>["Record", "Resume"]</t>
  </si>
  <si>
    <t>제네시스 DH</t>
  </si>
  <si>
    <t>/carpicture09/pic4129/41296449_</t>
  </si>
  <si>
    <t>[{"type": "001", "location": "/carpicture09/pic4129/41296449_001.jpg", "updatedDate": "2026-01-13T05:47:07Z", "ordering": 1.0}, {"type": "003", "location": "/carpicture09/pic4129/41296449_003.jpg", "updatedDate": "2026-01-13T05:47:07Z", "ordering": 3.0}, {"type": "004", "location": "/carpicture09/pic4129/41296449_004.jpg", "updatedDate": "2026-01-13T05:47:07Z", "ordering": 4.0}, {"type": "007", "location": "/carpicture09/pic4129/41296449_007.jpg", "updatedDate": "2026-01-13T05:47:07Z", "ordering": 7.0}]</t>
  </si>
  <si>
    <t>더 뉴 그랜저 IG 하이브리드</t>
  </si>
  <si>
    <t>/carpicture09/pic4129/41295732_</t>
  </si>
  <si>
    <t>[{"type": "001", "location": "/carpicture09/pic4129/41295732_001.jpg", "updatedDate": "2026-01-07T08:55:42Z", "ordering": 1.0}, {"type": "003", "location": "/carpicture09/pic4129/41295732_003.jpg", "updatedDate": "2026-01-07T08:55:42Z", "ordering": 3.0}, {"type": "004", "location": "/carpicture09/pic4129/41295732_004.jpg", "updatedDate": "2026-01-07T08:55:42Z", "ordering": 4.0}, {"type": "007", "location": "/carpicture09/pic4129/41295732_007.jpg", "updatedDate": "2026-01-07T08:55:42Z", "ordering": 7.0}]</t>
  </si>
  <si>
    <t>디젤 1.7 2WD</t>
  </si>
  <si>
    <t>/carpicture08/pic4128/41285870_</t>
  </si>
  <si>
    <t>[{"type": "001", "location": "/carpicture08/pic4128/41285870_001.jpg", "updatedDate": "2026-01-07T05:55:50Z", "ordering": 1.0}, {"type": "003", "location": "/carpicture08/pic4128/41285870_003.jpg", "updatedDate": "2026-01-07T05:55:50Z", "ordering": 3.0}, {"type": "004", "location": "/carpicture08/pic4128/41285870_004.jpg", "updatedDate": "2026-01-07T05:55:50Z", "ordering": 4.0}, {"type": "007", "location": "/carpicture08/pic4128/41285870_007.jpg", "updatedDate": "2026-01-07T05:55:50Z", "ordering": 7.0}]</t>
  </si>
  <si>
    <t>/carpicture07/pic4127/41279771_</t>
  </si>
  <si>
    <t>[{"type": "001", "location": "/carpicture07/pic4127/41279771_001.jpg", "updatedDate": "2026-01-08T04:30:54Z", "ordering": 1.0}, {"type": "003", "location": "/carpicture07/pic4127/41279771_003.jpg", "updatedDate": "2026-01-08T04:30:54Z", "ordering": 3.0}, {"type": "004", "location": "/carpicture07/pic4127/41279771_004.jpg", "updatedDate": "2026-01-08T04:30:54Z", "ordering": 4.0}, {"type": "007", "location": "/carpicture07/pic4127/41279771_007.jpg", "updatedDate": "2026-01-08T04:30:54Z", "ordering": 7.0}]</t>
  </si>
  <si>
    <t>5인승 밴</t>
  </si>
  <si>
    <t>그랜드 스타렉스</t>
  </si>
  <si>
    <t>/carpicture10/pic4050/40500959_</t>
  </si>
  <si>
    <t>[{"type": "001", "location": "/carpicture10/pic4050/40500959_001.jpg", "updatedDate": "2025-09-10T08:13:08Z", "ordering": 1.0}, {"type": "003", "location": "/carpicture10/pic4050/40500959_003.jpg", "updatedDate": "2025-09-10T08:13:08Z", "ordering": 3.0}, {"type": "004", "location": "/carpicture10/pic4050/40500959_004.jpg", "updatedDate": "2025-09-10T08:13:08Z", "ordering": 4.0}, {"type": "007", "location": "/carpicture10/pic4050/40500959_007.jpg", "updatedDate": "2025-09-10T08:13:08Z", "ordering": 7.0}]</t>
  </si>
  <si>
    <t>1.4 VVT 스마트</t>
  </si>
  <si>
    <t>엑센트(신형)</t>
  </si>
  <si>
    <t>/carpicture04/pic4064/40648835_</t>
  </si>
  <si>
    <t>[{"type": "001", "location": "/carpicture04/pic4064/40648835_001.jpg", "updatedDate": "2025-09-29T05:27:01Z", "ordering": 1.0}, {"type": "003", "location": "/carpicture04/pic4064/40648835_003.jpg", "updatedDate": "2025-09-29T05:27:01Z", "ordering": 3.0}, {"type": "004", "location": "/carpicture04/pic4064/40648835_004.jpg", "updatedDate": "2025-09-29T05:27:01Z", "ordering": 4.0}, {"type": "007", "location": "/carpicture04/pic4064/40648835_007.jpg", "updatedDate": "2025-09-29T05:27:01Z", "ordering": 7.0}]</t>
  </si>
  <si>
    <t>/carpicture08/pic4068/40681023_</t>
  </si>
  <si>
    <t>[{"type": "001", "location": "/carpicture08/pic4068/40681023_001.jpg", "updatedDate": "2025-10-10T04:45:48Z", "ordering": 1.0}, {"type": "003", "location": "/carpicture08/pic4068/40681023_003.jpg", "updatedDate": "2025-10-10T04:45:48Z", "ordering": 3.0}, {"type": "004", "location": "/carpicture08/pic4068/40681023_004.jpg", "updatedDate": "2025-10-10T04:45:48Z", "ordering": 4.0}, {"type": "007", "location": "/carpicture08/pic4068/40681023_007.jpg", "updatedDate": "2025-10-10T04:45:48Z", "ordering": 7.0}]</t>
  </si>
  <si>
    <t>가솔린 3.3 4WD</t>
  </si>
  <si>
    <t>더 뉴 맥스크루즈</t>
  </si>
  <si>
    <t>대전</t>
  </si>
  <si>
    <t>/carpicture02/pic4052/40525443_</t>
  </si>
  <si>
    <t>[{"type": "001", "location": "/carpicture02/pic4052/40525443_001.jpg", "updatedDate": "2025-09-12T06:25:44Z", "ordering": 1.0}, {"type": "003", "location": "/carpicture02/pic4052/40525443_003.jpg", "updatedDate": "2025-09-12T06:25:44Z", "ordering": 3.0}, {"type": "004", "location": "/carpicture02/pic4052/40525443_004.jpg", "updatedDate": "2025-09-12T06:25:44Z", "ordering": 4.0}, {"type": "007", "location": "/carpicture02/pic4052/40525443_007.jpg", "updatedDate": "2025-09-12T06:25:44Z", "ordering": 7.0}]</t>
  </si>
  <si>
    <t>G380 파이니스트 에디션 AWD</t>
  </si>
  <si>
    <t>경남</t>
  </si>
  <si>
    <t>/carpicture05/pic3915/39159625_</t>
  </si>
  <si>
    <t>[{"type": "001", "location": "/carpicture05/pic3915/39159625_001.jpg", "updatedDate": "2025-05-29T06:30:56Z", "ordering": 1.0}, {"type": "003", "location": "/carpicture05/pic3915/39159625_003.jpg", "updatedDate": "2025-05-29T06:30:56Z", "ordering": 3.0}, {"type": "004", "location": "/carpicture05/pic3915/39159625_004.jpg", "updatedDate": "2025-05-29T06:30:56Z", "ordering": 4.0}, {"type": "007", "location": "/carpicture05/pic3915/39159625_007.jpg", "updatedDate": "2025-05-29T06:30:56Z", "ordering": 7.0}]</t>
  </si>
  <si>
    <t>G330 프리미엄 AWD</t>
  </si>
  <si>
    <t>/carpicture02/pic3992/39927353_</t>
  </si>
  <si>
    <t>[{"type": "001", "location": "/carpicture02/pic3992/39927353_001.jpg", "updatedDate": "2025-06-23T06:42:06Z", "ordering": 1.0}, {"type": "003", "location": "/carpicture02/pic3992/39927353_003.jpg", "updatedDate": "2025-06-23T06:42:06Z", "ordering": 3.0}, {"type": "004", "location": "/carpicture02/pic3992/39927353_004.jpg", "updatedDate": "2025-06-23T06:42:06Z", "ordering": 4.0}, {"type": "007", "location": "/carpicture02/pic3992/39927353_007.jpg", "updatedDate": "2025-06-23T06:42:06Z", "ordering": 7.0}]</t>
  </si>
  <si>
    <t>12인승 왜건</t>
  </si>
  <si>
    <t>/carpicture10/pic4000/40006270_</t>
  </si>
  <si>
    <t>[{"type": "001", "location": "/carpicture10/pic4000/40006270_001.jpg", "updatedDate": "2025-07-03T04:58:30Z", "ordering": 1.0}, {"type": "003", "location": "/carpicture10/pic4000/40006270_003.jpg", "updatedDate": "2025-07-03T04:58:30Z", "ordering": 3.0}, {"type": "004", "location": "/carpicture10/pic4000/40006270_004.jpg", "updatedDate": "2025-07-03T04:58:30Z", "ordering": 4.0}, {"type": "007", "location": "/carpicture10/pic4000/40006270_007.jpg", "updatedDate": "2025-07-03T04:58:30Z", "ordering": 7.0}]</t>
  </si>
  <si>
    <t>1.6 GDI 스타일</t>
  </si>
  <si>
    <t>/carpicture03/pic4073/40730683_</t>
  </si>
  <si>
    <t>[{"type": "001", "location": "/carpicture03/pic4073/40730683_001.jpg", "updatedDate": "2025-10-16T01:30:50Z", "ordering": 1.0}, {"type": "003", "location": "/carpicture03/pic4073/40730683_003.jpg", "updatedDate": "2025-10-16T01:30:50Z", "ordering": 3.0}, {"type": "004", "location": "/carpicture03/pic4073/40730683_004.jpg", "updatedDate": "2025-10-16T01:30:50Z", "ordering": 4.0}, {"type": "007", "location": "/carpicture03/pic4073/40730683_007.jpg", "updatedDate": "2025-10-16T01:30:50Z", "ordering": 7.0}]</t>
  </si>
  <si>
    <t>/carpicture01/pic4091/40918149_</t>
  </si>
  <si>
    <t>[{"type": "001", "location": "/carpicture01/pic4091/40918149_001.jpg", "updatedDate": "2025-11-11T08:48:32Z", "ordering": 1.0}, {"type": "003", "location": "/carpicture01/pic4091/40918149_003.jpg", "updatedDate": "2025-11-11T08:48:32Z", "ordering": 3.0}, {"type": "004", "location": "/carpicture01/pic4091/40918149_004.jpg", "updatedDate": "2025-11-11T08:48:32Z", "ordering": 4.0}, {"type": "007", "location": "/carpicture01/pic4091/40918149_007.jpg", "updatedDate": "2025-11-11T08:48:32Z", "ordering": 7.0}]</t>
  </si>
  <si>
    <t>쏘나타 디 엣지 하이브리드(DN8)</t>
  </si>
  <si>
    <t>/carpicture05/pic4085/40854743_</t>
  </si>
  <si>
    <t>[{"type": "001", "location": "/carpicture05/pic4085/40854743_001.jpg", "updatedDate": "2025-10-31T01:17:49Z", "ordering": 1.0}, {"type": "003", "location": "/carpicture05/pic4085/40854743_003.jpg", "updatedDate": "2025-10-31T01:17:49Z", "ordering": 3.0}, {"type": "004", "location": "/carpicture05/pic4085/40854743_004.jpg", "updatedDate": "2025-10-31T01:17:49Z", "ordering": 4.0}, {"type": "007", "location": "/carpicture05/pic4085/40854743_007.jpg", "updatedDate": "2025-10-31T01:17:49Z", "ordering": 7.0}]</t>
  </si>
  <si>
    <t>/carpicture05/pic4085/40851329_</t>
  </si>
  <si>
    <t>[{"type": "001", "location": "/carpicture05/pic4085/40851329_001.jpg", "updatedDate": "2025-10-30T08:22:04Z", "ordering": 1.0}, {"type": "003", "location": "/carpicture05/pic4085/40851329_003.jpg", "updatedDate": "2025-10-30T08:22:04Z", "ordering": 3.0}, {"type": "004", "location": "/carpicture05/pic4085/40851329_004.jpg", "updatedDate": "2025-10-30T08:22:04Z", "ordering": 4.0}, {"type": "007", "location": "/carpicture05/pic4085/40851329_007.jpg", "updatedDate": "2025-10-30T08:22:04Z", "ordering": 7.0}]</t>
  </si>
  <si>
    <t>/carpicture04/pic4084/40844342_</t>
  </si>
  <si>
    <t>[{"type": "001", "location": "/carpicture04/pic4084/40844342_001.jpg", "updatedDate": "2026-01-13T08:39:21Z", "ordering": 1.0}, {"type": "003", "location": "/carpicture04/pic4084/40844342_003.jpg", "updatedDate": "2026-01-13T08:39:21Z", "ordering": 3.0}, {"type": "004", "location": "/carpicture04/pic4084/40844342_004.jpg", "updatedDate": "2026-01-13T08:39:21Z", "ordering": 4.0}, {"type": "007", "location": "/carpicture04/pic4084/40844342_007.jpg", "updatedDate": "2026-01-13T08:39:21Z", "ordering": 7.0}]</t>
  </si>
  <si>
    <t>/carpicture02/pic4092/40928686_</t>
  </si>
  <si>
    <t>[{"type": "001", "location": "/carpicture02/pic4092/40928686_001.jpg", "updatedDate": "2025-11-12T00:13:20Z", "ordering": 1.0}, {"type": "003", "location": "/carpicture02/pic4092/40928686_003.jpg", "updatedDate": "2025-11-12T00:13:20Z", "ordering": 3.0}, {"type": "004", "location": "/carpicture02/pic4092/40928686_004.jpg", "updatedDate": "2025-11-12T00:13:20Z", "ordering": 4.0}, {"type": "007", "location": "/carpicture02/pic4092/40928686_007.jpg", "updatedDate": "2025-11-12T00:13:20Z", "ordering": 7.0}]</t>
  </si>
  <si>
    <t>투어러 9인승</t>
  </si>
  <si>
    <t>/carpicture02/pic4082/40826466_</t>
  </si>
  <si>
    <t>[{"type": "001", "location": "/carpicture02/pic4082/40826466_001.jpg", "updatedDate": "2025-10-28T02:58:59Z", "ordering": 1.0}, {"type": "003", "location": "/carpicture02/pic4082/40826466_003.jpg", "updatedDate": "2025-10-28T02:58:59Z", "ordering": 3.0}, {"type": "004", "location": "/carpicture02/pic4082/40826466_004.jpg", "updatedDate": "2025-10-28T02:58:59Z", "ordering": 4.0}, {"type": "007", "location": "/carpicture02/pic4082/40826466_007.jpg", "updatedDate": "2025-10-28T02:58:59Z", "ordering": 7.0}]</t>
  </si>
  <si>
    <t>/carpicture02/pic4082/40826410_</t>
  </si>
  <si>
    <t>[{"type": "001", "location": "/carpicture02/pic4082/40826410_001.jpg", "updatedDate": "2025-10-28T02:56:36Z", "ordering": 1.0}, {"type": "003", "location": "/carpicture02/pic4082/40826410_003.jpg", "updatedDate": "2025-10-28T02:56:36Z", "ordering": 3.0}, {"type": "004", "location": "/carpicture02/pic4082/40826410_004.jpg", "updatedDate": "2025-10-28T02:56:36Z", "ordering": 4.0}, {"type": "007", "location": "/carpicture02/pic4082/40826410_007.jpg", "updatedDate": "2025-10-28T02:56:36Z", "ordering": 7.0}]</t>
  </si>
  <si>
    <t>/carpicture02/pic4082/40826273_</t>
  </si>
  <si>
    <t>[{"type": "001", "location": "/carpicture02/pic4082/40826273_001.jpg", "updatedDate": "2025-10-28T02:46:57Z", "ordering": 1.0}, {"type": "003", "location": "/carpicture02/pic4082/40826273_003.jpg", "updatedDate": "2025-10-28T02:46:57Z", "ordering": 3.0}, {"type": "004", "location": "/carpicture02/pic4082/40826273_004.jpg", "updatedDate": "2025-10-28T02:46:57Z", "ordering": 4.0}, {"type": "007", "location": "/carpicture02/pic4082/40826273_007.jpg", "updatedDate": "2025-10-28T02:46:57Z", "ordering": 7.0}]</t>
  </si>
  <si>
    <t>/carpicture02/pic4082/40826207_</t>
  </si>
  <si>
    <t>[{"type": "001", "location": "/carpicture02/pic4082/40826207_001.jpg", "updatedDate": "2025-10-28T02:43:00Z", "ordering": 1.0}, {"type": "003", "location": "/carpicture02/pic4082/40826207_003.jpg", "updatedDate": "2025-10-28T02:43:00Z", "ordering": 3.0}, {"type": "004", "location": "/carpicture02/pic4082/40826207_004.jpg", "updatedDate": "2025-10-28T02:43:00Z", "ordering": 4.0}, {"type": "007", "location": "/carpicture02/pic4082/40826207_007.jpg", "updatedDate": "2025-10-28T02:43:00Z", "ordering": 7.0}]</t>
  </si>
  <si>
    <t>/carpicture02/pic4082/40826187_</t>
  </si>
  <si>
    <t>[{"type": "001", "location": "/carpicture02/pic4082/40826187_001.jpg", "updatedDate": "2025-10-28T02:40:59Z", "ordering": 1.0}, {"type": "003", "location": "/carpicture02/pic4082/40826187_003.jpg", "updatedDate": "2025-10-28T02:40:59Z", "ordering": 3.0}, {"type": "004", "location": "/carpicture02/pic4082/40826187_004.jpg", "updatedDate": "2025-10-28T02:40:59Z", "ordering": 4.0}, {"type": "007", "location": "/carpicture02/pic4082/40826187_007.jpg", "updatedDate": "2025-10-28T02:40:59Z", "ordering": 7.0}]</t>
  </si>
  <si>
    <t>["Inspection"]</t>
  </si>
  <si>
    <t>/carpicture02/pic4082/40820916_</t>
  </si>
  <si>
    <t>[{"type": "001", "location": "/carpicture02/pic4082/40820916_001.jpg", "updatedDate": "2025-10-28T01:56:54Z", "ordering": 1.0}, {"type": "003", "location": "/carpicture02/pic4082/40820916_003.jpg", "updatedDate": "2025-10-28T01:56:54Z", "ordering": 3.0}, {"type": "004", "location": "/carpicture02/pic4082/40820916_004.jpg", "updatedDate": "2025-10-28T01:56:54Z", "ordering": 4.0}, {"type": "007", "location": "/carpicture02/pic4082/40820916_007.jpg", "updatedDate": "2025-10-28T01:56:54Z", "ordering": 7.0}]</t>
  </si>
  <si>
    <t>HEV 1.6 2WD</t>
  </si>
  <si>
    <t>/carpicture01/pic4081/40817026_</t>
  </si>
  <si>
    <t>[{"type": "001", "location": "/carpicture01/pic4081/40817026_001.jpg", "updatedDate": "2025-10-27T06:47:57Z", "ordering": 1.0}, {"type": "003", "location": "/carpicture01/pic4081/40817026_003.jpg", "updatedDate": "2025-10-27T06:47:57Z", "ordering": 3.0}, {"type": "004", "location": "/carpicture01/pic4081/40817026_004.jpg", "updatedDate": "2025-10-27T06:47:57Z", "ordering": 4.0}, {"type": "007", "location": "/carpicture01/pic4081/40817026_007.jpg", "updatedDate": "2025-10-27T06:47:57Z", "ordering": 7.0}]</t>
  </si>
  <si>
    <t>/carpicture09/pic4109/41091081_</t>
  </si>
  <si>
    <t>[{"type": "001", "location": "/carpicture09/pic4109/41091081_001.jpg", "updatedDate": "2025-12-03T00:09:18Z", "ordering": 1.0}, {"type": "003", "location": "/carpicture09/pic4109/41091081_003.jpg", "updatedDate": "2025-12-03T00:09:18Z", "ordering": 3.0}, {"type": "004", "location": "/carpicture09/pic4109/41091081_004.jpg", "updatedDate": "2025-12-03T00:09:18Z", "ordering": 4.0}, {"type": "007", "location": "/carpicture09/pic4109/41091081_007.jpg", "updatedDate": "2025-12-03T00:09:18Z", "ordering": 7.0}]</t>
  </si>
  <si>
    <t>1.6 e-VGT 스마트</t>
  </si>
  <si>
    <t>/carpicture06/pic4106/41061934_</t>
  </si>
  <si>
    <t>[{"type": "001", "location": "/carpicture06/pic4106/41061934_001.jpg", "updatedDate": "2025-11-27T07:56:31Z", "ordering": 1.0}, {"type": "003", "location": "/carpicture06/pic4106/41061934_003.jpg", "updatedDate": "2025-11-27T07:56:31Z", "ordering": 3.0}, {"type": "004", "location": "/carpicture06/pic4106/41061934_004.jpg", "updatedDate": "2025-11-27T07:56:31Z", "ordering": 4.0}, {"type": "007", "location": "/carpicture06/pic4106/41061934_007.jpg", "updatedDate": "2025-11-27T07:56:31Z", "ordering": 7.0}]</t>
  </si>
  <si>
    <t>meta.carId</t>
  </si>
  <si>
    <t>vehicle.advertisement.advertisementType</t>
  </si>
  <si>
    <t>vehicle.advertisement.deemedExtendWarranty</t>
  </si>
  <si>
    <t>vehicle.advertisement.diagnosisCar</t>
  </si>
  <si>
    <t>vehicle.advertisement.directInspected</t>
  </si>
  <si>
    <t>vehicle.advertisement.encarPassCategoryType</t>
  </si>
  <si>
    <t>vehicle.advertisement.encarPassType</t>
  </si>
  <si>
    <t>vehicle.advertisement.extendWarranty</t>
  </si>
  <si>
    <t>vehicle.advertisement.hasUnderBodyPhoto</t>
  </si>
  <si>
    <t>vehicle.advertisement.homeService</t>
  </si>
  <si>
    <t>vehicle.advertisement.hotMark</t>
  </si>
  <si>
    <t>vehicle.advertisement.leaseRentInfo</t>
  </si>
  <si>
    <t>vehicle.advertisement.leaseRentInfo.advancePrice</t>
  </si>
  <si>
    <t>vehicle.advertisement.leaseRentInfo.depositPrice</t>
  </si>
  <si>
    <t>vehicle.advertisement.leaseRentInfo.monthlyFee</t>
  </si>
  <si>
    <t>vehicle.advertisement.leaseRentInfo.residualMonth</t>
  </si>
  <si>
    <t>vehicle.advertisement.meetGo</t>
  </si>
  <si>
    <t>vehicle.advertisement.oneLineText</t>
  </si>
  <si>
    <t>vehicle.advertisement.preDelivery</t>
  </si>
  <si>
    <t>vehicle.advertisement.preVerified</t>
  </si>
  <si>
    <t>vehicle.advertisement.price</t>
  </si>
  <si>
    <t>vehicle.advertisement.salesStatus</t>
  </si>
  <si>
    <t>vehicle.advertisement.status</t>
  </si>
  <si>
    <t>vehicle.advertisement.trust</t>
  </si>
  <si>
    <t>vehicle.advertisement.type</t>
  </si>
  <si>
    <t>vehicle.advertisement.underBodyPhotos</t>
  </si>
  <si>
    <t>vehicle.advertisement.warrantyStyleColor</t>
  </si>
  <si>
    <t>vehicle.category.domestic</t>
  </si>
  <si>
    <t>vehicle.category.formYear</t>
  </si>
  <si>
    <t>vehicle.category.gradeCd</t>
  </si>
  <si>
    <t>vehicle.category.gradeDetailCd</t>
  </si>
  <si>
    <t>vehicle.category.gradeDetailEnglishName</t>
  </si>
  <si>
    <t>vehicle.category.gradeDetailName</t>
  </si>
  <si>
    <t>vehicle.category.gradeEnglishName</t>
  </si>
  <si>
    <t>vehicle.category.gradeName</t>
  </si>
  <si>
    <t>vehicle.category.importType</t>
  </si>
  <si>
    <t>vehicle.category.jatoVehicleId</t>
  </si>
  <si>
    <t>vehicle.category.manufacturerCd</t>
  </si>
  <si>
    <t>vehicle.category.manufacturerEnglishName</t>
  </si>
  <si>
    <t>vehicle.category.manufacturerName</t>
  </si>
  <si>
    <t>vehicle.category.modelCd</t>
  </si>
  <si>
    <t>vehicle.category.modelGroupCd</t>
  </si>
  <si>
    <t>vehicle.category.modelGroupEnglishName</t>
  </si>
  <si>
    <t>vehicle.category.modelGroupName</t>
  </si>
  <si>
    <t>vehicle.category.modelName</t>
  </si>
  <si>
    <t>vehicle.category.originPrice</t>
  </si>
  <si>
    <t>vehicle.category.type</t>
  </si>
  <si>
    <t>vehicle.category.warranty.bodyMileage</t>
  </si>
  <si>
    <t>vehicle.category.warranty.bodyMonth</t>
  </si>
  <si>
    <t>vehicle.category.warranty.companyName</t>
  </si>
  <si>
    <t>vehicle.category.warranty.transmissionMileage</t>
  </si>
  <si>
    <t>vehicle.category.warranty.transmissionMonth</t>
  </si>
  <si>
    <t>vehicle.category.warranty.userDefined</t>
  </si>
  <si>
    <t>vehicle.category.yearMonth</t>
  </si>
  <si>
    <t>vehicle.condition.accident.recordView</t>
  </si>
  <si>
    <t>vehicle.condition.accident.resumeView</t>
  </si>
  <si>
    <t>vehicle.condition.inspection.formats</t>
  </si>
  <si>
    <t>vehicle.condition.seizing.pledgeCount</t>
  </si>
  <si>
    <t>vehicle.condition.seizing.seizingCount</t>
  </si>
  <si>
    <t>vehicle.contact.address</t>
  </si>
  <si>
    <t>vehicle.contact.contactType</t>
  </si>
  <si>
    <t>vehicle.contact.isOwnerPartner</t>
  </si>
  <si>
    <t>vehicle.contact.isVerifyOwner</t>
  </si>
  <si>
    <t>vehicle.contact.no</t>
  </si>
  <si>
    <t>vehicle.contact.userId</t>
  </si>
  <si>
    <t>vehicle.contact.userType</t>
  </si>
  <si>
    <t>vehicle.contents.meetGoText</t>
  </si>
  <si>
    <t>vehicle.contents.text</t>
  </si>
  <si>
    <t>vehicle.manage.dummy</t>
  </si>
  <si>
    <t>vehicle.manage.dummyVehicleId</t>
  </si>
  <si>
    <t>vehicle.manage.firstAdvertisedDateTime</t>
  </si>
  <si>
    <t>vehicle.manage.modifyDateTime</t>
  </si>
  <si>
    <t>vehicle.manage.reRegistered</t>
  </si>
  <si>
    <t>vehicle.manage.registDateTime</t>
  </si>
  <si>
    <t>vehicle.manage.subscribeCount</t>
  </si>
  <si>
    <t>vehicle.manage.viewCount</t>
  </si>
  <si>
    <t>vehicle.manage.webReserved</t>
  </si>
  <si>
    <t>vehicle.options.choice</t>
  </si>
  <si>
    <t>vehicle.options.etc</t>
  </si>
  <si>
    <t>vehicle.options.standard</t>
  </si>
  <si>
    <t>vehicle.options.tuning</t>
  </si>
  <si>
    <t>vehicle.options.type</t>
  </si>
  <si>
    <t>vehicle.partnership.brand</t>
  </si>
  <si>
    <t>vehicle.partnership.certifiedBrand</t>
  </si>
  <si>
    <t>vehicle.partnership.dealer</t>
  </si>
  <si>
    <t>vehicle.partnership.dealer.firm.code</t>
  </si>
  <si>
    <t>vehicle.partnership.dealer.firm.diag2Partnered</t>
  </si>
  <si>
    <t>vehicle.partnership.dealer.firm.diagnosisCenters</t>
  </si>
  <si>
    <t>vehicle.partnership.dealer.firm.meetgoCenters</t>
  </si>
  <si>
    <t>vehicle.partnership.dealer.firm.name</t>
  </si>
  <si>
    <t>vehicle.partnership.dealer.name</t>
  </si>
  <si>
    <t>vehicle.partnership.dealer.userId</t>
  </si>
  <si>
    <t>vehicle.partnership.isPartneredVehicle</t>
  </si>
  <si>
    <t>vehicle.partnership.lease</t>
  </si>
  <si>
    <t>vehicle.partnership.rent</t>
  </si>
  <si>
    <t>vehicle.partnership.rent.companyId</t>
  </si>
  <si>
    <t>vehicle.partnership.rent.originCompanyId</t>
  </si>
  <si>
    <t>vehicle.partnership.testdrive.active</t>
  </si>
  <si>
    <t>vehicle.photos</t>
  </si>
  <si>
    <t>vehicle.spec.bodyName</t>
  </si>
  <si>
    <t>vehicle.spec.colorName</t>
  </si>
  <si>
    <t>vehicle.spec.customColor</t>
  </si>
  <si>
    <t>vehicle.spec.displacement</t>
  </si>
  <si>
    <t>vehicle.spec.fuelCd</t>
  </si>
  <si>
    <t>vehicle.spec.fuelName</t>
  </si>
  <si>
    <t>vehicle.spec.mileage</t>
  </si>
  <si>
    <t>vehicle.spec.seatCount</t>
  </si>
  <si>
    <t>vehicle.spec.transmissionName</t>
  </si>
  <si>
    <t>vehicle.spec.type</t>
  </si>
  <si>
    <t>vehicle.vehicleId</t>
  </si>
  <si>
    <t>vehicle.vehicleNo</t>
  </si>
  <si>
    <t>vehicle.vehicleType</t>
  </si>
  <si>
    <t>vehicle.view.encarDiagnosis</t>
  </si>
  <si>
    <t>vehicle.view.encarMeetGo</t>
  </si>
  <si>
    <t>vehicle.vin</t>
  </si>
  <si>
    <t>NORMAL</t>
  </si>
  <si>
    <t>ADVERTISE</t>
  </si>
  <si>
    <t>CAR</t>
  </si>
  <si>
    <t>001</t>
  </si>
  <si>
    <t>002</t>
  </si>
  <si>
    <t>Modern</t>
  </si>
  <si>
    <t>NONE_IMPORT_TYPE</t>
  </si>
  <si>
    <t>Hyundai</t>
  </si>
  <si>
    <t>164</t>
  </si>
  <si>
    <t>019</t>
  </si>
  <si>
    <t>AVANTE</t>
  </si>
  <si>
    <t>아반떼</t>
  </si>
  <si>
    <t>202010</t>
  </si>
  <si>
    <t>["IMAGE"]</t>
  </si>
  <si>
    <t>경기 수원시 권선구 권선로 308</t>
  </si>
  <si>
    <t>MOBILE</t>
  </si>
  <si>
    <t>05062168588</t>
  </si>
  <si>
    <t>DEALER</t>
  </si>
  <si>
    <t>안녕하세요!
수원 도이치 오토월드 카메이트에서
 10년째 정직과 신뢰를 바탕으로 
활동 중인 신윤석 실장이라고 합니다. 
단순히 차량을 한대 판매하기보다 
고객님 한분 한분을 가족으로 생각하여
엄선된 양질의 차량만을 소유할 수 
있게 최선을 다하고 있습니다. 
판매하는 차량들은 소모품 경정비 및 
실내크리닝&amp;광택 완료되었으며
구매하실때 시운전 및 제휴센터를 
통해 리프트 점검 및 하체 확인
스캔점검까지 도와 드리겠습니다. 
언제든지 전화주시고 방문하시면
최고의 서비스로 모시겠습니다. 
★현금영수증 세금계산서 발행가능!!
★전액 할부가능
-최저금리 할부 (제휴캐피탈 연결)
-할부기간 조정 가능 (24개월~60개월)
-할부이용시 최저 3.9%~
★리스가능
-무선수금 리스 가능!!(신용에 따라 월 납입금액 변동가능)
-선수금 납입하시면 훨씬 저렴하게 이용가능하십니다!
-1년이후부터 반납및 인수 가능!(선수금 납입한 경우 해당)
-명의 이전 없이 월 사용료만 납부하는 상품입니다!
-보험료, 자동차세, 이전비 별도!!
★사후관리 철저
-구매후 30일 2000km 성능보증보험 범위내 A/S
(차종및 주행거리에 따라 다를 수 있음)
-판매후 지속적인 차량관리 제공!
@찾아오시는길@
★대중교통이용시
-수원역&amp;버스터미널 차량픽업 가능!!
★자가용 이용시
-네비게이션 '권선로 308-5' 검색후 
 도착시간 알려주시면 맞춰 움직이겠습니다!</t>
  </si>
  <si>
    <t>2026-01-16T09:54:38</t>
  </si>
  <si>
    <t>2026-01-24T17:07:47</t>
  </si>
  <si>
    <t>2026-01-16T09:54:22</t>
  </si>
  <si>
    <t>["10001", "10008", "10006", "10002"]</t>
  </si>
  <si>
    <t>["001", "005", "006", "007", "008", "014", "015", "017", "019", "020", "021", "022", "023", "024", "026", "027", "030", "031", "032", "033", "034", "051", "055", "056", "057", "058", "072", "074", "077", "079", "082", "088", "094", "096", "097"]</t>
  </si>
  <si>
    <t>["023"]</t>
  </si>
  <si>
    <t>5238</t>
  </si>
  <si>
    <t>[{"code": "211", "name": "엔카진단센터 수원 오목천점", "major": true, "telephoneNumber": "031-221-6663", "address": "경기 수원시 권선구 기배로171번길 120"}]</t>
  </si>
  <si>
    <t>카메이트</t>
  </si>
  <si>
    <t>신윤석</t>
  </si>
  <si>
    <t>[{"code": "016", "path": "/carpicture05/pic4135/41356587_016.jpg", "type": "OPTION", "updateDateTime": "2026-01-19T10:41:25", "desc": null}, {"code": "008", "path": "/carpicture05/pic4135/41356587_008.jpg", "type": "INNER", "updateDateTime": "2026-01-19T10:41:25", "desc": null}, {"code": "007", "path": "/carpicture05/pic4135/41356587_007.jpg", "type": "INNER", "updateDateTime": "2026-01-19T10:41:25", "desc": null}, {"code": "013", "path": "/carpicture05/pic4135/41356587_001.jpg", "type": "THUMBNAIL", "updateDateTime": "2026-01-19T10:41:25", "desc": null}, {"code": "020", "path": "/carpicture05/pic4135/41356587_020.jpg", "type": "OPTION", "updateDateTime": "2026-01-19T10:41:25", "desc": null}, {"code": "012", "path": "/carpicture05/pic4135/41356587_001.jpg", "type": "THUMBNAIL", "updateDateTime": "2026-01-19T10:41:25", "desc": null}, {"code": "003", "path": "/carpicture05/pic4135/41356587_003.jpg", "type": "OUTER", "updateDateTime": "2026-01-19T10:41:25", "desc": null}, {"code": "021", "path": "/carpicture05/pic4135/41356587_021.jpg", "type": "OPTION", "updateDateTime": "2026-01-19T10:41:25", "desc": null}, {"code": "002", "path": "/carpicture05/pic4135/41356587_002.jpg", "type": "OUTER", "updateDateTime": "2026-01-19T10:41:25", "desc": null}, {"code": "010", "path": "/carpicture05/pic4135/41356587_010.jpg", "type": "INNER", "updateDateTime": "2026-01-19T10:41:25", "desc": null}, {"code": "022", "path": "/carpicture05/pic4135/41356587_022.jpg", "type": "OPTION", "updateDateTime": "2026-01-19T10:41:25", "desc": null}, {"code": "011", "path": "/carpicture05/pic4135/41356587_001.jpg", "type": "THUMBNAIL", "updateDateTime": "2026-01-19T10:41:25", "desc": null}, {"code": "026", "path": "/carpicture05/pic4135/41356587_001.jpg", "type": "THUMBNAIL", "updateDateTime": "2026-01-19T10:41:25", "desc": null}, {"code": "001", "path": "/carpicture05/pic4135/41356587_001.jpg", "type": "OUTER", "updateDateTime": "2026-01-19T10:41:25", "desc": null}, {"code": "018", "path": "/carpicture05/pic4135/41356587_018.jpg", "type": "OPTION", "updateDateTime": "2026-01-19T10:41:25", "desc": null}, {"code": "017", "path": "/carpicture05/pic4135/41356587_017.jpg", "type": "OPTION", "updateDateTime": "2026-01-19T10:41:25", "desc": null}, {"code": "015", "path": "/carpicture05/pic4135/41356587_015.jpg", "type": "OPTION", "updateDateTime": "2026-01-19T10:41:25", "desc": null}, {"code": "019", "path": "/carpicture05/pic4135/41356587_019.jpg", "type": "OPTION", "updateDateTime": "2026-01-19T10:41:25", "desc": null}, {"code": "005", "path": "/carpicture05/pic4135/41356587_005.jpg", "type": "OUTER", "updateDateTime": "2026-01-19T10:41:25", "desc": null}, {"code": "023", "path": "/carpicture05/pic4135/41356587_023.jpg", "type": "OPTION", "updateDateTime": "2026-01-19T10:41:25", "desc": null}, {"code": "004", "path": "/carpicture05/pic4135/41356587_004.jpg", "type": "OUTER", "updateDateTime": "2026-01-19T10:41:25", "desc": null}, {"code": "009", "path": "/carpicture05/pic4135/41356587_009.jpg", "type": "INNER", "updateDateTime": "2026-01-19T10:41:25", "desc": null}, {"code": "014", "path": "/carpicture05/pic4135/41356587_007.jpg", "type": "THUMBNAIL", "updateDateTime": "2026-01-19T10:41:25", "desc": null}, {"code": "025", "path": "/carpicture05/pic4135/41356587_001.jpg", "type": "THUMBNAIL", "updateDateTime": "2026-01-19T10:41:25", "desc": null}, {"code": "006", "path": "/carpicture05/pic4135/41356587_006.jpg", "type": "INNER", "updateDateTime": "2026-01-19T10:41:25", "desc": null}]</t>
  </si>
  <si>
    <t>준중형차</t>
  </si>
  <si>
    <t>쥐색</t>
  </si>
  <si>
    <t>오토</t>
  </si>
  <si>
    <t>157더9839</t>
  </si>
  <si>
    <t>004</t>
  </si>
  <si>
    <t>Exclusive</t>
  </si>
  <si>
    <t>Diesel 2.0 2WD</t>
  </si>
  <si>
    <t>134</t>
  </si>
  <si>
    <t>017</t>
  </si>
  <si>
    <t>Santafe</t>
  </si>
  <si>
    <t>싼타페</t>
  </si>
  <si>
    <t>201506</t>
  </si>
  <si>
    <t>05062329134</t>
  </si>
  <si>
    <t>2026-01-15T17:09:36</t>
  </si>
  <si>
    <t>2026-01-26T10:21:12</t>
  </si>
  <si>
    <t>2026-01-15T17:09:04</t>
  </si>
  <si>
    <t>["1124", "1126", "1094"]</t>
  </si>
  <si>
    <t>["001", "003", "005", "006", "007", "008", "010", "014", "015", "017", "019", "020", "021", "022", "023", "024", "026", "027", "029", "030", "031", "032", "033", "034", "035", "051", "055", "056", "057", "058", "062", "063", "068", "071", "072", "074", "077", "082", "085", "092", "094", "096", "097"]</t>
  </si>
  <si>
    <t>[{"code": "013", "path": "/carpicture05/pic4135/41353573_001.jpg", "type": "THUMBNAIL", "updateDateTime": "2026-01-15T17:11:00", "desc": null}, {"code": "002", "path": "/carpicture05/pic4135/41353573_002.jpg", "type": "OUTER", "updateDateTime": "2026-01-15T17:11:00", "desc": null}, {"code": "015", "path": "/carpicture05/pic4135/41353573_015.jpg", "type": "OPTION", "updateDateTime": "2026-01-15T17:11:00", "desc": null}, {"code": "003", "path": "/carpicture05/pic4135/41353573_003.jpg", "type": "OUTER", "updateDateTime": "2026-01-15T17:11:00", "desc": null}, {"code": "004", "path": "/carpicture05/pic4135/41353573_004.jpg", "type": "OUTER", "updateDateTime": "2026-01-15T17:11:00", "desc": null}, {"code": "018", "path": "/carpicture05/pic4135/41353573_018.jpg", "type": "OPTION", "updateDateTime": "2026-01-15T17:11:00", "desc": null}, {"code": "022", "path": "/carpicture05/pic4135/41353573_022.jpg", "type": "OPTION", "updateDateTime": "2026-01-15T17:11:00", "desc": null}, {"code": "023", "path": "/carpicture05/pic4135/41353573_023.jpg", "type": "OPTION", "updateDateTime": "2026-01-15T17:11:00", "desc": null}, {"code": "005", "path": "/carpicture05/pic4135/41353573_005.jpg", "type": "OUTER", "updateDateTime": "2026-01-15T17:11:00", "desc": null}, {"code": "011", "path": "/carpicture05/pic4135/41353573_001.jpg", "type": "THUMBNAIL", "updateDateTime": "2026-01-15T17:11:00", "desc": null}, {"code": "016", "path": "/carpicture05/pic4135/41353573_016.jpg", "type": "OPTION", "updateDateTime": "2026-01-15T17:11:00", "desc": null}, {"code": "025", "path": "/carpicture05/pic4135/41353573_001.jpg", "type": "THUMBNAIL", "updateDateTime": "2026-01-15T17:11:00", "desc": null}, {"code": "010", "path": "/carpicture05/pic4135/41353573_010.jpg", "type": "INNER", "updateDateTime": "2026-01-15T17:11:00", "desc": null}, {"code": "001", "path": "/carpicture05/pic4135/41353573_001.jpg", "type": "OUTER", "updateDateTime": "2026-01-15T17:11:00", "desc": null}, {"code": "007", "path": "/carpicture05/pic4135/41353573_007.jpg", "type": "INNER", "updateDateTime": "2026-01-15T17:11:00", "desc": null}, {"code": "021", "path": "/carpicture05/pic4135/41353573_021.jpg", "type": "OPTION", "updateDateTime": "2026-01-15T17:11:00", "desc": null}, {"code": "020", "path": "/carpicture05/pic4135/41353573_020.jpg", "type": "OPTION", "updateDateTime": "2026-01-15T17:11:00", "desc": null}, {"code": "024", "path": "/carpicture05/pic4135/41353573_024.jpg", "type": "OPTION", "updateDateTime": "2026-01-15T17:11:00", "desc": null}, {"code": "019", "path": "/carpicture05/pic4135/41353573_019.jpg", "type": "OPTION", "updateDateTime": "2026-01-15T17:11:00", "desc": null}, {"code": "008", "path": "/carpicture05/pic4135/41353573_008.jpg", "type": "INNER", "updateDateTime": "2026-01-15T17:11:00", "desc": null}, {"code": "026", "path": "/carpicture05/pic4135/41353573_001.jpg", "type": "THUMBNAIL", "updateDateTime": "2026-01-15T17:11:00", "desc": null}, {"code": "006", "path": "/carpicture05/pic4135/41353573_006.jpg", "type": "INNER", "updateDateTime": "2026-01-15T17:11:00", "desc": null}, {"code": "009", "path": "/carpicture05/pic4135/41353573_009.jpg", "type": "INNER", "updateDateTime": "2026-01-15T17:11:00", "desc": null}, {"code": "012", "path": "/carpicture05/pic4135/41353573_001.jpg", "type": "THUMBNAIL", "updateDateTime": "2026-01-15T17:11:00", "desc": null}, {"code": "014", "path": "/carpicture05/pic4135/41353573_007.jpg", "type": "THUMBNAIL", "updateDateTime": "2026-01-15T17:11:00", "desc": null}, {"code": "017", "path": "/carpicture05/pic4135/41353573_017.jpg", "type": "OPTION", "updateDateTime": "2026-01-15T17:11:00", "desc": null}]</t>
  </si>
  <si>
    <t>SUV</t>
  </si>
  <si>
    <t>41모5330</t>
  </si>
  <si>
    <t>013</t>
  </si>
  <si>
    <t>HG240 Modern</t>
  </si>
  <si>
    <t>106</t>
  </si>
  <si>
    <t>Grandeur</t>
  </si>
  <si>
    <t>그랜저</t>
  </si>
  <si>
    <t>201306</t>
  </si>
  <si>
    <t>05062456114</t>
  </si>
  <si>
    <t>2026-01-24T19:53:35</t>
  </si>
  <si>
    <t>2026-01-24T19:53:24</t>
  </si>
  <si>
    <t>["1128", "1125", "1129", "1109"]</t>
  </si>
  <si>
    <t>["001", "003", "005", "006", "007", "008", "010", "014", "015", "017", "019", "020", "021", "022", "023", "024", "026", "027", "030", "031", "032", "033", "034", "035", "051", "055", "056", "057", "058", "063", "068", "071", "072", "074", "077", "082", "085", "094", "096", "097"]</t>
  </si>
  <si>
    <t>[{"code": "025", "path": "/carpicture10/pic4140/41403456_001.jpg", "type": "THUMBNAIL", "updateDateTime": "2026-01-24T19:54:12", "desc": null}, {"code": "013", "path": "/carpicture10/pic4140/41403456_001.jpg", "type": "THUMBNAIL", "updateDateTime": "2026-01-24T19:54:12", "desc": null}, {"code": "002", "path": "/carpicture10/pic4140/41403456_002.jpg", "type": "OUTER", "updateDateTime": "2026-01-24T19:54:12", "desc": null}, {"code": "001", "path": "/carpicture10/pic4140/41403456_001.jpg", "type": "OUTER", "updateDateTime": "2026-01-24T19:54:12", "desc": null}, {"code": "011", "path": "/carpicture10/pic4140/41403456_001.jpg", "type": "THUMBNAIL", "updateDateTime": "2026-01-24T19:54:12", "desc": null}, {"code": "026", "path": "/carpicture10/pic4140/41403456_001.jpg", "type": "THUMBNAIL", "updateDateTime": "2026-01-24T19:54:12", "desc": null}, {"code": "012", "path": "/carpicture10/pic4140/41403456_001.jpg", "type": "THUMBNAIL", "updateDateTime": "2026-01-24T19:54:12", "desc": null}]</t>
  </si>
  <si>
    <t>대형차</t>
  </si>
  <si>
    <t>흰색</t>
  </si>
  <si>
    <t>57모1896</t>
  </si>
  <si>
    <t>Smart</t>
  </si>
  <si>
    <t>154</t>
  </si>
  <si>
    <t>201810</t>
  </si>
  <si>
    <t>05062364255</t>
  </si>
  <si>
    <t>2026-01-22T10:28:44</t>
  </si>
  <si>
    <t>2026-01-24T23:56:19</t>
  </si>
  <si>
    <t>2026-01-22T10:28:32</t>
  </si>
  <si>
    <t>["1143", "1144", "1142"]</t>
  </si>
  <si>
    <t>["001", "005", "006", "007", "008", "014", "015", "017", "019", "020", "022", "023", "024", "026", "027", "030", "031", "032", "033", "055", "056", "057", "058", "071", "072", "074", "075", "082", "088", "096", "097"]</t>
  </si>
  <si>
    <t>[{"code": "022", "path": "/carpicture09/pic4139/41390361_022.jpg", "type": "OPTION", "updateDateTime": "2026-01-22T10:29:56", "desc": null}, {"code": "006", "path": "/carpicture09/pic4139/41390361_006.jpg", "type": "INNER", "updateDateTime": "2026-01-22T10:29:56", "desc": null}, {"code": "011", "path": "/carpicture09/pic4139/41390361_001.jpg", "type": "THUMBNAIL", "updateDateTime": "2026-01-22T10:29:56", "desc": null}, {"code": "025", "path": "/carpicture09/pic4139/41390361_001.jpg", "type": "THUMBNAIL", "updateDateTime": "2026-01-22T10:29:56", "desc": null}, {"code": "010", "path": "/carpicture09/pic4139/41390361_010.jpg", "type": "INNER", "updateDateTime": "2026-01-22T10:29:56", "desc": null}, {"code": "009", "path": "/carpicture09/pic4139/41390361_009.jpg", "type": "INNER", "updateDateTime": "2026-01-22T10:29:56", "desc": null}, {"code": "017", "path": "/carpicture09/pic4139/41390361_017.jpg", "type": "OPTION", "updateDateTime": "2026-01-22T10:29:56", "desc": null}, {"code": "007", "path": "/carpicture09/pic4139/41390361_007.jpg", "type": "INNER", "updateDateTime": "2026-01-22T10:29:56", "desc": null}, {"code": "008", "path": "/carpicture09/pic4139/41390361_008.jpg", "type": "INNER", "updateDateTime": "2026-01-22T10:29:56", "desc": null}, {"code": "001", "path": "/carpicture09/pic4139/41390361_001.jpg", "type": "OUTER", "updateDateTime": "2026-01-22T10:29:56", "desc": null}, {"code": "015", "path": "/carpicture09/pic4139/41390361_015.jpg", "type": "OPTION", "updateDateTime": "2026-01-22T10:29:56", "desc": null}, {"code": "020", "path": "/carpicture09/pic4139/41390361_020.jpg", "type": "OPTION", "updateDateTime": "2026-01-22T10:29:56", "desc": null}, {"code": "012", "path": "/carpicture09/pic4139/41390361_001.jpg", "type": "THUMBNAIL", "updateDateTime": "2026-01-22T10:29:56", "desc": null}, {"code": "013", "path": "/carpicture09/pic4139/41390361_001.jpg", "type": "THUMBNAIL", "updateDateTime": "2026-01-22T10:29:56", "desc": null}, {"code": "014", "path": "/carpicture09/pic4139/41390361_007.jpg", "type": "THUMBNAIL", "updateDateTime": "2026-01-22T10:29:56", "desc": null}, {"code": "018", "path": "/carpicture09/pic4139/41390361_018.jpg", "type": "OPTION", "updateDateTime": "2026-01-22T10:29:56", "desc": null}, {"code": "004", "path": "/carpicture09/pic4139/41390361_004.jpg", "type": "OUTER", "updateDateTime": "2026-01-22T10:29:56", "desc": null}, {"code": "024", "path": "/carpicture09/pic4139/41390361_024.jpg", "type": "OPTION", "updateDateTime": "2026-01-22T10:29:56", "desc": null}, {"code": "016", "path": "/carpicture09/pic4139/41390361_016.jpg", "type": "OPTION", "updateDateTime": "2026-01-22T10:29:56", "desc": null}, {"code": "019", "path": "/carpicture09/pic4139/41390361_019.jpg", "type": "OPTION", "updateDateTime": "2026-01-22T10:29:56", "desc": null}, {"code": "021", "path": "/carpicture09/pic4139/41390361_021.jpg", "type": "OPTION", "updateDateTime": "2026-01-22T10:29:56", "desc": null}, {"code": "005", "path": "/carpicture09/pic4139/41390361_005.jpg", "type": "OUTER", "updateDateTime": "2026-01-22T10:29:56", "desc": null}, {"code": "023", "path": "/carpicture09/pic4139/41390361_023.jpg", "type": "OPTION", "updateDateTime": "2026-01-22T10:29:56", "desc": null}, {"code": "002", "path": "/carpicture09/pic4139/41390361_002.jpg", "type": "OUTER", "updateDateTime": "2026-01-22T10:29:56", "desc": null}, {"code": "003", "path": "/carpicture09/pic4139/41390361_003.jpg", "type": "OUTER", "updateDateTime": "2026-01-22T10:29:56", "desc": null}, {"code": "026", "path": "/carpicture09/pic4139/41390361_001.jpg", "type": "THUMBNAIL", "updateDateTime": "2026-01-22T10:29:56", "desc": null}]</t>
  </si>
  <si>
    <t>166어8176</t>
  </si>
  <si>
    <t>005</t>
  </si>
  <si>
    <t>Diesel 1.6 VGT Extreme</t>
  </si>
  <si>
    <t>117</t>
  </si>
  <si>
    <t>i30</t>
  </si>
  <si>
    <t>201212</t>
  </si>
  <si>
    <t>05062305580</t>
  </si>
  <si>
    <t>2026-01-24T23:40:53</t>
  </si>
  <si>
    <t>2026-01-24T23:40:37</t>
  </si>
  <si>
    <t>["1005", "1007", "1004", "1010"]</t>
  </si>
  <si>
    <t>["001", "003", "005", "006", "007", "008", "010", "014", "015", "017", "019", "020", "021", "022", "023", "024", "026", "027", "029", "030", "031", "032", "055", "056", "057", "058", "071", "072", "074", "094", "096", "097"]</t>
  </si>
  <si>
    <t>[{"code": "011", "path": "/carpicture10/pic4140/41403526_001.jpg", "type": "THUMBNAIL", "updateDateTime": "2026-01-24T23:42:58", "desc": null}, {"code": "023", "path": "/carpicture10/pic4140/41403526_023.jpg", "type": "OPTION", "updateDateTime": "2026-01-24T23:42:58", "desc": null}, {"code": "014", "path": "/carpicture10/pic4140/41403526_007.jpg", "type": "THUMBNAIL", "updateDateTime": "2026-01-24T23:42:58", "desc": null}, {"code": "005", "path": "/carpicture10/pic4140/41403526_005.jpg", "type": "OUTER", "updateDateTime": "2026-01-24T23:42:58", "desc": null}, {"code": "025", "path": "/carpicture10/pic4140/41403526_001.jpg", "type": "THUMBNAIL", "updateDateTime": "2026-01-24T23:42:58", "desc": null}, {"code": "010", "path": "/carpicture10/pic4140/41403526_010.jpg", "type": "INNER", "updateDateTime": "2026-01-24T23:42:58", "desc": null}, {"code": "021", "path": "/carpicture10/pic4140/41403526_021.jpg", "type": "OPTION", "updateDateTime": "2026-01-24T23:42:58", "desc": null}, {"code": "001", "path": "/carpicture10/pic4140/41403526_001.jpg", "type": "OUTER", "updateDateTime": "2026-01-24T23:42:58", "desc": null}, {"code": "007", "path": "/carpicture10/pic4140/41403526_007.jpg", "type": "INNER", "updateDateTime": "2026-01-24T23:42:58", "desc": null}, {"code": "012", "path": "/carpicture10/pic4140/41403526_001.jpg", "type": "THUMBNAIL", "updateDateTime": "2026-01-24T23:42:58", "desc": null}, {"code": "013", "path": "/carpicture10/pic4140/41403526_001.jpg", "type": "THUMBNAIL", "updateDateTime": "2026-01-24T23:42:58", "desc": null}, {"code": "015", "path": "/carpicture10/pic4140/41403526_015.jpg", "type": "OPTION", "updateDateTime": "2026-01-24T23:42:58", "desc": null}, {"code": "022", "path": "/carpicture10/pic4140/41403526_022.jpg", "type": "OPTION", "updateDateTime": "2026-01-24T23:42:58", "desc": null}, {"code": "017", "path": "/carpicture10/pic4140/41403526_017.jpg", "type": "OPTION", "updateDateTime": "2026-01-24T23:42:58", "desc": null}, {"code": "018", "path": "/carpicture10/pic4140/41403526_018.jpg", "type": "OPTION", "updateDateTime": "2026-01-24T23:42:58", "desc": null}, {"code": "002", "path": "/carpicture10/pic4140/41403526_002.jpg", "type": "OUTER", "updateDateTime": "2026-01-24T23:42:58", "desc": null}, {"code": "003", "path": "/carpicture10/pic4140/41403526_003.jpg", "type": "OUTER", "updateDateTime": "2026-01-24T23:42:58", "desc": null}, {"code": "009", "path": "/carpicture10/pic4140/41403526_009.jpg", "type": "INNER", "updateDateTime": "2026-01-24T23:42:58", "desc": null}, {"code": "026", "path": "/carpicture10/pic4140/41403526_001.jpg", "type": "THUMBNAIL", "updateDateTime": "2026-01-24T23:42:58", "desc": null}, {"code": "016", "path": "/carpicture10/pic4140/41403526_016.jpg", "type": "OPTION", "updateDateTime": "2026-01-24T23:42:58", "desc": null}, {"code": "019", "path": "/carpicture10/pic4140/41403526_019.jpg", "type": "OPTION", "updateDateTime": "2026-01-24T23:42:58", "desc": null}, {"code": "020", "path": "/carpicture10/pic4140/41403526_020.jpg", "type": "OPTION", "updateDateTime": "2026-01-24T23:42:58", "desc": null}, {"code": "006", "path": "/carpicture10/pic4140/41403526_006.jpg", "type": "INNER", "updateDateTime": "2026-01-24T23:42:58", "desc": null}, {"code": "008", "path": "/carpicture10/pic4140/41403526_008.jpg", "type": "INNER", "updateDateTime": "2026-01-24T23:42:58", "desc": null}, {"code": "004", "path": "/carpicture10/pic4140/41403526_004.jpg", "type": "OUTER", "updateDateTime": "2026-01-24T23:42:58", "desc": null}]</t>
  </si>
  <si>
    <t>46로4665</t>
  </si>
  <si>
    <t>Special</t>
  </si>
  <si>
    <t>2.0 Smart</t>
  </si>
  <si>
    <t>126</t>
  </si>
  <si>
    <t>018</t>
  </si>
  <si>
    <t>Sonata</t>
  </si>
  <si>
    <t>쏘나타</t>
  </si>
  <si>
    <t>201609</t>
  </si>
  <si>
    <t>05062421864</t>
  </si>
  <si>
    <t>2025-09-15T10:15:43</t>
  </si>
  <si>
    <t>2025-12-22T13:06:02</t>
  </si>
  <si>
    <t>2025-08-11T15:55:44</t>
  </si>
  <si>
    <t>["001", "003", "005", "006", "007", "008", "014", "015", "017", "019", "020", "021", "022", "023", "024", "026", "027", "030", "031", "032", "033", "034", "035", "055", "056", "057", "058", "068", "071", "072", "074", "077", "082", "086", "094", "096", "097"]</t>
  </si>
  <si>
    <t>[{"code": "015", "path": "/carpicture07/pic4027/40279299_015.jpg", "type": "OPTION", "updateDateTime": "2025-08-11T15:57:16", "desc": null}, {"code": "009", "path": "/carpicture07/pic4027/40279299_009.jpg", "type": "INNER", "updateDateTime": "2025-08-11T15:57:16", "desc": null}, {"code": "023", "path": "/carpicture07/pic4027/40279299_023.jpg", "type": "OPTION", "updateDateTime": "2025-08-11T15:57:16", "desc": null}, {"code": "012", "path": "/carpicture07/pic4027/40279299_001.jpg", "type": "THUMBNAIL", "updateDateTime": "2025-08-11T15:57:16", "desc": null}, {"code": "002", "path": "/carpicture07/pic4027/40279299_002.jpg", "type": "OUTER", "updateDateTime": "2025-08-11T15:57:16", "desc": null}, {"code": "025", "path": "/carpicture07/pic4027/40279299_001.jpg", "type": "THUMBNAIL", "updateDateTime": "2025-08-11T15:57:16", "desc": null}, {"code": "018", "path": "/carpicture07/pic4027/40279299_018.jpg", "type": "OPTION", "updateDateTime": "2025-08-11T15:57:16", "desc": null}, {"code": "005", "path": "/carpicture07/pic4027/40279299_005.jpg", "type": "OUTER", "updateDateTime": "2025-08-11T15:57:16", "desc": null}, {"code": "014", "path": "/carpicture07/pic4027/40279299_007.jpg", "type": "THUMBNAIL", "updateDateTime": "2025-08-11T15:57:16", "desc": null}, {"code": "016", "path": "/carpicture07/pic4027/40279299_016.jpg", "type": "OPTION", "updateDateTime": "2025-08-11T15:57:16", "desc": null}, {"code": "011", "path": "/carpicture07/pic4027/40279299_001.jpg", "type": "THUMBNAIL", "updateDateTime": "2025-08-11T15:57:16", "desc": null}, {"code": "007", "path": "/carpicture07/pic4027/40279299_007.jpg", "type": "INNER", "updateDateTime": "2025-08-11T15:57:16", "desc": null}, {"code": "010", "path": "/carpicture07/pic4027/40279299_010.jpg", "type": "INNER", "updateDateTime": "2025-08-11T15:57:16", "desc": null}, {"code": "006", "path": "/carpicture07/pic4027/40279299_006.jpg", "type": "INNER", "updateDateTime": "2025-08-11T15:57:16", "desc": null}, {"code": "003", "path": "/carpicture07/pic4027/40279299_003.jpg", "type": "OUTER", "updateDateTime": "2025-08-11T15:57:16", "desc": null}, {"code": "020", "path": "/carpicture07/pic4027/40279299_020.jpg", "type": "OPTION", "updateDateTime": "2025-08-11T15:57:16", "desc": null}, {"code": "008", "path": "/carpicture07/pic4027/40279299_008.jpg", "type": "INNER", "updateDateTime": "2025-08-11T15:57:16", "desc": null}, {"code": "013", "path": "/carpicture07/pic4027/40279299_001.jpg", "type": "THUMBNAIL", "updateDateTime": "2025-08-11T15:57:16", "desc": null}, {"code": "001", "path": "/carpicture07/pic4027/40279299_001.jpg", "type": "OUTER", "updateDateTime": "2025-08-11T15:57:16", "desc": null}, {"code": "004", "path": "/carpicture07/pic4027/40279299_004.jpg", "type": "OUTER", "updateDateTime": "2025-08-11T15:57:16", "desc": null}, {"code": "021", "path": "/carpicture07/pic4027/40279299_021.jpg", "type": "OPTION", "updateDateTime": "2025-08-11T15:57:16", "desc": null}, {"code": "024", "path": "/carpicture07/pic4027/40279299_024.jpg", "type": "OPTION", "updateDateTime": "2025-08-11T15:57:16", "desc": null}, {"code": "017", "path": "/carpicture07/pic4027/40279299_017.jpg", "type": "OPTION", "updateDateTime": "2025-08-11T15:57:16", "desc": null}, {"code": "019", "path": "/carpicture07/pic4027/40279299_019.jpg", "type": "OPTION", "updateDateTime": "2025-08-11T15:57:16", "desc": null}, {"code": "026", "path": "/carpicture07/pic4027/40279299_001.jpg", "type": "THUMBNAIL", "updateDateTime": "2025-08-11T15:57:16", "desc": null}, {"code": "022", "path": "/carpicture07/pic4027/40279299_022.jpg", "type": "OPTION", "updateDateTime": "2025-08-11T15:57:16", "desc": null}]</t>
  </si>
  <si>
    <t>중형차</t>
  </si>
  <si>
    <t>은색</t>
  </si>
  <si>
    <t>69부0622</t>
  </si>
  <si>
    <t>008</t>
  </si>
  <si>
    <t>Style</t>
  </si>
  <si>
    <t>Van 5-Seater</t>
  </si>
  <si>
    <t>148</t>
  </si>
  <si>
    <t>015</t>
  </si>
  <si>
    <t>Starex</t>
  </si>
  <si>
    <t>스타렉스</t>
  </si>
  <si>
    <t>05062421059</t>
  </si>
  <si>
    <t>2025-11-21T10:28:41</t>
  </si>
  <si>
    <t>2026-01-24T17:10:47</t>
  </si>
  <si>
    <t>2025-11-21T10:28:30</t>
  </si>
  <si>
    <t>["1009"]</t>
  </si>
  <si>
    <t>["001", "006", "007", "008", "014", "015", "019", "020", "024", "026", "027", "032", "033", "055", "071", "072"]</t>
  </si>
  <si>
    <t>[{"code": "025", "path": "/carpicture01/pic4101/41017047_001.jpg", "type": "THUMBNAIL", "updateDateTime": "2025-11-21T10:30:44", "desc": null}, {"code": "002", "path": "/carpicture01/pic4101/41017047_002.jpg", "type": "OUTER", "updateDateTime": "2025-11-21T10:30:44", "desc": null}, {"code": "006", "path": "/carpicture01/pic4101/41017047_006.jpg", "type": "INNER", "updateDateTime": "2025-11-21T10:30:44", "desc": null}, {"code": "013", "path": "/carpicture01/pic4101/41017047_001.jpg", "type": "THUMBNAIL", "updateDateTime": "2025-11-21T10:30:44", "desc": null}, {"code": "017", "path": "/carpicture01/pic4101/41017047_017.jpg", "type": "OPTION", "updateDateTime": "2025-11-21T10:30:44", "desc": null}, {"code": "012", "path": "/carpicture01/pic4101/41017047_001.jpg", "type": "THUMBNAIL", "updateDateTime": "2025-11-21T10:30:44", "desc": null}, {"code": "015", "path": "/carpicture01/pic4101/41017047_015.jpg", "type": "OPTION", "updateDateTime": "2025-11-21T10:30:44", "desc": null}, {"code": "019", "path": "/carpicture01/pic4101/41017047_019.jpg", "type": "OPTION", "updateDateTime": "2025-11-21T10:30:44", "desc": null}, {"code": "008", "path": "/carpicture01/pic4101/41017047_008.jpg", "type": "INNER", "updateDateTime": "2025-11-21T10:30:44", "desc": null}, {"code": "001", "path": "/carpicture01/pic4101/41017047_001.jpg", "type": "OUTER", "updateDateTime": "2025-11-21T10:30:44", "desc": null}, {"code": "010", "path": "/carpicture01/pic4101/41017047_010.jpg", "type": "INNER", "updateDateTime": "2025-11-21T10:30:44", "desc": null}, {"code": "016", "path": "/carpicture01/pic4101/41017047_016.jpg", "type": "OPTION", "updateDateTime": "2025-11-21T10:30:44", "desc": null}, {"code": "020", "path": "/carpicture01/pic4101/41017047_020.jpg", "type": "OPTION", "updateDateTime": "2025-11-21T10:30:44", "desc": null}, {"code": "007", "path": "/carpicture01/pic4101/41017047_007.jpg", "type": "INNER", "updateDateTime": "2025-11-21T10:30:44", "desc": null}, {"code": "003", "path": "/carpicture01/pic4101/41017047_003.jpg", "type": "OUTER", "updateDateTime": "2025-11-21T10:30:44", "desc": null}, {"code": "005", "path": "/carpicture01/pic4101/41017047_005.jpg", "type": "OUTER", "updateDateTime": "2025-11-21T10:30:44", "desc": null}, {"code": "018", "path": "/carpicture01/pic4101/41017047_018.jpg", "type": "OPTION", "updateDateTime": "2025-11-21T10:30:44", "desc": null}, {"code": "009", "path": "/carpicture01/pic4101/41017047_009.jpg", "type": "INNER", "updateDateTime": "2025-11-21T10:30:44", "desc": null}, {"code": "011", "path": "/carpicture01/pic4101/41017047_001.jpg", "type": "THUMBNAIL", "updateDateTime": "2025-11-21T10:30:44", "desc": null}, {"code": "004", "path": "/carpicture01/pic4101/41017047_004.jpg", "type": "OUTER", "updateDateTime": "2025-11-21T10:30:44", "desc": null}, {"code": "014", "path": "/carpicture01/pic4101/41017047_007.jpg", "type": "THUMBNAIL", "updateDateTime": "2025-11-21T10:30:44", "desc": null}, {"code": "026", "path": "/carpicture01/pic4101/41017047_001.jpg", "type": "THUMBNAIL", "updateDateTime": "2025-11-21T10:30:44", "desc": null}]</t>
  </si>
  <si>
    <t>승합차</t>
  </si>
  <si>
    <t>87너0218</t>
  </si>
  <si>
    <t>["HomeService", "Warranty"]</t>
  </si>
  <si>
    <t>BLACK</t>
  </si>
  <si>
    <t>Premium Choice</t>
  </si>
  <si>
    <t>Diesel 2.2 2WD</t>
  </si>
  <si>
    <t>165</t>
  </si>
  <si>
    <t>202012</t>
  </si>
  <si>
    <t>광주 서구 매월1로 48</t>
  </si>
  <si>
    <t>05062159427</t>
  </si>
  <si>
    <t>저희 차량에 관심을 가져주셔서 감사합니다. 정직과 신용을 기본으로 항상 친절 상담하는
 ㈜ 고바우 상사 안영수입니다.
상기 차량은 엔카 제휴업체로써 전문평가사가 사고 유무를 정확하게 검증한후 판매하는 
 보증 차량이며 진단과 다를 경우 엔카에서 100% 보상해 드리니 믿고 구매하셔도 됩니다.
국가 공인 성능점검기록부 100% 고지하여 무사고 차량을 시세보다 저렴히 믿고 구매 하실수 있도록 최선을 다하겠습니다.
1개월 2천KM 법적 보증보험 가입 차량이며 신용카드 구매 가능합니다.
 현금영수증, 세금 계산서 발급 가능합니다.
차량시승도 가능하며 정비업소에서 차량 상태 확인도 가능합니다.
전국 어디든지 출장 판매 가능합니다.
타지역에서 오신 분들은 배웅도 가능하며, 전화통화 어려우시면 문자상담도 가능합니다.
현재 타시던 차와 대차 가능합니다. 물론 최고가로 보답할 것을 약속드립니다.
찾아오시는길
광주광역시 서구 매월1로48
풍암자동차매매2단지
고바우자동차 안영수
차량설명</t>
  </si>
  <si>
    <t>2026-01-08T10:06:21</t>
  </si>
  <si>
    <t>2026-01-17T10:05:21</t>
  </si>
  <si>
    <t>2026-01-07T14:31:49</t>
  </si>
  <si>
    <t>["1035", "10002"]</t>
  </si>
  <si>
    <t>["001", "004", "005", "006", "007", "008", "014", "015", "017", "019", "020", "021", "022", "023", "024", "026", "027", "031", "032", "033", "034", "035", "055", "056", "057", "058", "059", "063", "068", "072", "074", "075", "077", "082", "084", "085", "088", "094", "096", "097"]</t>
  </si>
  <si>
    <t>1357</t>
  </si>
  <si>
    <t>[{"code": "107", "name": "엔카진단센터 광주점", "major": true, "telephoneNumber": "062-515-7402", "address": "광주 서구 회재유통길 74 1층"}]</t>
  </si>
  <si>
    <t>(주)고바우</t>
  </si>
  <si>
    <t>안영수</t>
  </si>
  <si>
    <t>[{"code": "017", "path": "/carpicture09/pic4129/41298024_017.jpg", "type": "OPTION", "updateDateTime": "2026-01-08T10:02:46", "desc": null}, {"code": "001", "path": "/carpicture09/pic4129/41298024_001.jpg", "type": "OUTER", "updateDateTime": "2026-01-08T10:02:46", "desc": null}, {"code": "023", "path": "/carpicture09/pic4129/41298024_023.jpg", "type": "OPTION", "updateDateTime": "2026-01-08T10:02:46", "desc": null}, {"code": "016", "path": "/carpicture09/pic4129/41298024_016.jpg", "type": "OPTION", "updateDateTime": "2026-01-08T10:02:46", "desc": null}, {"code": "018", "path": "/carpicture09/pic4129/41298024_018.jpg", "type": "OPTION", "updateDateTime": "2026-01-08T10:02:46", "desc": null}, {"code": "004", "path": "/carpicture09/pic4129/41298024_004.jpg", "type": "OUTER", "updateDateTime": "2026-01-08T10:02:46", "desc": null}, {"code": "010", "path": "/carpicture09/pic4129/41298024_010.jpg", "type": "INNER", "updateDateTime": "2026-01-08T10:02:46", "desc": null}, {"code": "006", "path": "/carpicture09/pic4129/41298024_006.jpg", "type": "INNER", "updateDateTime": "2026-01-08T10:02:46", "desc": null}, {"code": "015", "path": "/carpicture09/pic4129/41298024_015.jpg", "type": "OPTION", "updateDateTime": "2026-01-08T10:02:46", "desc": null}, {"code": "019", "path": "/carpicture09/pic4129/41298024_019.jpg", "type": "OPTION", "updateDateTime": "2026-01-08T10:02:46", "desc": null}, {"code": "020", "path": "/carpicture09/pic4129/41298024_020.jpg", "type": "OPTION", "updateDateTime": "2026-01-08T10:02:46", "desc": null}, {"code": "002", "path": "/carpicture09/pic4129/41298024_002.jpg", "type": "OUTER", "updateDateTime": "2026-01-08T10:02:46", "desc": null}, {"code": "021", "path": "/carpicture09/pic4129/41298024_021.jpg", "type": "OPTION", "updateDateTime": "2026-01-08T10:02:46", "desc": null}, {"code": "003", "path": "/carpicture09/pic4129/41298024_003.jpg", "type": "OUTER", "updateDateTime": "2026-01-08T10:02:46", "desc": null}, {"code": "022", "path": "/carpicture09/pic4129/41298024_022.jpg", "type": "OPTION", "updateDateTime": "2026-01-08T10:02:46", "desc": null}, {"code": "008", "path": "/carpicture09/pic4129/41298024_008.jpg", "type": "INNER", "updateDateTime": "2026-01-08T10:02:46", "desc": null}, {"code": "005", "path": "/carpicture09/pic4129/41298024_005.jpg", "type": "OUTER", "updateDateTime": "2026-01-08T10:02:46", "desc": null}, {"code": "009", "path": "/carpicture09/pic4129/41298024_009.jpg", "type": "INNER", "updateDateTime": "2026-01-08T10:02:46", "desc": null}, {"code": "007", "path": "/carpicture09/pic4129/41298024_007.jpg", "type": "INNER", "updateDateTime": "2026-01-08T10:02:46", "desc": null}, {"code": "024", "path": "/carpicture09/pic4129/41298024_024.jpg", "type": "OPTION", "updateDateTime": "2026-01-08T10:02:46", "desc": null}]</t>
  </si>
  <si>
    <t>238루8208</t>
  </si>
  <si>
    <t>KMHS281HGMU335747</t>
  </si>
  <si>
    <t>006</t>
  </si>
  <si>
    <t>HG300 Prime</t>
  </si>
  <si>
    <t>201206</t>
  </si>
  <si>
    <t>05062478483</t>
  </si>
  <si>
    <t>2026-01-05T09:56:46</t>
  </si>
  <si>
    <t>2026-01-09T10:06:14</t>
  </si>
  <si>
    <t>2025-06-16T10:11:19</t>
  </si>
  <si>
    <t>["1031"]</t>
  </si>
  <si>
    <t>["001", "003", "004", "005", "006", "007", "008", "014", "015", "017", "019", "020", "021", "022", "023", "024", "026", "027", "030", "031", "032", "033", "034", "035", "055", "056", "057", "058", "063", "068", "071", "072", "074", "077", "082", "085", "096", "097"]</t>
  </si>
  <si>
    <t>[{"code": "021", "path": "/carpicture07/pic3987/39870119_021.jpg", "type": "OPTION", "updateDateTime": "2025-06-16T11:27:03", "desc": null}, {"code": "016", "path": "/carpicture07/pic3987/39870119_016.jpg", "type": "OPTION", "updateDateTime": "2025-06-16T11:27:03", "desc": null}, {"code": "020", "path": "/carpicture07/pic3987/39870119_020.jpg", "type": "OPTION", "updateDateTime": "2025-06-16T11:27:03", "desc": null}, {"code": "001", "path": "/carpicture07/pic3987/39870119_001.jpg", "type": "OUTER", "updateDateTime": "2025-06-16T11:27:03", "desc": null}, {"code": "004", "path": "/carpicture07/pic3987/39870119_004.jpg", "type": "OUTER", "updateDateTime": "2025-06-16T11:27:03", "desc": null}, {"code": "007", "path": "/carpicture07/pic3987/39870119_007.jpg", "type": "INNER", "updateDateTime": "2025-06-16T11:27:03", "desc": null}, {"code": "008", "path": "/carpicture07/pic3987/39870119_008.jpg", "type": "INNER", "updateDateTime": "2025-06-16T11:27:03", "desc": null}, {"code": "019", "path": "/carpicture07/pic3987/39870119_019.jpg", "type": "OPTION", "updateDateTime": "2025-06-16T11:27:03", "desc": null}, {"code": "023", "path": "/carpicture07/pic3987/39870119_023.jpg", "type": "OPTION", "updateDateTime": "2025-06-16T11:27:03", "desc": null}, {"code": "009", "path": "/carpicture07/pic3987/39870119_009.jpg", "type": "INNER", "updateDateTime": "2025-06-16T11:27:03", "desc": null}, {"code": "002", "path": "/carpicture07/pic3987/39870119_002.jpg", "type": "OUTER", "updateDateTime": "2025-06-16T11:27:03", "desc": null}, {"code": "018", "path": "/carpicture07/pic3987/39870119_018.jpg", "type": "OPTION", "updateDateTime": "2025-06-16T11:27:03", "desc": null}, {"code": "015", "path": "/carpicture07/pic3987/39870119_015.jpg", "type": "OPTION", "updateDateTime": "2025-06-16T11:27:03", "desc": null}, {"code": "010", "path": "/carpicture07/pic3987/39870119_010.jpg", "type": "INNER", "updateDateTime": "2025-06-16T11:27:03", "desc": null}, {"code": "005", "path": "/carpicture07/pic3987/39870119_005.jpg", "type": "OUTER", "updateDateTime": "2025-06-16T11:27:03", "desc": null}, {"code": "017", "path": "/carpicture07/pic3987/39870119_017.jpg", "type": "OPTION", "updateDateTime": "2025-06-16T11:27:03", "desc": null}, {"code": "003", "path": "/carpicture07/pic3987/39870119_003.jpg", "type": "OUTER", "updateDateTime": "2025-06-16T11:27:03", "desc": null}, {"code": "006", "path": "/carpicture07/pic3987/39870119_006.jpg", "type": "INNER", "updateDateTime": "2025-06-16T11:27:03", "desc": null}, {"code": "022", "path": "/carpicture07/pic3987/39870119_022.jpg", "type": "OPTION", "updateDateTime": "2025-06-16T11:27:03", "desc": null}, {"code": "024", "path": "/carpicture07/pic3987/39870119_024.jpg", "type": "OPTION", "updateDateTime": "2025-06-16T11:27:03", "desc": null}]</t>
  </si>
  <si>
    <t>검정색</t>
  </si>
  <si>
    <t>25수3077</t>
  </si>
  <si>
    <t>KMHFF41EBCA178431</t>
  </si>
  <si>
    <t>003</t>
  </si>
  <si>
    <t>1.6 LPi (Rental Car)</t>
  </si>
  <si>
    <t>202205</t>
  </si>
  <si>
    <t>05062046391</t>
  </si>
  <si>
    <t>2026-01-12T14:09:23</t>
  </si>
  <si>
    <t>2026-01-12T14:09:09</t>
  </si>
  <si>
    <t>["1045"]</t>
  </si>
  <si>
    <t>["001", "004", "006", "007", "008", "014", "015", "017", "019", "020", "022", "024", "026", "027", "030", "031", "032", "033", "055", "056", "057", "058", "068", "072", "074", "088", "096", "097"]</t>
  </si>
  <si>
    <t>[{"code": "009", "path": "/carpicture02/pic4132/41326098_009.jpg", "type": "INNER", "updateDateTime": "2026-01-12T14:11:07", "desc": null}, {"code": "026", "path": "/carpicture02/pic4132/41326098_001.jpg", "type": "THUMBNAIL", "updateDateTime": "2026-01-12T14:11:08", "desc": null}, {"code": "001", "path": "/carpicture02/pic4132/41326098_001.jpg", "type": "OUTER", "updateDateTime": "2026-01-12T14:11:07", "desc": null}, {"code": "008", "path": "/carpicture02/pic4132/41326098_008.jpg", "type": "INNER", "updateDateTime": "2026-01-12T14:11:07", "desc": null}, {"code": "007", "path": "/carpicture02/pic4132/41326098_007.jpg", "type": "INNER", "updateDateTime": "2026-01-12T14:11:07", "desc": null}, {"code": "021", "path": "/carpicture02/pic4132/41326098_021.jpg", "type": "OPTION", "updateDateTime": "2026-01-12T14:11:07", "desc": null}, {"code": "015", "path": "/carpicture02/pic4132/41326098_015.jpg", "type": "OPTION", "updateDateTime": "2026-01-12T14:11:07", "desc": null}, {"code": "017", "path": "/carpicture02/pic4132/41326098_017.jpg", "type": "OPTION", "updateDateTime": "2026-01-12T14:11:07", "desc": null}, {"code": "004", "path": "/carpicture02/pic4132/41326098_004.jpg", "type": "OUTER", "updateDateTime": "2026-01-12T14:11:07", "desc": null}, {"code": "019", "path": "/carpicture02/pic4132/41326098_019.jpg", "type": "OPTION", "updateDateTime": "2026-01-12T14:11:07", "desc": null}, {"code": "002", "path": "/carpicture02/pic4132/41326098_002.jpg", "type": "OUTER", "updateDateTime": "2026-01-12T14:11:07", "desc": null}, {"code": "006", "path": "/carpicture02/pic4132/41326098_006.jpg", "type": "INNER", "updateDateTime": "2026-01-12T14:11:07", "desc": null}, {"code": "012", "path": "/carpicture02/pic4132/41326098_001.jpg", "type": "THUMBNAIL", "updateDateTime": "2026-01-12T14:11:08", "desc": null}, {"code": "023", "path": "/carpicture02/pic4132/41326098_023.jpg", "type": "OPTION", "updateDateTime": "2026-01-12T14:11:07", "desc": null}, {"code": "016", "path": "/carpicture02/pic4132/41326098_016.jpg", "type": "OPTION", "updateDateTime": "2026-01-12T14:11:07", "desc": null}, {"code": "013", "path": "/carpicture02/pic4132/41326098_001.jpg", "type": "THUMBNAIL", "updateDateTime": "2026-01-12T14:11:08", "desc": null}, {"code": "022", "path": "/carpicture02/pic4132/41326098_022.jpg", "type": "OPTION", "updateDateTime": "2026-01-12T14:11:07", "desc": null}, {"code": "025", "path": "/carpicture02/pic4132/41326098_001.jpg", "type": "THUMBNAIL", "updateDateTime": "2026-01-12T14:11:08", "desc": null}, {"code": "005", "path": "/carpicture02/pic4132/41326098_005.jpg", "type": "OUTER", "updateDateTime": "2026-01-12T14:11:07", "desc": null}, {"code": "003", "path": "/carpicture02/pic4132/41326098_003.jpg", "type": "OUTER", "updateDateTime": "2026-01-12T14:11:07", "desc": null}, {"code": "018", "path": "/carpicture02/pic4132/41326098_018.jpg", "type": "OPTION", "updateDateTime": "2026-01-12T14:11:07", "desc": null}, {"code": "024", "path": "/carpicture02/pic4132/41326098_024.jpg", "type": "OPTION", "updateDateTime": "2026-01-12T14:11:07", "desc": null}, {"code": "020", "path": "/carpicture02/pic4132/41326098_020.jpg", "type": "OPTION", "updateDateTime": "2026-01-12T14:11:07", "desc": null}, {"code": "011", "path": "/carpicture02/pic4132/41326098_001.jpg", "type": "THUMBNAIL", "updateDateTime": "2026-01-12T14:11:08", "desc": null}, {"code": "014", "path": "/carpicture02/pic4132/41326098_007.jpg", "type": "THUMBNAIL", "updateDateTime": "2026-01-12T14:11:08", "desc": null}, {"code": "010", "path": "/carpicture02/pic4132/41326098_010.jpg", "type": "INNER", "updateDateTime": "2026-01-12T14:11:07", "desc": null}]</t>
  </si>
  <si>
    <t>358저1935</t>
  </si>
  <si>
    <t>WHITE</t>
  </si>
  <si>
    <t>LPI Premium</t>
  </si>
  <si>
    <t>142</t>
  </si>
  <si>
    <t>201707</t>
  </si>
  <si>
    <t>05062168621</t>
  </si>
  <si>
    <t>2026-01-08T14:51:56</t>
  </si>
  <si>
    <t>2026-01-12T16:49:43</t>
  </si>
  <si>
    <t>2026-01-08T14:04:03</t>
  </si>
  <si>
    <t>["ALL SEASON CARE Ⅳ 650", "000원\n· 서라운드 뷰 모니터 750", "000원"]</t>
  </si>
  <si>
    <t>["001", "004", "006", "007", "008", "014", "015", "017", "019", "020", "021", "022", "023", "024", "026", "027", "030", "031", "032", "033", "034", "035", "051", "055", "056", "057", "058", "063", "068", "071", "072", "074", "077", "082", "087", "094", "096", "097"]</t>
  </si>
  <si>
    <t>[{"code": "007", "path": "/carpicture10/pic4130/41307028_007.jpg", "type": "INNER", "updateDateTime": "2026-01-08T14:50:49", "desc": null}, {"code": "017", "path": "/carpicture10/pic4130/41307028_017.jpg", "type": "OPTION", "updateDateTime": "2026-01-08T14:50:49", "desc": null}, {"code": "006", "path": "/carpicture10/pic4130/41307028_006.jpg", "type": "INNER", "updateDateTime": "2026-01-08T14:50:49", "desc": null}, {"code": "024", "path": "/carpicture10/pic4130/41307028_024.jpg", "type": "OPTION", "updateDateTime": "2026-01-08T14:50:49", "desc": null}, {"code": "005", "path": "/carpicture10/pic4130/41307028_005.jpg", "type": "OUTER", "updateDateTime": "2026-01-08T14:50:49", "desc": null}, {"code": "003", "path": "/carpicture10/pic4130/41307028_003.jpg", "type": "OUTER", "updateDateTime": "2026-01-08T14:50:49", "desc": null}, {"code": "008", "path": "/carpicture10/pic4130/41307028_008.jpg", "type": "INNER", "updateDateTime": "2026-01-08T14:50:49", "desc": null}, {"code": "019", "path": "/carpicture10/pic4130/41307028_019.jpg", "type": "OPTION", "updateDateTime": "2026-01-08T14:50:49", "desc": null}, {"code": "021", "path": "/carpicture10/pic4130/41307028_021.jpg", "type": "OPTION", "updateDateTime": "2026-01-08T14:50:49", "desc": null}, {"code": "001", "path": "/carpicture10/pic4130/41307028_001.jpg", "type": "OUTER", "updateDateTime": "2026-01-08T14:50:49", "desc": null}, {"code": "023", "path": "/carpicture10/pic4130/41307028_023.jpg", "type": "OPTION", "updateDateTime": "2026-01-08T14:50:49", "desc": null}, {"code": "022", "path": "/carpicture10/pic4130/41307028_022.jpg", "type": "OPTION", "updateDateTime": "2026-01-08T14:50:49", "desc": null}, {"code": "004", "path": "/carpicture10/pic4130/41307028_004.jpg", "type": "OUTER", "updateDateTime": "2026-01-08T14:50:49", "desc": null}, {"code": "010", "path": "/carpicture10/pic4130/41307028_010.jpg", "type": "INNER", "updateDateTime": "2026-01-08T14:50:49", "desc": null}, {"code": "016", "path": "/carpicture10/pic4130/41307028_016.jpg", "type": "OPTION", "updateDateTime": "2026-01-08T14:50:49", "desc": null}, {"code": "002", "path": "/carpicture10/pic4130/41307028_002.jpg", "type": "OUTER", "updateDateTime": "2026-01-08T14:50:49", "desc": null}, {"code": "018", "path": "/carpicture10/pic4130/41307028_018.jpg", "type": "OPTION", "updateDateTime": "2026-01-08T14:50:49", "desc": null}, {"code": "009", "path": "/carpicture10/pic4130/41307028_009.jpg", "type": "INNER", "updateDateTime": "2026-01-08T14:50:49", "desc": null}, {"code": "015", "path": "/carpicture10/pic4130/41307028_015.jpg", "type": "OPTION", "updateDateTime": "2026-01-08T14:50:49", "desc": null}, {"code": "020", "path": "/carpicture10/pic4130/41307028_020.jpg", "type": "OPTION", "updateDateTime": "2026-01-08T14:50:49", "desc": null}]</t>
  </si>
  <si>
    <t>03어9563</t>
  </si>
  <si>
    <t>KMHE341DBJA391576</t>
  </si>
  <si>
    <t>Premium</t>
  </si>
  <si>
    <t>157</t>
  </si>
  <si>
    <t>201911</t>
  </si>
  <si>
    <t>05062423091</t>
  </si>
  <si>
    <t>2026-01-20T11:18:52</t>
  </si>
  <si>
    <t>2026-01-21T11:08:47</t>
  </si>
  <si>
    <t>2026-01-20T11:18:37</t>
  </si>
  <si>
    <t>["10004"]</t>
  </si>
  <si>
    <t>["001", "004", "005", "006", "007", "008", "014", "015", "017", "019", "020", "021", "022", "023", "024", "026", "027", "030", "031", "032", "033", "055", "056", "057", "058", "068", "072", "074", "075", "082", "084", "088", "094", "096", "097"]</t>
  </si>
  <si>
    <t>[{"code": "007", "path": "/carpicture07/pic4137/41376170_007.jpg", "type": "INNER", "updateDateTime": "2026-01-22T09:56:38", "desc": null}, {"code": "008", "path": "/carpicture07/pic4137/41376170_008.jpg", "type": "INNER", "updateDateTime": "2026-01-22T09:56:38", "desc": null}, {"code": "015", "path": "/carpicture07/pic4137/41376170_015.jpg", "type": "OPTION", "updateDateTime": "2026-01-22T09:56:38", "desc": null}, {"code": "017", "path": "/carpicture07/pic4137/41376170_017.jpg", "type": "OPTION", "updateDateTime": "2026-01-22T09:56:38", "desc": null}, {"code": "009", "path": "/carpicture07/pic4137/41376170_009.jpg", "type": "INNER", "updateDateTime": "2026-01-22T09:56:38", "desc": null}, {"code": "011", "path": "/carpicture07/pic4137/41376170_001.jpg", "type": "THUMBNAIL", "updateDateTime": "2026-01-22T09:56:38", "desc": null}, {"code": "019", "path": "/carpicture07/pic4137/41376170_019.jpg", "type": "OPTION", "updateDateTime": "2026-01-22T09:56:38", "desc": null}, {"code": "021", "path": "/carpicture07/pic4137/41376170_021.jpg", "type": "OPTION", "updateDateTime": "2026-01-22T09:56:38", "desc": null}, {"code": "014", "path": "/carpicture07/pic4137/41376170_007.jpg", "type": "THUMBNAIL", "updateDateTime": "2026-01-22T09:56:38", "desc": null}, {"code": "018", "path": "/carpicture07/pic4137/41376170_018.jpg", "type": "OPTION", "updateDateTime": "2026-01-22T09:56:38", "desc": null}, {"code": "005", "path": "/carpicture07/pic4137/41376170_005.jpg", "type": "OUTER", "updateDateTime": "2026-01-22T09:56:38", "desc": null}, {"code": "020", "path": "/carpicture07/pic4137/41376170_020.jpg", "type": "OPTION", "updateDateTime": "2026-01-22T09:56:38", "desc": null}, {"code": "002", "path": "/carpicture07/pic4137/41376170_002.jpg", "type": "OUTER", "updateDateTime": "2026-01-22T09:56:38", "desc": null}, {"code": "010", "path": "/carpicture07/pic4137/41376170_010.jpg", "type": "INNER", "updateDateTime": "2026-01-22T09:56:38", "desc": null}, {"code": "016", "path": "/carpicture07/pic4137/41376170_016.jpg", "type": "OPTION", "updateDateTime": "2026-01-22T09:56:38", "desc": null}, {"code": "022", "path": "/carpicture07/pic4137/41376170_022.jpg", "type": "OPTION", "updateDateTime": "2026-01-22T09:56:38", "desc": null}, {"code": "025", "path": "/carpicture07/pic4137/41376170_001.jpg", "type": "THUMBNAIL", "updateDateTime": "2026-01-22T09:56:38", "desc": null}, {"code": "001", "path": "/carpicture07/pic4137/41376170_001.jpg", "type": "OUTER", "updateDateTime": "2026-01-22T09:56:38", "desc": null}, {"code": "004", "path": "/carpicture07/pic4137/41376170_004.jpg", "type": "OUTER", "updateDateTime": "2026-01-22T09:56:38", "desc": null}, {"code": "012", "path": "/carpicture07/pic4137/41376170_001.jpg", "type": "THUMBNAIL", "updateDateTime": "2026-01-22T09:56:38", "desc": null}, {"code": "013", "path": "/carpicture07/pic4137/41376170_001.jpg", "type": "THUMBNAIL", "updateDateTime": "2026-01-22T09:56:38", "desc": null}, {"code": "006", "path": "/carpicture07/pic4137/41376170_006.jpg", "type": "INNER", "updateDateTime": "2026-01-22T09:56:38", "desc": null}, {"code": "003", "path": "/carpicture07/pic4137/41376170_003.jpg", "type": "OUTER", "updateDateTime": "2026-01-22T09:56:38", "desc": null}, {"code": "026", "path": "/carpicture07/pic4137/41376170_001.jpg", "type": "THUMBNAIL", "updateDateTime": "2026-01-22T09:56:38", "desc": null}]</t>
  </si>
  <si>
    <t>320머9540</t>
  </si>
  <si>
    <t>2.0 Style</t>
  </si>
  <si>
    <t>05062248540</t>
  </si>
  <si>
    <t>★관용 용도 이력 있음(순찰차) 
안녕하세요!
수원 도이치 오토월드 카메이트에서
 10년째 정직과 신뢰를 바탕으로 
활동 중인 신윤석 실장이라고 합니다. 
단순히 차량을 한대 판매하기보다 
고객님 한분 한분을 가족으로 생각하여
엄선된 양질의 차량만을 소유할 수 
있게 최선을 다하고 있습니다. 
판매하는 차량들은 소모품 경정비 및 
실내크리닝&amp;광택 완료되었으며
구매하실때 시운전 및 제휴센터를 
통해 리프트 점검 및 하체 확인
스캔점검까지 도와 드리겠습니다. 
언제든지 전화주시고 방문하시면
최고의 서비스로 모시겠습니다. 
★현금영수증 세금계산서 발행가능!!
★전액 할부가능
-최저금리 할부 (제휴캐피탈 연결)
-할부기간 조정 가능 (24개월~60개월)
-할부이용시 최저 3.9%~
★리스가능
-무선수금 리스 가능!!(신용에 따라 월 납입금액 변동가능)
-선수금 납입하시면 훨씬 저렴하게 이용가능하십니다!
-1년이후부터 반납및 인수 가능!(선수금 납입한 경우 해당)
-명의 이전 없이 월 사용료만 납부하는 상품입니다!
-보험료, 자동차세, 이전비 별도!!
★사후관리 철저
-구매후 30일 2000km 성능보증보험 범위내 A/S
(차종및 주행거리에 따라 다를 수 있음)
-판매후 지속적인 차량관리 제공!
@찾아오시는길@
★대중교통이용시
-수원역&amp;버스터미널 차량픽업 가능!!
★자가용 이용시
-네비게이션 '권선로 308-5' 검색후 
 도착시간 알려주시면 맞춰 움직이겠습니다!</t>
  </si>
  <si>
    <t>2026-01-20T22:03:38</t>
  </si>
  <si>
    <t>2026-01-20T22:03:19</t>
  </si>
  <si>
    <t>["001", "006", "007", "008", "014", "015", "017", "019", "020", "022", "024", "026", "027", "031", "032", "033", "055", "056", "058", "071", "072", "096"]</t>
  </si>
  <si>
    <t>[{"code": "018", "path": "/carpicture08/pic4138/41381376_018.jpg", "type": "OPTION", "updateDateTime": "2026-01-20T22:29:28", "desc": null}, {"code": "013", "path": "/carpicture08/pic4138/41381376_001.jpg", "type": "THUMBNAIL", "updateDateTime": "2026-01-20T22:29:28", "desc": null}, {"code": "017", "path": "/carpicture08/pic4138/41381376_017.jpg", "type": "OPTION", "updateDateTime": "2026-01-20T22:29:28", "desc": null}, {"code": "025", "path": "/carpicture08/pic4138/41381376_001.jpg", "type": "THUMBNAIL", "updateDateTime": "2026-01-20T22:29:28", "desc": null}, {"code": "004", "path": "/carpicture08/pic4138/41381376_004.jpg", "type": "OUTER", "updateDateTime": "2026-01-20T22:29:28", "desc": null}, {"code": "012", "path": "/carpicture08/pic4138/41381376_001.jpg", "type": "THUMBNAIL", "updateDateTime": "2026-01-20T22:29:28", "desc": null}, {"code": "026", "path": "/carpicture08/pic4138/41381376_001.jpg", "type": "THUMBNAIL", "updateDateTime": "2026-01-20T22:29:28", "desc": null}, {"code": "007", "path": "/carpicture08/pic4138/41381376_007.jpg", "type": "INNER", "updateDateTime": "2026-01-20T22:29:28", "desc": null}, {"code": "003", "path": "/carpicture08/pic4138/41381376_003.jpg", "type": "OUTER", "updateDateTime": "2026-01-20T22:29:28", "desc": null}, {"code": "009", "path": "/carpicture08/pic4138/41381376_009.jpg", "type": "INNER", "updateDateTime": "2026-01-20T22:29:28", "desc": null}, {"code": "005", "path": "/carpicture08/pic4138/41381376_005.jpg", "type": "OUTER", "updateDateTime": "2026-01-20T22:29:28", "desc": null}, {"code": "008", "path": "/carpicture08/pic4138/41381376_008.jpg", "type": "INNER", "updateDateTime": "2026-01-20T22:29:28", "desc": null}, {"code": "015", "path": "/carpicture08/pic4138/41381376_015.jpg", "type": "OPTION", "updateDateTime": "2026-01-20T22:29:28", "desc": null}, {"code": "006", "path": "/carpicture08/pic4138/41381376_006.jpg", "type": "INNER", "updateDateTime": "2026-01-20T22:29:28", "desc": null}, {"code": "019", "path": "/carpicture08/pic4138/41381376_019.jpg", "type": "OPTION", "updateDateTime": "2026-01-20T22:29:28", "desc": null}, {"code": "021", "path": "/carpicture08/pic4138/41381376_021.jpg", "type": "OPTION", "updateDateTime": "2026-01-20T22:29:28", "desc": null}, {"code": "010", "path": "/carpicture08/pic4138/41381376_010.jpg", "type": "INNER", "updateDateTime": "2026-01-20T22:29:28", "desc": null}, {"code": "016", "path": "/carpicture08/pic4138/41381376_016.jpg", "type": "OPTION", "updateDateTime": "2026-01-20T22:29:28", "desc": null}, {"code": "001", "path": "/carpicture08/pic4138/41381376_001.jpg", "type": "OUTER", "updateDateTime": "2026-01-20T22:29:28", "desc": null}, {"code": "011", "path": "/carpicture08/pic4138/41381376_001.jpg", "type": "THUMBNAIL", "updateDateTime": "2026-01-20T22:29:28", "desc": null}, {"code": "014", "path": "/carpicture08/pic4138/41381376_007.jpg", "type": "THUMBNAIL", "updateDateTime": "2026-01-20T22:29:28", "desc": null}, {"code": "020", "path": "/carpicture08/pic4138/41381376_020.jpg", "type": "OPTION", "updateDateTime": "2026-01-20T22:29:28", "desc": null}, {"code": "002", "path": "/carpicture08/pic4138/41381376_002.jpg", "type": "OUTER", "updateDateTime": "2026-01-20T22:29:28", "desc": null}]</t>
  </si>
  <si>
    <t>129부2816</t>
  </si>
  <si>
    <t>special</t>
  </si>
  <si>
    <t>1.6 GDI Modern</t>
  </si>
  <si>
    <t>136</t>
  </si>
  <si>
    <t>201603</t>
  </si>
  <si>
    <t>05062306363</t>
  </si>
  <si>
    <t>2026-01-21T10:54:02</t>
  </si>
  <si>
    <t>2026-01-24T17:06:07</t>
  </si>
  <si>
    <t>2026-01-21T10:53:46</t>
  </si>
  <si>
    <t>["1020"]</t>
  </si>
  <si>
    <t>["001", "003", "006", "007", "008", "014", "015", "017", "019", "020", "022", "023", "024", "026", "027", "029", "031", "032", "033", "055", "056", "057", "068", "071", "072", "082", "086", "096", "097"]</t>
  </si>
  <si>
    <t>[{"code": "016", "path": "/carpicture08/pic4138/41383463_016.jpg", "type": "OPTION", "updateDateTime": "2026-01-21T10:55:38", "desc": null}, {"code": "023", "path": "/carpicture08/pic4138/41383463_023.jpg", "type": "OPTION", "updateDateTime": "2026-01-21T10:55:38", "desc": null}, {"code": "011", "path": "/carpicture08/pic4138/41383463_001.jpg", "type": "THUMBNAIL", "updateDateTime": "2026-01-21T10:55:38", "desc": null}, {"code": "006", "path": "/carpicture08/pic4138/41383463_006.jpg", "type": "INNER", "updateDateTime": "2026-01-21T10:55:38", "desc": null}, {"code": "017", "path": "/carpicture08/pic4138/41383463_017.jpg", "type": "OPTION", "updateDateTime": "2026-01-21T10:55:38", "desc": null}, {"code": "013", "path": "/carpicture08/pic4138/41383463_001.jpg", "type": "THUMBNAIL", "updateDateTime": "2026-01-21T10:55:38", "desc": null}, {"code": "018", "path": "/carpicture08/pic4138/41383463_018.jpg", "type": "OPTION", "updateDateTime": "2026-01-21T10:55:38", "desc": null}, {"code": "008", "path": "/carpicture08/pic4138/41383463_008.jpg", "type": "INNER", "updateDateTime": "2026-01-21T10:55:38", "desc": null}, {"code": "014", "path": "/carpicture08/pic4138/41383463_007.jpg", "type": "THUMBNAIL", "updateDateTime": "2026-01-21T10:55:38", "desc": null}, {"code": "015", "path": "/carpicture08/pic4138/41383463_015.jpg", "type": "OPTION", "updateDateTime": "2026-01-21T10:55:38", "desc": null}, {"code": "021", "path": "/carpicture08/pic4138/41383463_021.jpg", "type": "OPTION", "updateDateTime": "2026-01-21T10:55:38", "desc": null}, {"code": "025", "path": "/carpicture08/pic4138/41383463_001.jpg", "type": "THUMBNAIL", "updateDateTime": "2026-01-21T10:55:38", "desc": null}, {"code": "020", "path": "/carpicture08/pic4138/41383463_020.jpg", "type": "OPTION", "updateDateTime": "2026-01-21T10:55:38", "desc": null}, {"code": "004", "path": "/carpicture08/pic4138/41383463_004.jpg", "type": "OUTER", "updateDateTime": "2026-01-21T10:55:38", "desc": null}, {"code": "009", "path": "/carpicture08/pic4138/41383463_009.jpg", "type": "INNER", "updateDateTime": "2026-01-21T10:55:38", "desc": null}, {"code": "005", "path": "/carpicture08/pic4138/41383463_005.jpg", "type": "OUTER", "updateDateTime": "2026-01-21T10:55:38", "desc": null}, {"code": "007", "path": "/carpicture08/pic4138/41383463_007.jpg", "type": "INNER", "updateDateTime": "2026-01-21T10:55:38", "desc": null}, {"code": "010", "path": "/carpicture08/pic4138/41383463_010.jpg", "type": "INNER", "updateDateTime": "2026-01-21T10:55:38", "desc": null}, {"code": "002", "path": "/carpicture08/pic4138/41383463_002.jpg", "type": "OUTER", "updateDateTime": "2026-01-21T10:55:38", "desc": null}, {"code": "026", "path": "/carpicture08/pic4138/41383463_001.jpg", "type": "THUMBNAIL", "updateDateTime": "2026-01-21T10:55:38", "desc": null}, {"code": "001", "path": "/carpicture08/pic4138/41383463_001.jpg", "type": "OUTER", "updateDateTime": "2026-01-21T10:55:38", "desc": null}, {"code": "019", "path": "/carpicture08/pic4138/41383463_019.jpg", "type": "OPTION", "updateDateTime": "2026-01-21T10:55:38", "desc": null}, {"code": "022", "path": "/carpicture08/pic4138/41383463_022.jpg", "type": "OPTION", "updateDateTime": "2026-01-21T10:55:38", "desc": null}, {"code": "003", "path": "/carpicture08/pic4138/41383463_003.jpg", "type": "OUTER", "updateDateTime": "2026-01-21T10:55:38", "desc": null}, {"code": "012", "path": "/carpicture08/pic4138/41383463_001.jpg", "type": "THUMBNAIL", "updateDateTime": "2026-01-21T10:55:38", "desc": null}]</t>
  </si>
  <si>
    <t>청색</t>
  </si>
  <si>
    <t>20구0838</t>
  </si>
  <si>
    <t>Exclusive Special</t>
  </si>
  <si>
    <t>201601</t>
  </si>
  <si>
    <t>05062015582</t>
  </si>
  <si>
    <t>2026-01-22T23:12:08</t>
  </si>
  <si>
    <t>2026-01-22T23:11:53</t>
  </si>
  <si>
    <t>["1019"]</t>
  </si>
  <si>
    <t>["001", "003", "005", "006", "007", "008", "014", "015", "017", "019", "020", "021", "022", "023", "024", "026", "027", "029", "030", "031", "032", "033", "034", "035", "051", "055", "056", "057", "058", "062", "063", "068", "071", "072", "074", "077", "081", "082", "085", "092", "094", "096", "097"]</t>
  </si>
  <si>
    <t>[{"code": "013", "path": "/carpicture09/pic4139/41395915_001.jpg", "type": "THUMBNAIL", "updateDateTime": "2026-01-22T23:12:37", "desc": null}, {"code": "001", "path": "/carpicture09/pic4139/41395915_001.jpg", "type": "OUTER", "updateDateTime": "2026-01-22T23:12:37", "desc": null}, {"code": "012", "path": "/carpicture09/pic4139/41395915_001.jpg", "type": "THUMBNAIL", "updateDateTime": "2026-01-22T23:12:37", "desc": null}, {"code": "026", "path": "/carpicture09/pic4139/41395915_001.jpg", "type": "THUMBNAIL", "updateDateTime": "2026-01-22T23:12:37", "desc": null}, {"code": "025", "path": "/carpicture09/pic4139/41395915_001.jpg", "type": "THUMBNAIL", "updateDateTime": "2026-01-22T23:12:37", "desc": null}, {"code": "011", "path": "/carpicture09/pic4139/41395915_001.jpg", "type": "THUMBNAIL", "updateDateTime": "2026-01-22T23:12:37", "desc": null}, {"code": "002", "path": "/carpicture09/pic4139/41395915_002.jpg", "type": "OUTER", "updateDateTime": "2026-01-22T23:12:37", "desc": null}]</t>
  </si>
  <si>
    <t>65저0908</t>
  </si>
  <si>
    <t>Inspiration</t>
  </si>
  <si>
    <t>4WD Lounge 7-Seater</t>
  </si>
  <si>
    <t>171</t>
  </si>
  <si>
    <t>060</t>
  </si>
  <si>
    <t>Staria</t>
  </si>
  <si>
    <t>202508</t>
  </si>
  <si>
    <t>경기 수원시 권선구 권선로 308-5</t>
  </si>
  <si>
    <t>05062000698</t>
  </si>
  <si>
    <t>안녕하세요 제 매물을 찾아주셔서 감사합니다.
이 세상에는 싸고 좋은차는 없는 것 같습니다 .
최저 마진으로 한대라도 더 판매하도록 조금이라도 더 저렴하게 구매하실 수 있도록 노력하겠습니다.
궁금하신게 있으시다면 위 안심번호로 전화 부탁드리겠습니다. 언제든 항상 준비 되어있습니다 ! 
오시기전 항상 전화 주시구 방문예약 후 방문 해주시면 감사하겠습니다!
## 차량 판매  알선 , 매입 , 수출 , 보험 기타 등등 모든 문의 가능하니 언제든 편하게 연락주세요 ##</t>
  </si>
  <si>
    <t>2026-01-08T16:03:16</t>
  </si>
  <si>
    <t>2026-01-08T16:03:00</t>
  </si>
  <si>
    <t>["001", "004", "005", "006", "007", "008", "014", "015", "017", "019", "020", "021", "022", "023", "024", "026", "027", "030", "031", "032", "033", "034", "035", "055", "056", "057", "058", "059", "063", "072", "074", "075", "077", "079", "081", "082", "084", "085", "086", "087", "088", "090", "094", "096", "097"]</t>
  </si>
  <si>
    <t>[{"code": "012", "path": "/carpicture10/pic4130/41309179_001.jpg", "type": "THUMBNAIL", "updateDateTime": "2026-01-08T16:03:47", "desc": null}, {"code": "008", "path": "/carpicture10/pic4130/41309179_008.jpg", "type": "INNER", "updateDateTime": "2026-01-08T16:03:47", "desc": null}, {"code": "021", "path": "/carpicture10/pic4130/41309179_021.jpg", "type": "OPTION", "updateDateTime": "2026-01-08T16:03:47", "desc": null}, {"code": "013", "path": "/carpicture10/pic4130/41309179_001.jpg", "type": "THUMBNAIL", "updateDateTime": "2026-01-08T16:03:47", "desc": null}, {"code": "002", "path": "/carpicture10/pic4130/41309179_002.jpg", "type": "OUTER", "updateDateTime": "2026-01-08T16:03:47", "desc": null}, {"code": "024", "path": "/carpicture10/pic4130/41309179_024.jpg", "type": "OPTION", "updateDateTime": "2026-01-08T16:03:47", "desc": null}, {"code": "005", "path": "/carpicture10/pic4130/41309179_005.jpg", "type": "OUTER", "updateDateTime": "2026-01-08T16:03:47", "desc": null}, {"code": "016", "path": "/carpicture10/pic4130/41309179_016.jpg", "type": "OPTION", "updateDateTime": "2026-01-08T16:03:47", "desc": null}, {"code": "023", "path": "/carpicture10/pic4130/41309179_023.jpg", "type": "OPTION", "updateDateTime": "2026-01-08T16:03:47", "desc": null}, {"code": "015", "path": "/carpicture10/pic4130/41309179_015.jpg", "type": "OPTION", "updateDateTime": "2026-01-08T16:03:47", "desc": null}, {"code": "011", "path": "/carpicture10/pic4130/41309179_001.jpg", "type": "THUMBNAIL", "updateDateTime": "2026-01-08T16:03:47", "desc": null}, {"code": "003", "path": "/carpicture10/pic4130/41309179_003.jpg", "type": "OUTER", "updateDateTime": "2026-01-08T16:03:47", "desc": null}, {"code": "007", "path": "/carpicture10/pic4130/41309179_007.jpg", "type": "INNER", "updateDateTime": "2026-01-08T16:03:47", "desc": null}, {"code": "006", "path": "/carpicture10/pic4130/41309179_006.jpg", "type": "INNER", "updateDateTime": "2026-01-08T16:03:47", "desc": null}, {"code": "020", "path": "/carpicture10/pic4130/41309179_020.jpg", "type": "OPTION", "updateDateTime": "2026-01-08T16:03:47", "desc": null}, {"code": "018", "path": "/carpicture10/pic4130/41309179_018.jpg", "type": "OPTION", "updateDateTime": "2026-01-08T16:03:47", "desc": null}, {"code": "019", "path": "/carpicture10/pic4130/41309179_019.jpg", "type": "OPTION", "updateDateTime": "2026-01-08T16:03:47", "desc": null}, {"code": "009", "path": "/carpicture10/pic4130/41309179_009.jpg", "type": "INNER", "updateDateTime": "2026-01-08T16:03:47", "desc": null}, {"code": "025", "path": "/carpicture10/pic4130/41309179_001.jpg", "type": "THUMBNAIL", "updateDateTime": "2026-01-08T16:03:47", "desc": null}, {"code": "014", "path": "/carpicture10/pic4130/41309179_007.jpg", "type": "THUMBNAIL", "updateDateTime": "2026-01-08T16:03:47", "desc": null}, {"code": "026", "path": "/carpicture10/pic4130/41309179_001.jpg", "type": "THUMBNAIL", "updateDateTime": "2026-01-08T16:03:47", "desc": null}, {"code": "022", "path": "/carpicture10/pic4130/41309179_022.jpg", "type": "OPTION", "updateDateTime": "2026-01-08T16:03:47", "desc": null}, {"code": "010", "path": "/carpicture10/pic4130/41309179_010.jpg", "type": "INNER", "updateDateTime": "2026-01-08T16:03:47", "desc": null}, {"code": "001", "path": "/carpicture10/pic4130/41309179_001.jpg", "type": "OUTER", "updateDateTime": "2026-01-08T16:03:47", "desc": null}, {"code": "017", "path": "/carpicture10/pic4130/41309179_017.jpg", "type": "OPTION", "updateDateTime": "2026-01-08T16:03:47", "desc": null}, {"code": "004", "path": "/carpicture10/pic4130/41309179_004.jpg", "type": "OUTER", "updateDateTime": "2026-01-08T16:03:47", "desc": null}]</t>
  </si>
  <si>
    <t>158오7851</t>
  </si>
  <si>
    <t>Prestige</t>
  </si>
  <si>
    <t>Diesel 2.2 4WD</t>
  </si>
  <si>
    <t>155</t>
  </si>
  <si>
    <t>058</t>
  </si>
  <si>
    <t>Palisade</t>
  </si>
  <si>
    <t>05062311751</t>
  </si>
  <si>
    <t>2025-10-16T15:01:56</t>
  </si>
  <si>
    <t>2026-01-21T13:15:12</t>
  </si>
  <si>
    <t>2025-10-16T15:01:47</t>
  </si>
  <si>
    <t>["001", "004", "005", "006", "007", "008", "014", "015", "017", "019", "020", "021", "022", "023", "024", "026", "027", "030", "031", "032", "033", "034", "051", "055", "056", "057", "058", "059", "062", "063", "072", "074", "075", "077", "079", "081", "082", "084", "085", "086", "088", "094", "096", "097"]</t>
  </si>
  <si>
    <t>[{"code": "017", "path": "/carpicture04/pic4074/40740292_017.jpg", "type": "OPTION", "updateDateTime": "2025-10-16T15:03:03", "desc": null}, {"code": "020", "path": "/carpicture04/pic4074/40740292_020.jpg", "type": "OPTION", "updateDateTime": "2025-10-16T15:03:03", "desc": null}, {"code": "002", "path": "/carpicture04/pic4074/40740292_002.jpg", "type": "OUTER", "updateDateTime": "2025-10-16T15:03:03", "desc": null}, {"code": "018", "path": "/carpicture04/pic4074/40740292_018.jpg", "type": "OPTION", "updateDateTime": "2025-10-16T15:03:03", "desc": null}, {"code": "005", "path": "/carpicture04/pic4074/40740292_005.jpg", "type": "OUTER", "updateDateTime": "2025-10-16T15:03:03", "desc": null}, {"code": "012", "path": "/carpicture04/pic4074/40740292_001.jpg", "type": "THUMBNAIL", "updateDateTime": "2025-10-16T15:03:03", "desc": null}, {"code": "008", "path": "/carpicture04/pic4074/40740292_008.jpg", "type": "INNER", "updateDateTime": "2025-10-16T15:03:03", "desc": null}, {"code": "016", "path": "/carpicture04/pic4074/40740292_016.jpg", "type": "OPTION", "updateDateTime": "2025-10-16T15:03:03", "desc": null}, {"code": "025", "path": "/carpicture04/pic4074/40740292_001.jpg", "type": "THUMBNAIL", "updateDateTime": "2025-10-16T15:03:03", "desc": null}, {"code": "007", "path": "/carpicture04/pic4074/40740292_007.jpg", "type": "INNER", "updateDateTime": "2025-10-16T15:03:03", "desc": null}, {"code": "009", "path": "/carpicture04/pic4074/40740292_009.jpg", "type": "INNER", "updateDateTime": "2025-10-16T15:03:03", "desc": null}, {"code": "003", "path": "/carpicture04/pic4074/40740292_003.jpg", "type": "OUTER", "updateDateTime": "2025-10-16T15:03:03", "desc": null}, {"code": "006", "path": "/carpicture04/pic4074/40740292_006.jpg", "type": "INNER", "updateDateTime": "2025-10-16T15:03:03", "desc": null}, {"code": "023", "path": "/carpicture04/pic4074/40740292_023.jpg", "type": "OPTION", "updateDateTime": "2025-10-16T15:03:03", "desc": null}, {"code": "001", "path": "/carpicture04/pic4074/40740292_001.jpg", "type": "OUTER", "updateDateTime": "2025-10-16T15:03:03", "desc": null}, {"code": "015", "path": "/carpicture04/pic4074/40740292_015.jpg", "type": "OPTION", "updateDateTime": "2025-10-16T15:03:03", "desc": null}, {"code": "022", "path": "/carpicture04/pic4074/40740292_022.jpg", "type": "OPTION", "updateDateTime": "2025-10-16T15:03:03", "desc": null}, {"code": "021", "path": "/carpicture04/pic4074/40740292_021.jpg", "type": "OPTION", "updateDateTime": "2025-10-16T15:03:03", "desc": null}, {"code": "014", "path": "/carpicture04/pic4074/40740292_007.jpg", "type": "THUMBNAIL", "updateDateTime": "2025-10-16T15:03:03", "desc": null}, {"code": "010", "path": "/carpicture04/pic4074/40740292_010.jpg", "type": "INNER", "updateDateTime": "2025-10-16T15:03:03", "desc": null}, {"code": "004", "path": "/carpicture04/pic4074/40740292_004.jpg", "type": "OUTER", "updateDateTime": "2025-10-16T15:03:03", "desc": null}, {"code": "011", "path": "/carpicture04/pic4074/40740292_001.jpg", "type": "THUMBNAIL", "updateDateTime": "2025-10-16T15:03:03", "desc": null}, {"code": "026", "path": "/carpicture04/pic4074/40740292_001.jpg", "type": "THUMBNAIL", "updateDateTime": "2025-10-16T15:03:03", "desc": null}, {"code": "013", "path": "/carpicture04/pic4074/40740292_001.jpg", "type": "THUMBNAIL", "updateDateTime": "2025-10-16T15:03:03", "desc": null}, {"code": "019", "path": "/carpicture04/pic4074/40740292_019.jpg", "type": "OPTION", "updateDateTime": "2025-10-16T15:03:03", "desc": null}]</t>
  </si>
  <si>
    <t>104고9529</t>
  </si>
  <si>
    <t>1.6 GDI Smart</t>
  </si>
  <si>
    <t>201605</t>
  </si>
  <si>
    <t>["TABLE"]</t>
  </si>
  <si>
    <t>울산 북구 무룡로 68</t>
  </si>
  <si>
    <t>05062074184</t>
  </si>
  <si>
    <t>▒▒▒▶ 울산 국민차매매단지 신한모터스 ◀▒▒▒ 
 ☆ ┌─"신한-┘▧▧└┐신한㉧──㉧┘
............고객님 안녕하세요 ^^ ! 
저는 KB 차차차 제휴단지인 울산 국민차 매매단지내 
(울산 최초.최대의 실내매장인)
신한 모터스
대표:황 태 봉 입니다
저희는 100%정찰제 운영으로 거품없는 금액으로 모십니다
저의 차량에 관심을 가져주셔서 감사드립니다
현재 고객님께서 보시는 차량은100% 실매물에 실키로수입니다
제가 29여년간을 아무런 문제없이 현재까지 고객분들께 성심성의껏   
중고차매매업을 운영하고 있으며 한결같은 마음으로
고객 분들께 좋은 차량들을 제공해 왔다고 자부합니다 
전화 주시면 친절히 상담해 드리겠습니다. 
혹시 통화 부재 시에는 문자 메시지 남겨 주시면, 
확인하는 즉시 연락 드리도록 하겠습니다. 감사합니다 ^^ 
▒▒▒▶신한모터스 오시는 길 ◀▒▒▒ 
상호명 :신한모터스
차량 판매자 :대표  황   태봉
주소:울산광역시 북구 무룡로68.213호
(울산 국민차 매매단지.213호) 
▒▒▒▶ 차량의 특징 및 정보 ◀▒▒▒ 
- 차량명 :  아반떼AD 스마트스폐셜 오토
- 등급 :    스마트스폐셜
-출고가 : 
- 주행거리 : 50.027  km (실주행 법적 보증합니다) 
- 색상 : 흰색
- 용도이력 : 없습니다. (렌트카이력 無) 
- 사고유무 : 무사고(1인소유 
※ 자세한 진단결과는 "성증점검표 보기"를 참조하세요. 
▒▒▒▶ 차량 성능 점검 소견 ◀▒▒▒ 
무사고(1인소유 차량. 
잡소리전혀 없고, 차량상태가 최상급입니다 
자신 있으니 확인시켜 드릴 수 있구요. 
 (영상통화 가능) 
안심하시고 언제든 편한한 시간에 연락주시면 상세히 
안내해 드리겠습니다. 
▒▒▒▶ 주요 옵션 사항 ◀▒▒▒
◐  타이어 상태 90% 
◐ 버튼시동.정품내비.후방카메라
◐ ABS .풀오토A/C.핸들열선
◐ 가죽.열선시트 상태최상 
◐ 전동접이미러.HID헤드램프.하이패스
◐ 최고급 광택, 실내 크리닝 완료 
◐ 엔진룸 크리닝 완료 
▒▒▒▶ 당부의 말씀 ◀▒▒▒ 
지금보시는 차량은 제가 직접 소유하고있는 차량으로 
(제 명의로 등록된 상품용)
다른사람(딜러)을 통하지않고 직접 찾아오시는게  
싸게 구입할수있는 방법입니다
다른사람(딜러)를 통해서 오시게되면 다른사람(딜러)
의 추가수수료가 당연히 발생하게 되어있습니다
부탁드리온데 처음보는  저를 믿기 힘드시겠지만   
한번 믿어보시고 저에게 바로 찾아오셔서 좋은차
좋은가격에 구입하시길 당부드립니다</t>
  </si>
  <si>
    <t>2025-12-29T10:28:08</t>
  </si>
  <si>
    <t>2026-01-14T09:00:58</t>
  </si>
  <si>
    <t>2025-12-29T08:19:59</t>
  </si>
  <si>
    <t>["1017", "1018", "1016"]</t>
  </si>
  <si>
    <t>["001", "004", "005", "006", "007", "008", "014", "015", "017", "019", "020", "022", "023", "024", "026", "027", "029", "030", "031", "032", "033", "055", "056", "057", "058", "071", "072", "074", "082", "096", "097"]</t>
  </si>
  <si>
    <t>4642</t>
  </si>
  <si>
    <t>[{"code": "170", "name": "엔카진단센터 울산점", "major": true, "telephoneNumber": "052-930-3339", "address": "울산 북구 무룡로 68 울산국민차매매단지 B125호"}]</t>
  </si>
  <si>
    <t>신한모터스</t>
  </si>
  <si>
    <t>황태봉</t>
  </si>
  <si>
    <t>[{"code": "015", "path": "/carpicture04/pic4124/41241229_015.jpg", "type": "OPTION", "updateDateTime": "2025-12-29T10:45:33", "desc": "무사고.비흡연.1인소유.짧은주행"}, {"code": "017", "path": "/carpicture04/pic4124/41241229_017.jpg", "type": "OPTION", "updateDateTime": "2025-12-29T10:45:33", "desc": "무사고.비흡연.1인소유.짧은주행"}, {"code": "016", "path": "/carpicture04/pic4124/41241229_016.jpg", "type": "OPTION", "updateDateTime": "2025-12-29T10:45:33", "desc": "무사고.비흡연.1인소유.짧은주행"}, {"code": "003", "path": "/carpicture04/pic4124/41241229_003.jpg", "type": "OUTER", "updateDateTime": "2025-12-29T10:45:33", "desc": "무사고.비흡연.1인소유.짧은주행"}, {"code": "019", "path": "/carpicture04/pic4124/41241229_019.jpg", "type": "OPTION", "updateDateTime": "2025-12-29T10:45:33", "desc": "무사고.비흡연.1인소유.짧은주행"}, {"code": "002", "path": "/carpicture04/pic4124/41241229_002.jpg", "type": "OUTER", "updateDateTime": "2025-12-29T10:45:33", "desc": "무사고.비흡연.1인소유.짧은주행"}, {"code": "010", "path": "/carpicture04/pic4124/41241229_010.jpg", "type": "INNER", "updateDateTime": "2025-12-29T10:45:33", "desc": "무사고.비흡연.1인소유.짧은주행"}, {"code": "018", "path": "/carpicture04/pic4124/41241229_018.jpg", "type": "OPTION", "updateDateTime": "2025-12-29T10:45:33", "desc": "무사고.비흡연.1인소유.짧은주행"}, {"code": "012", "path": "/carpicture04/pic4124/41241229_001.jpg", "type": "THUMBNAIL", "updateDateTime": "2025-12-29T10:45:33", "desc": null}, {"code": "022", "path": "/carpicture04/pic4124/41241229_022.jpg", "type": "OPTION", "updateDateTime": "2025-12-29T10:45:33", "desc": "무사고.비흡연.1인소유.짧은주행"}, {"code": "007", "path": "/carpicture04/pic4124/41241229_007.jpg", "type": "INNER", "updateDateTime": "2025-12-29T10:45:33", "desc": "무사고.비흡연.1인소유.짧은주행"}, {"code": "021", "path": "/carpicture04/pic4124/41241229_021.jpg", "type": "OPTION", "updateDateTime": "2025-12-29T10:45:33", "desc": "무사고.비흡연.1인소유.짧은주행"}, {"code": "020", "path": "/carpicture04/pic4124/41241229_020.jpg", "type": "OPTION", "updateDateTime": "2025-12-29T10:45:33", "desc": "무사고.비흡연.1인소유.짧은주행"}, {"code": "025", "path": "/carpicture04/pic4124/41241229_001.jpg", "type": "THUMBNAIL", "updateDateTime": "2025-12-29T10:45:33", "desc": null}, {"code": "006", "path": "/carpicture04/pic4124/41241229_006.jpg", "type": "INNER", "updateDateTime": "2025-12-29T10:45:33", "desc": "무사고.비흡연.1인소유.짧은주행"}, {"code": "001", "path": "/carpicture04/pic4124/41241229_001.jpg", "type": "OUTER", "updateDateTime": "2025-12-29T10:45:33", "desc": "무사고.비흡연.1인소유.짧은주행"}, {"code": "024", "path": "/carpicture04/pic4124/41241229_024.jpg", "type": "OPTION", "updateDateTime": "2025-12-29T10:45:33", "desc": "무사고.비흡연.1인소유.짧은주행"}, {"code": "005", "path": "/carpicture04/pic4124/41241229_005.jpg", "type": "OUTER", "updateDateTime": "2025-12-29T10:45:33", "desc": "무사고.비흡연.1인소유.짧은주행"}, {"code": "009", "path": "/carpicture04/pic4124/41241229_009.jpg", "type": "INNER", "updateDateTime": "2025-12-29T10:45:33", "desc": "무사고.비흡연.1인소유.짧은주행"}, {"code": "026", "path": "/carpicture04/pic4124/41241229_001.jpg", "type": "THUMBNAIL", "updateDateTime": "2025-12-29T10:45:33", "desc": null}, {"code": "008", "path": "/carpicture04/pic4124/41241229_008.jpg", "type": "INNER", "updateDateTime": "2025-12-29T10:45:33", "desc": "무사고.비흡연.1인소유.짧은주행"}, {"code": "011", "path": "/carpicture04/pic4124/41241229_001.jpg", "type": "THUMBNAIL", "updateDateTime": "2025-12-29T10:45:33", "desc": null}, {"code": "014", "path": "/carpicture04/pic4124/41241229_007.jpg", "type": "THUMBNAIL", "updateDateTime": "2025-12-29T10:45:33", "desc": null}, {"code": "004", "path": "/carpicture04/pic4124/41241229_004.jpg", "type": "OUTER", "updateDateTime": "2025-12-29T10:45:33", "desc": "무사고.비흡연.1인소유.짧은주행"}, {"code": "013", "path": "/carpicture04/pic4124/41241229_001.jpg", "type": "THUMBNAIL", "updateDateTime": "2025-12-29T10:45:33", "desc": null}, {"code": "023", "path": "/carpicture04/pic4124/41241229_023.jpg", "type": "OPTION", "updateDateTime": "2025-12-29T10:45:33", "desc": "무사고.비흡연.1인소유.짧은주행"}]</t>
  </si>
  <si>
    <t>04조0882</t>
  </si>
  <si>
    <t>KMHD741DBHU200045</t>
  </si>
  <si>
    <t>Gasoline 1.6 Turbo 2WD</t>
  </si>
  <si>
    <t>169</t>
  </si>
  <si>
    <t>032</t>
  </si>
  <si>
    <t>Tucson</t>
  </si>
  <si>
    <t>투싼</t>
  </si>
  <si>
    <t>202104</t>
  </si>
  <si>
    <t>부산 사상구 낙동대로 1094</t>
  </si>
  <si>
    <t>05062185792</t>
  </si>
  <si>
    <t>★투싼 (NX4) 가솔린 1.6 터보 모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</si>
  <si>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2026-01-06T11:26:26</t>
  </si>
  <si>
    <t>2026-01-06T11:49:18</t>
  </si>
  <si>
    <t>2026-01-06T09:26:23</t>
  </si>
  <si>
    <t>["10004", "1079", "10002"]</t>
  </si>
  <si>
    <t>["001", "004", "005", "006", "007", "008", "010", "014", "015", "017", "019", "020", "022", "023", "024", "026", "027", "030", "031", "032", "033", "034", "055", "056", "057", "058", "062", "068", "072", "074", "077", "082", "084", "088", "094", "096", "097"]</t>
  </si>
  <si>
    <t>5613</t>
  </si>
  <si>
    <t>[{"code": "176", "name": "엔카진단센터 부산 사상점", "major": true, "telephoneNumber": "051-317-9670", "address": "부산 사상구 새벽시장로 91"}]</t>
  </si>
  <si>
    <t>(주)일공공일카부카</t>
  </si>
  <si>
    <t>김영수</t>
  </si>
  <si>
    <t>[{"code": "020", "path": "/carpicture08/pic4128/41285668_020.jpg", "type": "OPTION", "updateDateTime": "2026-01-06T11:26:11", "desc": null}, {"code": "021", "path": "/carpicture08/pic4128/41285668_021.jpg", "type": "OPTION", "updateDateTime": "2026-01-06T11:26:11", "desc": null}, {"code": "010", "path": "/carpicture08/pic4128/41285668_010.jpg", "type": "INNER", "updateDateTime": "2026-01-06T11:26:11", "desc": null}, {"code": "019", "path": "/carpicture08/pic4128/41285668_019.jpg", "type": "OPTION", "updateDateTime": "2026-01-06T11:26:11", "desc": null}, {"code": "003", "path": "/carpicture08/pic4128/41285668_003.jpg", "type": "OUTER", "updateDateTime": "2026-01-06T11:26:11", "desc": null}, {"code": "024", "path": "/carpicture08/pic4128/41285668_024.jpg", "type": "OPTION", "updateDateTime": "2026-01-06T11:26:11", "desc": null}, {"code": "007", "path": "/carpicture08/pic4128/41285668_007.jpg", "type": "INNER", "updateDateTime": "2026-01-06T11:26:11", "desc": null}, {"code": "016", "path": "/carpicture08/pic4128/41285668_016.jpg", "type": "OPTION", "updateDateTime": "2026-01-06T11:26:11", "desc": null}, {"code": "023", "path": "/carpicture08/pic4128/41285668_023.jpg", "type": "OPTION", "updateDateTime": "2026-01-06T11:26:11", "desc": null}, {"code": "018", "path": "/carpicture08/pic4128/41285668_018.jpg", "type": "OPTION", "updateDateTime": "2026-01-06T11:26:11", "desc": null}, {"code": "006", "path": "/carpicture08/pic4128/41285668_006.jpg", "type": "INNER", "updateDateTime": "2026-01-06T11:26:11", "desc": null}, {"code": "015", "path": "/carpicture08/pic4128/41285668_015.jpg", "type": "OPTION", "updateDateTime": "2026-01-06T11:26:11", "desc": null}, {"code": "005", "path": "/carpicture08/pic4128/41285668_005.jpg", "type": "OUTER", "updateDateTime": "2026-01-06T11:26:11", "desc": null}, {"code": "009", "path": "/carpicture08/pic4128/41285668_009.jpg", "type": "INNER", "updateDateTime": "2026-01-06T11:26:11", "desc": null}, {"code": "008", "path": "/carpicture08/pic4128/41285668_008.jpg", "type": "INNER", "updateDateTime": "2026-01-06T11:26:11", "desc": null}, {"code": "004", "path": "/carpicture08/pic4128/41285668_004.jpg", "type": "OUTER", "updateDateTime": "2026-01-06T11:26:11", "desc": null}, {"code": "017", "path": "/carpicture08/pic4128/41285668_017.jpg", "type": "OPTION", "updateDateTime": "2026-01-06T11:26:11", "desc": null}, {"code": "001", "path": "/carpicture08/pic4128/41285668_001.jpg", "type": "OUTER", "updateDateTime": "2026-01-06T11:26:11", "desc": null}, {"code": "022", "path": "/carpicture08/pic4128/41285668_022.jpg", "type": "OPTION", "updateDateTime": "2026-01-06T11:26:11", "desc": null}, {"code": "002", "path": "/carpicture08/pic4128/41285668_002.jpg", "type": "OUTER", "updateDateTime": "2026-01-06T11:26:11", "desc": null}]</t>
  </si>
  <si>
    <t>217우6761</t>
  </si>
  <si>
    <t>KMHJB81BGMU042577</t>
  </si>
  <si>
    <t>Diesel 1.6 2WD</t>
  </si>
  <si>
    <t>133</t>
  </si>
  <si>
    <t>201910</t>
  </si>
  <si>
    <t>["IMAGE", "TABLE"]</t>
  </si>
  <si>
    <t>05062450965</t>
  </si>
  <si>
    <t>★올 뉴 투싼 디젤 1.6 모던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</si>
  <si>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2025-12-02T16:36:09</t>
  </si>
  <si>
    <t>2026-01-25T08:32:42</t>
  </si>
  <si>
    <t>2025-12-02T10:04:45</t>
  </si>
  <si>
    <t>["1048", "10001"]</t>
  </si>
  <si>
    <t>["001", "004", "005", "006", "007", "008", "014", "015", "017", "019", "020", "022", "023", "024", "026", "027", "030", "031", "032", "033", "034", "055", "056", "057", "058", "062", "063", "071", "072", "074", "082", "088", "096", "097"]</t>
  </si>
  <si>
    <t>[{"code": "018", "path": "/carpicture08/pic4108/41085806_018.jpg", "type": "OPTION", "updateDateTime": "2025-12-02T16:35:52", "desc": null}, {"code": "002", "path": "/carpicture08/pic4108/41085806_002.jpg", "type": "OUTER", "updateDateTime": "2025-12-02T16:35:52", "desc": null}, {"code": "005", "path": "/carpicture08/pic4108/41085806_005.jpg", "type": "OUTER", "updateDateTime": "2025-12-02T16:35:52", "desc": null}, {"code": "010", "path": "/carpicture08/pic4108/41085806_010.jpg", "type": "INNER", "updateDateTime": "2025-12-02T16:35:52", "desc": null}, {"code": "019", "path": "/carpicture08/pic4108/41085806_019.jpg", "type": "OPTION", "updateDateTime": "2025-12-02T16:35:52", "desc": null}, {"code": "009", "path": "/carpicture08/pic4108/41085806_009.jpg", "type": "INNER", "updateDateTime": "2025-12-02T16:35:52", "desc": null}, {"code": "024", "path": "/carpicture08/pic4108/41085806_024.jpg", "type": "OPTION", "updateDateTime": "2025-12-02T16:35:52", "desc": null}, {"code": "001", "path": "/carpicture08/pic4108/41085806_001.jpg", "type": "OUTER", "updateDateTime": "2025-12-02T16:35:52", "desc": null}, {"code": "006", "path": "/carpicture08/pic4108/41085806_006.jpg", "type": "INNER", "updateDateTime": "2025-12-02T16:35:52", "desc": null}, {"code": "016", "path": "/carpicture08/pic4108/41085806_016.jpg", "type": "OPTION", "updateDateTime": "2025-12-02T16:35:52", "desc": null}, {"code": "023", "path": "/carpicture08/pic4108/41085806_023.jpg", "type": "OPTION", "updateDateTime": "2025-12-02T16:35:52", "desc": null}, {"code": "008", "path": "/carpicture08/pic4108/41085806_008.jpg", "type": "INNER", "updateDateTime": "2025-12-02T16:35:52", "desc": null}, {"code": "021", "path": "/carpicture08/pic4108/41085806_021.jpg", "type": "OPTION", "updateDateTime": "2025-12-02T16:35:52", "desc": null}, {"code": "007", "path": "/carpicture08/pic4108/41085806_007.jpg", "type": "INNER", "updateDateTime": "2025-12-02T16:35:52", "desc": null}, {"code": "017", "path": "/carpicture08/pic4108/41085806_017.jpg", "type": "OPTION", "updateDateTime": "2025-12-02T16:35:52", "desc": null}, {"code": "004", "path": "/carpicture08/pic4108/41085806_004.jpg", "type": "OUTER", "updateDateTime": "2025-12-02T16:35:52", "desc": null}, {"code": "003", "path": "/carpicture08/pic4108/41085806_003.jpg", "type": "OUTER", "updateDateTime": "2025-12-02T16:35:52", "desc": null}, {"code": "022", "path": "/carpicture08/pic4108/41085806_022.jpg", "type": "OPTION", "updateDateTime": "2025-12-02T16:35:52", "desc": null}, {"code": "020", "path": "/carpicture08/pic4108/41085806_020.jpg", "type": "OPTION", "updateDateTime": "2025-12-02T16:35:52", "desc": null}, {"code": "015", "path": "/carpicture08/pic4108/41085806_015.jpg", "type": "OPTION", "updateDateTime": "2025-12-02T16:35:52", "desc": null}]</t>
  </si>
  <si>
    <t>232서3497</t>
  </si>
  <si>
    <t>KMHJ3817GKU152653</t>
  </si>
  <si>
    <t>["ExtendWarranty", "Warranty"]</t>
  </si>
  <si>
    <t>Calligraphy</t>
  </si>
  <si>
    <t>162</t>
  </si>
  <si>
    <t>202109</t>
  </si>
  <si>
    <t>05062322796</t>
  </si>
  <si>
    <t>★더 뉴 그랜저IG 2.5 캘리그래피 오토 차량을 소개해 드립니다. ★    ***신차값= 4,320 만원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</si>
  <si>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2026-01-23T21:15:57</t>
  </si>
  <si>
    <t>2025-07-23T10:36:35</t>
  </si>
  <si>
    <t>["001", "004", "005", "006", "007", "008", "014", "015", "017", "019", "020", "021", "022", "023", "024", "026", "027", "030", "031", "032", "033", "034", "035", "051", "055", "056", "057", "058", "059", "063", "072", "074", "075", "077", "079", "081", "082", "083", "084", "085", "086", "087", "088", "092", "093", "094", "095", "096", "097"]</t>
  </si>
  <si>
    <t>[{"code": "003", "path": "/carpicture05/pic4015/40151520_003.jpg", "type": "OUTER", "updateDateTime": "2025-07-23T14:47:27", "desc": null}, {"code": "020", "path": "/carpicture05/pic4015/40151520_020.jpg", "type": "OPTION", "updateDateTime": "2025-07-23T14:47:27", "desc": null}, {"code": "017", "path": "/carpicture05/pic4015/40151520_017.jpg", "type": "OPTION", "updateDateTime": "2025-07-23T14:47:27", "desc": null}, {"code": "009", "path": "/carpicture05/pic4015/40151520_009.jpg", "type": "INNER", "updateDateTime": "2025-07-23T14:47:27", "desc": null}, {"code": "022", "path": "/carpicture05/pic4015/40151520_022.jpg", "type": "OPTION", "updateDateTime": "2025-07-23T14:47:27", "desc": null}, {"code": "016", "path": "/carpicture05/pic4015/40151520_016.jpg", "type": "OPTION", "updateDateTime": "2025-07-23T14:47:27", "desc": null}, {"code": "006", "path": "/carpicture05/pic4015/40151520_006.jpg", "type": "INNER", "updateDateTime": "2025-07-23T14:47:27", "desc": null}, {"code": "010", "path": "/carpicture05/pic4015/40151520_010.jpg", "type": "INNER", "updateDateTime": "2025-07-23T14:47:27", "desc": null}, {"code": "005", "path": "/carpicture05/pic4015/40151520_005.jpg", "type": "OUTER", "updateDateTime": "2025-07-23T14:47:27", "desc": null}, {"code": "019", "path": "/carpicture05/pic4015/40151520_019.jpg", "type": "OPTION", "updateDateTime": "2025-07-23T14:47:27", "desc": null}, {"code": "004", "path": "/carpicture05/pic4015/40151520_004.jpg", "type": "OUTER", "updateDateTime": "2025-07-23T14:47:27", "desc": null}, {"code": "008", "path": "/carpicture05/pic4015/40151520_008.jpg", "type": "INNER", "updateDateTime": "2025-07-23T14:47:27", "desc": null}, {"code": "002", "path": "/carpicture05/pic4015/40151520_002.jpg", "type": "OUTER", "updateDateTime": "2025-07-23T14:47:27", "desc": null}, {"code": "018", "path": "/carpicture05/pic4015/40151520_018.jpg", "type": "OPTION", "updateDateTime": "2025-07-23T14:47:27", "desc": null}, {"code": "001", "path": "/carpicture05/pic4015/40151520_001.jpg", "type": "OUTER", "updateDateTime": "2025-07-23T14:47:27", "desc": null}, {"code": "024", "path": "/carpicture05/pic4015/40151520_024.jpg", "type": "OPTION", "updateDateTime": "2025-07-23T14:47:27", "desc": null}, {"code": "015", "path": "/carpicture05/pic4015/40151520_015.jpg", "type": "OPTION", "updateDateTime": "2025-07-23T14:47:27", "desc": null}, {"code": "023", "path": "/carpicture05/pic4015/40151520_023.jpg", "type": "OPTION", "updateDateTime": "2025-07-23T14:47:27", "desc": null}, {"code": "007", "path": "/carpicture05/pic4015/40151520_007.jpg", "type": "INNER", "updateDateTime": "2025-07-23T14:47:27", "desc": null}, {"code": "021", "path": "/carpicture05/pic4015/40151520_021.jpg", "type": "OPTION", "updateDateTime": "2025-07-23T14:47:27", "desc": null}]</t>
  </si>
  <si>
    <t>159루3237</t>
  </si>
  <si>
    <t>KMHF341DBNA456808</t>
  </si>
  <si>
    <t>201710</t>
  </si>
  <si>
    <t>05062076842</t>
  </si>
  <si>
    <t>★쏘나타 뉴 라이즈 2.0 스타일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부산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</si>
  <si>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2026-01-19T21:23:38</t>
  </si>
  <si>
    <t>2024-11-18T13:45:51</t>
  </si>
  <si>
    <t>["001", "005", "006", "007", "008", "014", "015", "017", "019", "020", "022", "024", "026", "027", "031", "032", "033", "055", "056", "057", "058", "071", "072", "096"]</t>
  </si>
  <si>
    <t>[{"code": "020", "path": "/carpicture05/pic3855/38557627_020.jpg", "type": "OPTION", "updateDateTime": "2025-09-08T10:05:57", "desc": null}, {"code": "006", "path": "/carpicture05/pic3855/38557627_006.jpg", "type": "INNER", "updateDateTime": "2025-09-08T10:05:57", "desc": null}, {"code": "009", "path": "/carpicture05/pic3855/38557627_009.jpg", "type": "INNER", "updateDateTime": "2025-09-08T10:05:57", "desc": null}, {"code": "024", "path": "/carpicture05/pic3855/38557627_024.jpg", "type": "OPTION", "updateDateTime": "2025-09-08T10:05:57", "desc": null}, {"code": "019", "path": "/carpicture05/pic3855/38557627_019.jpg", "type": "OPTION", "updateDateTime": "2025-09-08T10:05:57", "desc": null}, {"code": "002", "path": "/carpicture05/pic3855/38557627_002.jpg", "type": "OUTER", "updateDateTime": "2025-09-08T10:05:57", "desc": null}, {"code": "017", "path": "/carpicture05/pic3855/38557627_017.jpg", "type": "OPTION", "updateDateTime": "2025-09-08T10:05:57", "desc": null}, {"code": "016", "path": "/carpicture05/pic3855/38557627_016.jpg", "type": "OPTION", "updateDateTime": "2025-09-08T10:05:57", "desc": null}, {"code": "022", "path": "/carpicture05/pic3855/38557627_022.jpg", "type": "OPTION", "updateDateTime": "2025-09-08T10:05:57", "desc": null}, {"code": "018", "path": "/carpicture05/pic3855/38557627_018.jpg", "type": "OPTION", "updateDateTime": "2025-09-08T10:05:57", "desc": null}, {"code": "008", "path": "/carpicture05/pic3855/38557627_008.jpg", "type": "INNER", "updateDateTime": "2025-09-08T10:05:57", "desc": null}, {"code": "010", "path": "/carpicture05/pic3855/38557627_010.jpg", "type": "INNER", "updateDateTime": "2025-09-08T10:05:57", "desc": null}, {"code": "007", "path": "/carpicture05/pic3855/38557627_007.jpg", "type": "INNER", "updateDateTime": "2025-09-08T10:05:57", "desc": null}, {"code": "004", "path": "/carpicture05/pic3855/38557627_004.jpg", "type": "OUTER", "updateDateTime": "2025-09-08T10:05:57", "desc": null}, {"code": "003", "path": "/carpicture05/pic3855/38557627_003.jpg", "type": "OUTER", "updateDateTime": "2025-09-08T10:05:57", "desc": null}, {"code": "023", "path": "/carpicture05/pic3855/38557627_023.jpg", "type": "OPTION", "updateDateTime": "2025-09-08T10:05:57", "desc": null}, {"code": "015", "path": "/carpicture05/pic3855/38557627_015.jpg", "type": "OPTION", "updateDateTime": "2025-09-08T10:05:57", "desc": null}, {"code": "001", "path": "/carpicture05/pic3855/38557627_001.jpg", "type": "OUTER", "updateDateTime": "2025-09-08T10:05:57", "desc": null}, {"code": "005", "path": "/carpicture05/pic3855/38557627_005.jpg", "type": "OUTER", "updateDateTime": "2025-09-08T10:05:57", "desc": null}, {"code": "021", "path": "/carpicture05/pic3855/38557627_021.jpg", "type": "OPTION", "updateDateTime": "2025-09-08T10:05:57", "desc": null}]</t>
  </si>
  <si>
    <t>223도6348</t>
  </si>
  <si>
    <t>KMHE241CBJA404532</t>
  </si>
  <si>
    <t>202007</t>
  </si>
  <si>
    <t>05062065260</t>
  </si>
  <si>
    <t>★쏘나타 (DN8) 2.0 프리미엄 오토 차량을 소개해 드립니다. ★                    ***신차값-2,886 만원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</si>
  <si>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2025-12-23T13:44:11</t>
  </si>
  <si>
    <t>2026-01-12T09:14:36</t>
  </si>
  <si>
    <t>2025-12-23T13:08:06</t>
  </si>
  <si>
    <t>["10006", "10003"]</t>
  </si>
  <si>
    <t>["001", "004", "005", "006", "007", "008", "014", "015", "017", "019", "020", "021", "022", "023", "024", "026", "027", "030", "031", "032", "033", "034", "055", "056", "057", "058", "063", "068", "072", "074", "075", "077", "082", "084", "088", "094", "096", "097"]</t>
  </si>
  <si>
    <t>[{"code": "017", "path": "/carpicture01/pic4121/41218565_017.jpg", "type": "OPTION", "updateDateTime": "2025-12-23T13:41:01", "desc": null}, {"code": "016", "path": "/carpicture01/pic4121/41218565_016.jpg", "type": "OPTION", "updateDateTime": "2025-12-23T13:41:01", "desc": null}, {"code": "024", "path": "/carpicture01/pic4121/41218565_024.jpg", "type": "OPTION", "updateDateTime": "2025-12-23T13:41:01", "desc": null}, {"code": "018", "path": "/carpicture01/pic4121/41218565_018.jpg", "type": "OPTION", "updateDateTime": "2025-12-23T13:41:01", "desc": null}, {"code": "015", "path": "/carpicture01/pic4121/41218565_015.jpg", "type": "OPTION", "updateDateTime": "2025-12-23T13:41:01", "desc": null}, {"code": "021", "path": "/carpicture01/pic4121/41218565_021.jpg", "type": "OPTION", "updateDateTime": "2025-12-23T13:41:01", "desc": null}, {"code": "008", "path": "/carpicture01/pic4121/41218565_008.jpg", "type": "INNER", "updateDateTime": "2025-12-23T13:41:01", "desc": null}, {"code": "005", "path": "/carpicture01/pic4121/41218565_005.jpg", "type": "OUTER", "updateDateTime": "2025-12-23T13:41:01", "desc": null}, {"code": "004", "path": "/carpicture01/pic4121/41218565_004.jpg", "type": "OUTER", "updateDateTime": "2025-12-23T13:41:01", "desc": null}, {"code": "022", "path": "/carpicture01/pic4121/41218565_022.jpg", "type": "OPTION", "updateDateTime": "2025-12-23T13:41:01", "desc": null}, {"code": "023", "path": "/carpicture01/pic4121/41218565_023.jpg", "type": "OPTION", "updateDateTime": "2025-12-23T13:41:01", "desc": null}, {"code": "006", "path": "/carpicture01/pic4121/41218565_006.jpg", "type": "INNER", "updateDateTime": "2025-12-23T13:41:01", "desc": null}, {"code": "001", "path": "/carpicture01/pic4121/41218565_001.jpg", "type": "OUTER", "updateDateTime": "2025-12-23T13:41:01", "desc": null}, {"code": "007", "path": "/carpicture01/pic4121/41218565_007.jpg", "type": "INNER", "updateDateTime": "2025-12-23T13:41:01", "desc": null}, {"code": "020", "path": "/carpicture01/pic4121/41218565_020.jpg", "type": "OPTION", "updateDateTime": "2025-12-23T13:41:01", "desc": null}, {"code": "003", "path": "/carpicture01/pic4121/41218565_003.jpg", "type": "OUTER", "updateDateTime": "2025-12-23T13:41:01", "desc": null}, {"code": "010", "path": "/carpicture01/pic4121/41218565_010.jpg", "type": "INNER", "updateDateTime": "2025-12-23T13:41:01", "desc": null}, {"code": "009", "path": "/carpicture01/pic4121/41218565_009.jpg", "type": "INNER", "updateDateTime": "2025-12-23T13:41:01", "desc": null}, {"code": "019", "path": "/carpicture01/pic4121/41218565_019.jpg", "type": "OPTION", "updateDateTime": "2025-12-23T13:41:01", "desc": null}, {"code": "002", "path": "/carpicture01/pic4121/41218565_002.jpg", "type": "OUTER", "updateDateTime": "2025-12-23T13:41:01", "desc": null}]</t>
  </si>
  <si>
    <t>239조1044</t>
  </si>
  <si>
    <t>KMHL141EBMA104739</t>
  </si>
  <si>
    <t>014</t>
  </si>
  <si>
    <t>Cargo 5-Seater</t>
  </si>
  <si>
    <t>202212</t>
  </si>
  <si>
    <t>05062322482</t>
  </si>
  <si>
    <t>★스타리아 카고 5인승 모던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</si>
  <si>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2026-01-10T21:17:22</t>
  </si>
  <si>
    <t>2025-07-09T15:46:15</t>
  </si>
  <si>
    <t>["1016", "1014"]</t>
  </si>
  <si>
    <t>["001", "005", "006", "007", "008", "014", "015", "017", "019", "020", "022", "024", "026", "027", "031", "032", "033", "055", "056", "057", "058", "072", "079", "082", "086", "088", "094", "096", "097"]</t>
  </si>
  <si>
    <t>[{"code": "016", "path": "/carpicture05/pic4005/40055487_016.jpg", "type": "OPTION", "updateDateTime": "2025-07-10T14:25:45", "desc": null}, {"code": "020", "path": "/carpicture05/pic4005/40055487_020.jpg", "type": "OPTION", "updateDateTime": "2025-07-10T14:25:45", "desc": null}, {"code": "009", "path": "/carpicture05/pic4005/40055487_009.jpg", "type": "INNER", "updateDateTime": "2025-07-10T14:25:45", "desc": null}, {"code": "015", "path": "/carpicture05/pic4005/40055487_015.jpg", "type": "OPTION", "updateDateTime": "2025-07-10T14:25:45", "desc": null}, {"code": "018", "path": "/carpicture05/pic4005/40055487_018.jpg", "type": "OPTION", "updateDateTime": "2025-07-10T14:25:45", "desc": null}, {"code": "022", "path": "/carpicture05/pic4005/40055487_022.jpg", "type": "OPTION", "updateDateTime": "2025-07-10T14:25:45", "desc": null}, {"code": "021", "path": "/carpicture05/pic4005/40055487_021.jpg", "type": "OPTION", "updateDateTime": "2025-07-10T14:25:45", "desc": null}, {"code": "024", "path": "/carpicture05/pic4005/40055487_024.jpg", "type": "OPTION", "updateDateTime": "2025-07-10T14:25:45", "desc": null}, {"code": "002", "path": "/carpicture05/pic4005/40055487_002.jpg", "type": "OUTER", "updateDateTime": "2025-07-10T14:25:45", "desc": null}, {"code": "017", "path": "/carpicture05/pic4005/40055487_017.jpg", "type": "OPTION", "updateDateTime": "2025-07-10T14:25:45", "desc": null}, {"code": "010", "path": "/carpicture05/pic4005/40055487_010.jpg", "type": "INNER", "updateDateTime": "2025-07-10T14:25:45", "desc": null}, {"code": "008", "path": "/carpicture05/pic4005/40055487_008.jpg", "type": "INNER", "updateDateTime": "2025-07-10T14:25:45", "desc": null}, {"code": "019", "path": "/carpicture05/pic4005/40055487_019.jpg", "type": "OPTION", "updateDateTime": "2025-07-10T14:25:45", "desc": null}, {"code": "006", "path": "/carpicture05/pic4005/40055487_006.jpg", "type": "INNER", "updateDateTime": "2025-07-10T14:25:45", "desc": null}, {"code": "001", "path": "/carpicture05/pic4005/40055487_001.jpg", "type": "OUTER", "updateDateTime": "2025-07-10T14:25:45", "desc": null}, {"code": "007", "path": "/carpicture05/pic4005/40055487_007.jpg", "type": "INNER", "updateDateTime": "2025-07-10T14:25:45", "desc": null}, {"code": "004", "path": "/carpicture05/pic4005/40055487_004.jpg", "type": "OUTER", "updateDateTime": "2025-07-10T14:25:45", "desc": null}, {"code": "005", "path": "/carpicture05/pic4005/40055487_005.jpg", "type": "OUTER", "updateDateTime": "2025-07-10T14:25:45", "desc": null}, {"code": "023", "path": "/carpicture05/pic4005/40055487_023.jpg", "type": "OPTION", "updateDateTime": "2025-07-10T14:25:45", "desc": null}, {"code": "003", "path": "/carpicture05/pic4005/40055487_003.jpg", "type": "OUTER", "updateDateTime": "2025-07-10T14:25:45", "desc": null}]</t>
  </si>
  <si>
    <t>815거5062</t>
  </si>
  <si>
    <t>KMFYCX71BPU095199</t>
  </si>
  <si>
    <t>131</t>
  </si>
  <si>
    <t>049</t>
  </si>
  <si>
    <t>i40</t>
  </si>
  <si>
    <t>201706</t>
  </si>
  <si>
    <t>05062153148</t>
  </si>
  <si>
    <t>★더 뉴 i40 2.0 GDi 프리미엄 오토 차량을 소개해 드립니다. ★
☆ 실주행 거리 (확인가능) 이구여 성능점검 완료 차량입니다.(실내쾌적)      
☆ 좋은차는 기다려주지 않습니다. 조기품절 예상되니 일단 연락주세요 *^^*____★
☆ 타시던 차량과도 대차 가능합니다. 
☆ 성능점검및 광택 까지 완벽하게 마무리되어있는 차량입니다. 
★성능검사완료차량★ . 
○ 저희 ㈜ 일공공일 카부카 에서는 무사고차량 판매를 기본 원칙으로 하고 있습니다. 
○ 부득이 사고차량을 판매하게 될 경우에는 정확한 내용 공개후 판매합니다. 
○ 중고차의 특성상 나타나는 엔진 미션의 문제를 보안하여 출고전에 경정비 완료 후 완벽한 상태로 출고합니다. 
○ 사고유무는 성능고지및 1급 정비공장를 통해 정확하게 고지해 드리고 있습니다. 
♥♡∽♥∽♡∽♥∽∽♡∽♥∽♡∽∽♡∽♥∽♡∽♥∽
○ 어떤 딜러보다도 더 신속하고 정확하게 그리고 저렴하게 팔겠습니다. 
○ 옵션 사항이나 기타 차량과 관련해 궁금하신점은 전화로 문의 주시면    
성심성의껏 답변해 드리겠습니다.  
 24시간 대기: -3589-2565 ∽♥
∽♡∽♥∽♡∽♥∽♡∽♥∽♡∽♥∽♡∽♥∽♡∽♥∽
 고객님 한분 한분을 소중히 생각하는 전문딜러 김 영 수 대표
 ∽♥∽♡∽♥∽♡∽♥∽♡∽♥∽♡∽♥∽♡∽♥∽♡∽ 
※ 전차종 캐피탈 할부 100% 가능! / 타시던 차와 교환도 가능합니다.
■ 이외에 광고에 미처 올리지못한 차량도 많습니다. 
■전차량 성능점검 보증실시
◆ 실물 사진이며 사고유무, 주행거리, 침수여부 등 차량상태를 자동차관리법 제58조1항에 의해 공개합니다.
◆ 외판 교체여부 및 사고여부에 대한 정확한 내용을 고지해 드리며, 미고지시 100% 환불해 드립니다. 
◆ 차량판매 후 보증기간 이내 차량인 경우 엔진과 트랜스미션 등 Power Train 계통 고장시 무상수리를 보증합니다. (1개월, 2천km 이내 고장시 비용과 횟수에 관계없이 무상으로 수리해 드립니다).
◆ 신용카드결제가 가능합니다.
구┃매┃포┃인┃트┃ …＊
━┛━┛━┛━┛━┛
 ━━━━━━━━━━━━━━━━━━━━━━━━━━━━━━━━━━━━━━━━▨ 현금 / 무보증 60개월 신용할부 / 신용카드결제 가능하며 당일출고.▨ 소중히 타시던 차와 대차(최고가 매입)및 폐차대행 ▨ 할부시 준비서류; 면허증(상담필수)♤▨ 대차시 준비서류; 본인서멸사실확인서 1통※ 바쁘신분들을 위해 출장 서비스도 하고 있습니다.지방 출장/탁송가능 ~~━━━━━━━━━━━━━━━━━━━━━━━━━━━━━━━━━━━━━━
…조기 판매예상되오니 계약을 서두르세요~!…좋은 차의 주인은 고객님입니다.
…방문하셔서 시운전도 해보시고 좋은차의 주인이 되십시오.</t>
  </si>
  <si>
    <t>2025-12-01T21:24:11</t>
  </si>
  <si>
    <t>2026-01-23T09:20:22</t>
  </si>
  <si>
    <t>2025-03-31T16:09:29</t>
  </si>
  <si>
    <t>["1037", "10006", "1038"]</t>
  </si>
  <si>
    <t>["001", "004", "005", "006", "007", "008", "014", "015", "017", "019", "020", "021", "022", "023", "024", "026", "027", "029", "030", "031", "032", "033", "034", "035", "055", "056", "057", "058", "062", "063", "068", "071", "072", "074", "077", "082", "085", "094", "096", "097"]</t>
  </si>
  <si>
    <t>[{"code": "009", "path": "/carpicture04/pic3934/39345655_009.jpg", "type": "INNER", "updateDateTime": "2025-04-01T09:52:26", "desc": null}, {"code": "023", "path": "/carpicture04/pic3934/39345655_023.jpg", "type": "OPTION", "updateDateTime": "2025-04-01T09:52:26", "desc": null}, {"code": "007", "path": "/carpicture04/pic3934/39345655_007.jpg", "type": "INNER", "updateDateTime": "2025-04-01T09:52:26", "desc": null}, {"code": "021", "path": "/carpicture04/pic3934/39345655_021.jpg", "type": "OPTION", "updateDateTime": "2025-04-01T09:52:26", "desc": null}, {"code": "019", "path": "/carpicture04/pic3934/39345655_019.jpg", "type": "OPTION", "updateDateTime": "2025-04-01T09:52:26", "desc": null}, {"code": "004", "path": "/carpicture04/pic3934/39345655_004.jpg", "type": "OUTER", "updateDateTime": "2025-04-01T09:52:26", "desc": null}, {"code": "016", "path": "/carpicture04/pic3934/39345655_016.jpg", "type": "OPTION", "updateDateTime": "2025-04-01T09:52:26", "desc": null}, {"code": "005", "path": "/carpicture04/pic3934/39345655_005.jpg", "type": "OUTER", "updateDateTime": "2025-04-01T09:52:26", "desc": null}, {"code": "024", "path": "/carpicture04/pic3934/39345655_024.jpg", "type": "OPTION", "updateDateTime": "2025-04-01T09:52:26", "desc": null}, {"code": "015", "path": "/carpicture04/pic3934/39345655_015.jpg", "type": "OPTION", "updateDateTime": "2025-04-01T09:52:26", "desc": null}, {"code": "020", "path": "/carpicture04/pic3934/39345655_020.jpg", "type": "OPTION", "updateDateTime": "2025-04-01T09:52:26", "desc": null}, {"code": "022", "path": "/carpicture04/pic3934/39345655_022.jpg", "type": "OPTION", "updateDateTime": "2025-04-01T09:52:26", "desc": null}, {"code": "001", "path": "/carpicture04/pic3934/39345655_001.jpg", "type": "OUTER", "updateDateTime": "2025-04-01T09:52:26", "desc": null}, {"code": "002", "path": "/carpicture04/pic3934/39345655_002.jpg", "type": "OUTER", "updateDateTime": "2025-04-01T09:52:26", "desc": null}, {"code": "008", "path": "/carpicture04/pic3934/39345655_008.jpg", "type": "INNER", "updateDateTime": "2025-04-01T09:52:26", "desc": null}, {"code": "018", "path": "/carpicture04/pic3934/39345655_018.jpg", "type": "OPTION", "updateDateTime": "2025-04-01T09:52:26", "desc": null}, {"code": "006", "path": "/carpicture04/pic3934/39345655_006.jpg", "type": "INNER", "updateDateTime": "2025-04-01T09:52:26", "desc": null}, {"code": "003", "path": "/carpicture04/pic3934/39345655_003.jpg", "type": "OUTER", "updateDateTime": "2025-04-01T09:52:26", "desc": null}, {"code": "017", "path": "/carpicture04/pic3934/39345655_017.jpg", "type": "OPTION", "updateDateTime": "2025-04-01T09:52:26", "desc": null}, {"code": "010", "path": "/carpicture04/pic3934/39345655_010.jpg", "type": "INNER", "updateDateTime": "2025-04-01T09:52:26", "desc": null}]</t>
  </si>
  <si>
    <t>67서7411</t>
  </si>
  <si>
    <t>KMHLB81DBJU142834</t>
  </si>
  <si>
    <t>2.4 Premium</t>
  </si>
  <si>
    <t>141</t>
  </si>
  <si>
    <t>201801</t>
  </si>
  <si>
    <t>경기 수원시 권선구</t>
  </si>
  <si>
    <t>05062074856</t>
  </si>
  <si>
    <t>안녕하세요 
사원번호 GC20 - 05631
경기도자동차매매사업조합에 가입되어있는 
수원오토컬렉션 주식회사 설레임 오토모티브
양심딜러 팀장 김수현 입니다
제 사원증을 걸고 100% 실매물임을 약속드립니다
▶◀ 이 차량은 ━━━━━━━━━━━━━━━━━━━━━━━━━━━━━━━━━━━━━━━━
★ 출발 1시간전 미리 전화주셔서 차량계약 확인후 방문하여 주시기 바랍니다. ★
━━━━━━━━━━━━━━━━━━━━━━━━━━━━━━━━━━━━━━━━━━━━━━━
▶ 차 명 : 현대 그랜저 IG
▶ 등 급 : 2.4 프리미엄 스페셜
▶ 연 식 : 2018년 ( 2018-01 )
▶주행 거리 : 59,900 km
▶차대번호 : KMHF441CBJA142230
▶ 색 상 : 흰색
▶ 연 료 : 휘발유
▶ 사고 유무 : 완전무사고 
교통 안전공단에서 작성된 법적효력있는 성능점검 기록부 발급해드립니다.
◆ 6개월 1만km 보증 연장 가능 합니다. ◆
 이 차량에 대해 간단히 소개 해 드리자면
- 브라운시트
- 파노라마 썬루프
- Full LED 헤드램프
- 19인치 휠
- JBL 사운드 패키지
- 어라운드 뷰 모니터링 시스템
-고속도로 주행 지원 시스템
-스마트 후측방 경보 시스템
- 스마트 크루즈 컨트롤 (반자율 주행)
-자동 긴급제동 시스템
- 메모리시트
- 전동 / 통풍 / 열선 시트
- 스마트 전동 트렁크
- 스마트폰 무선충전 시스템
등등 수많은 고급 편의사항이 장착 되어져 출고 된 차량이며 ,
오셔서 보시면 아시겠지만 정말 관리가 잘 되어져 있는 차량입니다 .
차량상태 및 보증
- 국도 교통부 성능점검기록부를 발급 받았으며 차량인수일을 기준으로 30일 , 2000km 범위내에서 소모품을 제외한 
   엔진/ 미션 및 중요부품에 대해서 의무적으로 무상수리가 가능합니다
- 차량인수일을 기준으로 한달간 DB화재에 보험이 가입되어있는 차량으로 소모품을 제외한 엔진/미션 및 중요부품에 대해서
   법적으로 무상수리가 가능합니다
- 상사 매입시 1급 성능점검 센터에서 최고의 성능점검사가 완벽하게 점검하였습니다
- 오일누유 1도 없습니다
1. 전액할부 &amp; 부분할부 &amp; 현금 &amp; 리스 !! 어떤것을 선택하시든 어떤한 결제도 가능한 차량입니다
2. 부가세없이 법인&amp;개인리스, 세금계산서, 현금영수증 발행가능합니다
3. 대차 &amp; 폐차 모두 가능하시구요 , 말소까지 대행해 드립니다
★ 4. 이 차량은 방문서비스가 가능한 차량입니다 . ★
방문 서비스가 가능하다는 건 제가 차량을 직접 가지고 있다는 뜻입니다
100% 실매물이어야 가능하구요 , 타상사 딜러가 아니어야 가능하구요, 직접 매입해온 차량이어야 가능합니다
- 싸고 좋은차는 없습니다 .
  시세대비 터무니 없는 가격의 차량은 99% 허위매물입니다
  하지만 최선의 가격에 최상의 차량을 고객님께 선보이겠습니다
  언제든 연락주세요
━━━━━━━━━━━━━━━━━━━━━━━━━━━━━━━━━━━━━━━━━━━━━━━
★ 광고와 다른 부분이 있거나 차량이 다를경우 보상해 드립니다. ★
━━━━━━━━━━━━━━━━━━━━━━━━━━━━━━━━━━━━━━━━━━━━━━━
▶ 찾아오시는길 
경기도 수원시 권선구 권선로 341, 수원오토컬렉션 209호 (주) 설레임 오토모티브</t>
  </si>
  <si>
    <t>2026-01-13T21:20:45</t>
  </si>
  <si>
    <t>2026-01-19T23:59:03</t>
  </si>
  <si>
    <t>2025-11-13T09:38:39</t>
  </si>
  <si>
    <t>["1009", "1027", "1012", "1008", "1028", "1025"]</t>
  </si>
  <si>
    <t>["001", "004", "005", "006", "007", "008", "010", "014", "015", "017", "019", "020", "021", "022", "023", "024", "026", "027", "030", "031", "032", "033", "034", "035", "051", "055", "056", "057", "058", "059", "063", "071", "072", "074", "075", "077", "079", "081", "082", "083", "085", "086", "087", "088", "092", "094", "096", "097"]</t>
  </si>
  <si>
    <t>7162</t>
  </si>
  <si>
    <t>[{"code": "173", "name": "엔카진단센터 수원 SAC", "major": true, "telephoneNumber": "031-291-6420", "address": "경기 수원시 권선구 권선로 341 수원오토컬렉션(SAC) 지하1층 101호"}, {"code": "164", "name": "엔카진단센터 수원 서둔점", "major": false, "telephoneNumber": "010-4522-7026", "address": "경기 수원시 권선구 권선로 309 수원오토콜렉션2(SAC) 1층"}]</t>
  </si>
  <si>
    <t>(주) 설레임오토모티브(진단2.0)</t>
  </si>
  <si>
    <t>김수현</t>
  </si>
  <si>
    <t>[{"code": "004", "path": "/carpicture05/pic4095/40952759_004.jpg", "type": "OUTER", "updateDateTime": "2025-11-13T16:07:50", "desc": null}, {"code": "017", "path": "/carpicture05/pic4095/40952759_017.jpg", "type": "OPTION", "updateDateTime": "2025-11-13T16:07:50", "desc": null}, {"code": "007", "path": "/carpicture05/pic4095/40952759_007.jpg", "type": "INNER", "updateDateTime": "2025-11-13T16:07:50", "desc": null}, {"code": "002", "path": "/carpicture05/pic4095/40952759_002.jpg", "type": "OUTER", "updateDateTime": "2025-11-13T16:07:50", "desc": null}, {"code": "001", "path": "/carpicture05/pic4095/40952759_001.jpg", "type": "OUTER", "updateDateTime": "2025-11-13T16:07:50", "desc": null}, {"code": "015", "path": "/carpicture05/pic4095/40952759_015.jpg", "type": "OPTION", "updateDateTime": "2025-11-13T16:07:50", "desc": null}, {"code": "009", "path": "/carpicture05/pic4095/40952759_009.jpg", "type": "INNER", "updateDateTime": "2025-11-13T16:07:50", "desc": null}, {"code": "016", "path": "/carpicture05/pic4095/40952759_016.jpg", "type": "OPTION", "updateDateTime": "2025-11-13T16:07:50", "desc": null}, {"code": "005", "path": "/carpicture05/pic4095/40952759_005.jpg", "type": "OUTER", "updateDateTime": "2025-11-13T16:07:50", "desc": null}, {"code": "024", "path": "/carpicture05/pic4095/40952759_024.jpg", "type": "OPTION", "updateDateTime": "2025-11-13T16:07:50", "desc": null}, {"code": "019", "path": "/carpicture05/pic4095/40952759_019.jpg", "type": "OPTION", "updateDateTime": "2025-11-13T16:07:50", "desc": null}, {"code": "018", "path": "/carpicture05/pic4095/40952759_018.jpg", "type": "OPTION", "updateDateTime": "2025-11-13T16:07:50", "desc": null}, {"code": "023", "path": "/carpicture05/pic4095/40952759_023.jpg", "type": "OPTION", "updateDateTime": "2025-11-13T16:07:50", "desc": null}, {"code": "021", "path": "/carpicture05/pic4095/40952759_021.jpg", "type": "OPTION", "updateDateTime": "2025-11-13T16:07:50", "desc": null}, {"code": "022", "path": "/carpicture05/pic4095/40952759_022.jpg", "type": "OPTION", "updateDateTime": "2025-11-13T16:07:50", "desc": null}, {"code": "010", "path": "/carpicture05/pic4095/40952759_010.jpg", "type": "INNER", "updateDateTime": "2025-11-13T16:07:50", "desc": null}, {"code": "020", "path": "/carpicture05/pic4095/40952759_020.jpg", "type": "OPTION", "updateDateTime": "2025-11-13T16:07:50", "desc": null}, {"code": "003", "path": "/carpicture05/pic4095/40952759_003.jpg", "type": "OUTER", "updateDateTime": "2025-11-13T16:07:50", "desc": null}, {"code": "006", "path": "/carpicture05/pic4095/40952759_006.jpg", "type": "INNER", "updateDateTime": "2025-11-13T16:07:50", "desc": null}, {"code": "008", "path": "/carpicture05/pic4095/40952759_008.jpg", "type": "INNER", "updateDateTime": "2025-11-13T16:07:50", "desc": null}]</t>
  </si>
  <si>
    <t>31거1410</t>
  </si>
  <si>
    <t>KMHF441CBJA142230</t>
  </si>
  <si>
    <t>202105</t>
  </si>
  <si>
    <t>충북 청주시 상당구 1순환로1594번길 56</t>
  </si>
  <si>
    <t>05062306517</t>
  </si>
  <si>
    <t>◆차량소개◆
- 차 종 : 펠리세이드 2WD 캘리그래피
- 연 식 : 21년 5월
- 색 상 : 검정
- 연 료 : 디젤
- 변 속 기 : 자동
- 주행거리 : 112711km   
- 사고유무 : ◆완전무사고◆
- 운행용도 : 자가용
- 정비내역 : 모든 정비를 마친 상태로 바로 운행가능 하십니다.
◆차주소개◆
장담컨데 제가파는 중고차들은 제가직접 매입하여 직접타고온 차량들입니다.
문제있는 차들은 매입조차 하지않습니다. 
믿고 거래하셔도 됩니다. 
성능보증이 되는 차량들입니다.
늦은시간도 상담문의 가능하오니 언제든 연락주세요 
엠시티모터스 박찬영</t>
  </si>
  <si>
    <t>2026-01-19T17:56:54</t>
  </si>
  <si>
    <t>2026-01-26T09:56:03</t>
  </si>
  <si>
    <t>2026-01-19T14:39:42</t>
  </si>
  <si>
    <t>["디지털전자계기판"]</t>
  </si>
  <si>
    <t>["001", "004", "005", "006", "007", "008", "014", "015", "017", "019", "020", "021", "022", "023", "024", "026", "027", "030", "031", "032", "033", "034", "035", "051", "055", "056", "057", "058", "059", "062", "063", "072", "074", "075", "077", "079", "081", "082", "084", "085", "086", "087", "088", "090", "092", "094", "095", "096", "097"]</t>
  </si>
  <si>
    <t>5522</t>
  </si>
  <si>
    <t>[{"code": "185", "name": "엔카진단센터 인천 엠파크타워", "major": true, "telephoneNumber": "032-584-9096", "address": "인천 서구 봉수대로 158 엠파크타워 J112호(스튜디오 : 지하1층 S066호, S067호)"}]</t>
  </si>
  <si>
    <t>민모터스</t>
  </si>
  <si>
    <t>박찬영</t>
  </si>
  <si>
    <t>[{"code": "012", "path": "/carpicture07/pic4137/41370416_001.jpg", "type": "THUMBNAIL", "updateDateTime": "2026-01-19T15:12:06", "desc": null}, {"code": "022", "path": "/carpicture07/pic4137/41370416_022.jpg", "type": "OPTION", "updateDateTime": "2026-01-19T15:12:06", "desc": null}, {"code": "008", "path": "/carpicture07/pic4137/41370416_008.jpg", "type": "INNER", "updateDateTime": "2026-01-19T15:12:06", "desc": null}, {"code": "020", "path": "/carpicture07/pic4137/41370416_020.jpg", "type": "OPTION", "updateDateTime": "2026-01-19T15:12:06", "desc": null}, {"code": "003", "path": "/carpicture07/pic4137/41370416_003.jpg", "type": "OUTER", "updateDateTime": "2026-01-19T15:12:06", "desc": null}, {"code": "009", "path": "/carpicture07/pic4137/41370416_009.jpg", "type": "INNER", "updateDateTime": "2026-01-19T15:12:06", "desc": null}, {"code": "001", "path": "/carpicture07/pic4137/41370416_001.jpg", "type": "OUTER", "updateDateTime": "2026-01-19T15:12:06", "desc": null}, {"code": "015", "path": "/carpicture07/pic4137/41370416_015.jpg", "type": "OPTION", "updateDateTime": "2026-01-19T15:12:06", "desc": null}, {"code": "019", "path": "/carpicture07/pic4137/41370416_019.jpg", "type": "OPTION", "updateDateTime": "2026-01-19T15:12:06", "desc": null}, {"code": "025", "path": "/carpicture07/pic4137/41370416_001.jpg", "type": "THUMBNAIL", "updateDateTime": "2026-01-19T15:12:06", "desc": null}, {"code": "024", "path": "/carpicture07/pic4137/41370416_024.jpg", "type": "OPTION", "updateDateTime": "2026-01-19T15:12:06", "desc": null}, {"code": "026", "path": "/carpicture07/pic4137/41370416_001.jpg", "type": "THUMBNAIL", "updateDateTime": "2026-01-19T15:12:06", "desc": null}, {"code": "013", "path": "/carpicture07/pic4137/41370416_001.jpg", "type": "THUMBNAIL", "updateDateTime": "2026-01-19T15:12:06", "desc": null}, {"code": "010", "path": "/carpicture07/pic4137/41370416_010.jpg", "type": "INNER", "updateDateTime": "2026-01-19T15:12:06", "desc": null}, {"code": "016", "path": "/carpicture07/pic4137/41370416_016.jpg", "type": "OPTION", "updateDateTime": "2026-01-19T15:12:06", "desc": null}, {"code": "014", "path": "/carpicture07/pic4137/41370416_007.jpg", "type": "THUMBNAIL", "updateDateTime": "2026-01-19T15:12:06", "desc": null}, {"code": "017", "path": "/carpicture07/pic4137/41370416_017.jpg", "type": "OPTION", "updateDateTime": "2026-01-19T15:12:06", "desc": null}, {"code": "004", "path": "/carpicture07/pic4137/41370416_004.jpg", "type": "OUTER", "updateDateTime": "2026-01-19T15:12:06", "desc": null}, {"code": "007", "path": "/carpicture07/pic4137/41370416_007.jpg", "type": "INNER", "updateDateTime": "2026-01-19T15:12:06", "desc": null}, {"code": "021", "path": "/carpicture07/pic4137/41370416_021.jpg", "type": "OPTION", "updateDateTime": "2026-01-19T15:12:06", "desc": null}, {"code": "023", "path": "/carpicture07/pic4137/41370416_023.jpg", "type": "OPTION", "updateDateTime": "2026-01-19T15:12:06", "desc": null}, {"code": "011", "path": "/carpicture07/pic4137/41370416_001.jpg", "type": "THUMBNAIL", "updateDateTime": "2026-01-19T15:12:06", "desc": null}, {"code": "002", "path": "/carpicture07/pic4137/41370416_002.jpg", "type": "OUTER", "updateDateTime": "2026-01-19T15:12:06", "desc": null}, {"code": "005", "path": "/carpicture07/pic4137/41370416_005.jpg", "type": "OUTER", "updateDateTime": "2026-01-19T15:12:06", "desc": null}, {"code": "018", "path": "/carpicture07/pic4137/41370416_018.jpg", "type": "OPTION", "updateDateTime": "2026-01-19T15:12:06", "desc": null}, {"code": "006", "path": "/carpicture07/pic4137/41370416_006.jpg", "type": "INNER", "updateDateTime": "2026-01-19T15:12:06", "desc": null}]</t>
  </si>
  <si>
    <t>205소9157</t>
  </si>
  <si>
    <t>[14, 15, 13]</t>
  </si>
  <si>
    <t>엔카 실촬영</t>
  </si>
  <si>
    <t>Diesel(e-VGT) 2.0 2WD Morden</t>
  </si>
  <si>
    <t>111</t>
  </si>
  <si>
    <t>201504</t>
  </si>
  <si>
    <t>충남 천안시 서북구</t>
  </si>
  <si>
    <t>05062309610</t>
  </si>
  <si>
    <t>안녕하세요~천안오토메카인(복합형 실내 전시매장)  조이 모터스  방성희 팀장 입니다 
우선 저의 차량을 관심 가져 주셔서 감사드립니다.
모든차량 상품화 전 모든 경정비를 우선 원칙으로하는 신념을 가지고 있습니다.
고객님께서 보시는 ((  현대 싼타페DM 2.0 모던 디젤 오토 모델  )) 차량의 대해서 설명 해드리겠습니다.
■■■■■  차량 프로필  ■■■■■
○ 차명      》》》      현대 싼타페DM 2.0 모던 디젤 오토 모델   입니다
○ 색상      》》》      은 색
○ 연식      》》》      2015 년 04 월식  (( 비흡연 차량 입니다 ))
○ 변속기  》》》       오  토
○ 주행거리 》》》     140,796km 
○ 사고유무 》》》    유  ( 성능지 참조 부탁드립니다)
《《차량 특징 및 설명》》 현대 싼타페DM 2.0 모던 디젤 오토 모델 관리 잘 해주신 차량 입니다~~!!
                                     엔진 밋션 외 전체 적인 컨디션 아주 양호 합니다 타이어 70% 이상 남아있으며
                                     실내또한 아주 깨끗하게 관리를 잘 해주신 차량 입니다
                                     실차 확인및 시운전 자신있게 강력 추천 드립니다~~!!
더 궁금하신점은 전화로 문의 해주시면~~감사하겠습니다~~^^
●●●  고객님께 드리는약속  ●●●
한번의 인연을 평생 소중히 여기는 카 매니저가 되겠습니다!!!
믿고 찾아 주시면 성심껏 안내해 드리겠습니다!!!
그럼 오늘하루도 즐겁고 행복한 하루 보내세요~~~~~~~^^</t>
  </si>
  <si>
    <t>2026-01-23T15:56:06</t>
  </si>
  <si>
    <t>2026-01-23T12:13:18</t>
  </si>
  <si>
    <t>["1042", "1040", "1043"]</t>
  </si>
  <si>
    <t>["001", "003", "004", "005", "006", "007", "008", "014", "015", "017", "019", "020", "021", "022", "023", "024", "026", "027", "030", "031", "032", "033", "055", "056", "057", "058", "063", "068", "071", "072", "074", "082", "096", "097"]</t>
  </si>
  <si>
    <t>5439</t>
  </si>
  <si>
    <t>[{"code": "090", "name": "엔카진단센터 천안 오토메카", "major": true, "telephoneNumber": "041-574-3633", "address": "충남 천안시 서북구 번영로 533 천안 오토메카 B207 ENCAR"}]</t>
  </si>
  <si>
    <t>조이모터스</t>
  </si>
  <si>
    <t>방성희</t>
  </si>
  <si>
    <t>[{"code": "019", "path": "/carpicture09/pic4139/41398674_019.jpg", "type": "OPTION", "updateDateTime": "2026-01-23T16:08:49", "desc": "순정네비게션.스마트 키 핸들열선 .하이패스 비흡연차량 깨끗한실내~~!!"}, {"code": "025", "path": "/carpicture09/pic4139/41398674_001.jpg", "type": "THUMBNAIL", "updateDateTime": "2026-01-23T16:08:49", "desc": null}, {"code": "001", "path": "/carpicture09/pic4139/41398674_001.jpg", "type": "OUTER", "updateDateTime": "2026-01-23T16:08:49", "desc": "순정네비게션.스마트 키 핸들열선 .하이패스 비흡연차량 깨끗한실내~~!!"}, {"code": "007", "path": "/carpicture09/pic4139/41398674_007.jpg", "type": "INNER", "updateDateTime": "2026-01-23T16:08:49", "desc": "순정네비게션.스마트 키 핸들열선 .하이패스 비흡연차량 깨끗한실내~~!!"}, {"code": "022", "path": "/carpicture09/pic4139/41398674_022.jpg", "type": "OPTION", "updateDateTime": "2026-01-23T16:08:49", "desc": "순정네비게션.스마트 키 핸들열선 .하이패스 비흡연차량 깨끗한실내~~!!"}, {"code": "014", "path": "/carpicture09/pic4139/41398674_007.jpg", "type": "THUMBNAIL", "updateDateTime": "2026-01-23T16:08:49", "desc": null}, {"code": "023", "path": "/carpicture09/pic4139/41398674_023.jpg", "type": "OPTION", "updateDateTime": "2026-01-23T16:08:49", "desc": "순정네비게션.스마트 키 핸들열선 .하이패스 비흡연차량 깨끗한실내~~!!"}, {"code": "006", "path": "/carpicture09/pic4139/41398674_006.jpg", "type": "INNER", "updateDateTime": "2026-01-23T16:08:49", "desc": "순정네비게션.스마트 키 핸들열선 .하이패스 비흡연차량 깨끗한실내~~!!"}, {"code": "017", "path": "/carpicture09/pic4139/41398674_017.jpg", "type": "OPTION", "updateDateTime": "2026-01-23T16:08:49", "desc": "순정네비게션.스마트 키 핸들열선 .하이패스 비흡연차량 깨끗한실내~~!!"}, {"code": "021", "path": "/carpicture09/pic4139/41398674_021.jpg", "type": "OPTION", "updateDateTime": "2026-01-23T16:08:49", "desc": "순정네비게션.스마트 키 핸들열선 .하이패스 비흡연차량 깨끗한실내~~!!"}, {"code": "004", "path": "/carpicture09/pic4139/41398674_004.jpg", "type": "OUTER", "updateDateTime": "2026-01-23T16:08:49", "desc": "순정네비게션.스마트 키 핸들열선 .하이패스 비흡연차량 깨끗한실내~~!!"}, {"code": "018", "path": "/carpicture09/pic4139/41398674_018.jpg", "type": "OPTION", "updateDateTime": "2026-01-23T16:08:49", "desc": "순정네비게션.스마트 키 핸들열선 .하이패스 비흡연차량 깨끗한실내~~!!"}, {"code": "009", "path": "/carpicture09/pic4139/41398674_009.jpg", "type": "INNER", "updateDateTime": "2026-01-23T16:08:49", "desc": "순정네비게션.스마트 키 핸들열선 .하이패스 비흡연차량 깨끗한실내~~!!"}, {"code": "005", "path": "/carpicture09/pic4139/41398674_005.jpg", "type": "OUTER", "updateDateTime": "2026-01-23T16:08:49", "desc": "순정네비게션.스마트 키 핸들열선 .하이패스 비흡연차량 깨끗한실내~~!!"}, {"code": "012", "path": "/carpicture09/pic4139/41398674_001.jpg", "type": "THUMBNAIL", "updateDateTime": "2026-01-23T16:08:49", "desc": null}, {"code": "015", "path": "/carpicture09/pic4139/41398674_015.jpg", "type": "OPTION", "updateDateTime": "2026-01-23T16:08:49", "desc": "순정네비게션.스마트 키 핸들열선 .하이패스 비흡연차량 깨끗한실내~~!!"}, {"code": "008", "path": "/carpicture09/pic4139/41398674_008.jpg", "type": "INNER", "updateDateTime": "2026-01-23T16:08:49", "desc": "순정네비게션.스마트 키 핸들열선 .하이패스 비흡연차량 깨끗한실내~~!!"}, {"code": "026", "path": "/carpicture09/pic4139/41398674_001.jpg", "type": "THUMBNAIL", "updateDateTime": "2026-01-23T16:08:49", "desc": null}, {"code": "024", "path": "/carpicture09/pic4139/41398674_024.jpg", "type": "OPTION", "updateDateTime": "2026-01-23T16:08:49", "desc": "순정네비게션.스마트 키 핸들열선 .하이패스 비흡연차량 깨끗한실내~~!!"}, {"code": "002", "path": "/carpicture09/pic4139/41398674_002.jpg", "type": "OUTER", "updateDateTime": "2026-01-23T16:08:49", "desc": "순정네비게션.스마트 키 핸들열선 .하이패스 비흡연차량 깨끗한실내~~!!"}, {"code": "003", "path": "/carpicture09/pic4139/41398674_003.jpg", "type": "OUTER", "updateDateTime": "2026-01-23T16:08:49", "desc": "순정네비게션.스마트 키 핸들열선 .하이패스 비흡연차량 깨끗한실내~~!!"}, {"code": "010", "path": "/carpicture09/pic4139/41398674_010.jpg", "type": "INNER", "updateDateTime": "2026-01-23T16:08:49", "desc": "순정네비게션.스마트 키 핸들열선 .하이패스 비흡연차량 깨끗한실내~~!!"}, {"code": "011", "path": "/carpicture09/pic4139/41398674_001.jpg", "type": "THUMBNAIL", "updateDateTime": "2026-01-23T16:08:49", "desc": null}, {"code": "013", "path": "/carpicture09/pic4139/41398674_001.jpg", "type": "THUMBNAIL", "updateDateTime": "2026-01-23T16:08:49", "desc": null}, {"code": "020", "path": "/carpicture09/pic4139/41398674_020.jpg", "type": "OPTION", "updateDateTime": "2026-01-23T16:08:49", "desc": "순정네비게션.스마트 키 핸들열선 .하이패스 비흡연차량 깨끗한실내~~!!"}, {"code": "016", "path": "/carpicture09/pic4139/41398674_016.jpg", "type": "OPTION", "updateDateTime": "2026-01-23T16:08:49", "desc": "순정네비게션.스마트 키 핸들열선 .하이패스 비흡연차량 깨끗한실내~~!!"}]</t>
  </si>
  <si>
    <t>11서0515</t>
  </si>
  <si>
    <t>KMHSU81UBFU492918</t>
  </si>
  <si>
    <t>Gasoline 2.0T 2WD</t>
  </si>
  <si>
    <t>150</t>
  </si>
  <si>
    <t>202006</t>
  </si>
  <si>
    <t>대구 동구</t>
  </si>
  <si>
    <t>05062068589</t>
  </si>
  <si>
    <t># 중고차 기업 리본카 # 8일800km 환불제!
# 주행거리 무제한 180일 보증수리(유료)
# 침수차/주행거리/허위매물 걱정 No !!
# 리본카만의 저금리 할부 가능(금융사비교)
-- 차량 추천 포인트 --
★ 연식대비 짧은 주행거리 운행차량 !
★ 멀티미디어 네비 플러스2 추가옵션 적용
★ 실차를 보셔도 충분히 만족할만한 차량
★ 2열시트 폴딩가능하며 넉넉한 공간 활용가능한 차량
★ 실내외관 컨디션 전체적으로 양호한 차량
★ 차선이탈, 후측방, 스마트크루즈 등 반자율주행옵션 적용
★ 단순교환 없는 무사고 차량
★ 신차가 대비 합리적인 금액대 구매가능한 차량
★ 가솔린 모델로 보다 정숙한 운행 가능한 차량
★ 즉시 출고가능한 차량입니다.
-------------------------------------------
▶ 최초등록 : 20년 06월 등록
▶ 싼타페 TM 가솔린 2.0 T 2WD 익스클루시브
-------------------------------------------
1. 허위매물 Zero, 침수차 Zero,
2, 출고 시 정비전문가의 출고 점검
   (엔진오일 세트 교환, 피톤치드 살균소독, 워셔액/부동액 보충)
3, 연장보증  
   차량 구매일부터 180일 동안 주행거리 무제한( 지구 한바퀴도 OK) 
4. 고객님이 타시던 차를 리본카에 매각하시면
　 구입 하시는 차량을 30만원 할인!
━━━━━━━━━━━━━━
▶오시는길
- 대구시 동구 안심로 59길 22 신서랜드, 1층
- 지하철 1호선 반야월역  4번출구 도보 10분</t>
  </si>
  <si>
    <t>2025-12-09T16:56:24</t>
  </si>
  <si>
    <t>2026-01-20T10:56:03</t>
  </si>
  <si>
    <t>2025-12-09T10:24:28</t>
  </si>
  <si>
    <t>["10001"]</t>
  </si>
  <si>
    <t>["001", "004", "005", "006", "007", "008", "014", "015", "017", "019", "020", "021", "022", "023", "024", "026", "027", "030", "031", "032", "033", "034", "055", "056", "057", "058", "059", "062", "063", "072", "074", "077", "079", "082", "085", "088", "094", "096", "097"]</t>
  </si>
  <si>
    <t>5199</t>
  </si>
  <si>
    <t>[{"code": "147", "name": "엔카진단센터 대구 동구점", "major": true, "telephoneNumber": "053-965-8746", "address": "대구 동구 반야월로 257"}, {"code": "193", "name": "엔카진단센터 대구 동촌점", "major": false, "telephoneNumber": "053-983-5455", "address": "대구 동구 방촌로 64 1층"}]</t>
  </si>
  <si>
    <t>오토플러스(주)</t>
  </si>
  <si>
    <t>김병훈</t>
  </si>
  <si>
    <t>[{"code": "004", "path": "/carpicture03/pic4113/41130226_004.jpg", "type": "OUTER", "updateDateTime": "2025-12-09T15:39:59", "desc": null}, {"code": "008", "path": "/carpicture03/pic4113/41130226_008.jpg", "type": "INNER", "updateDateTime": "2025-12-09T15:39:59", "desc": null}, {"code": "021", "path": "/carpicture03/pic4113/41130226_021.jpg", "type": "OPTION", "updateDateTime": "2025-12-09T15:39:59", "desc": null}, {"code": "010", "path": "/carpicture03/pic4113/41130226_010.jpg", "type": "INNER", "updateDateTime": "2025-12-09T15:39:59", "desc": null}, {"code": "015", "path": "/carpicture03/pic4113/41130226_015.jpg", "type": "OPTION", "updateDateTime": "2025-12-09T15:39:59", "desc": null}, {"code": "003", "path": "/carpicture03/pic4113/41130226_003.jpg", "type": "OUTER", "updateDateTime": "2025-12-09T15:39:59", "desc": null}, {"code": "007", "path": "/carpicture03/pic4113/41130226_007.jpg", "type": "INNER", "updateDateTime": "2025-12-09T15:39:59", "desc": null}, {"code": "020", "path": "/carpicture03/pic4113/41130226_020.jpg", "type": "OPTION", "updateDateTime": "2025-12-09T15:39:59", "desc": null}, {"code": "006", "path": "/carpicture03/pic4113/41130226_006.jpg", "type": "INNER", "updateDateTime": "2025-12-09T15:39:59", "desc": null}, {"code": "001", "path": "/carpicture03/pic4113/41130226_001.jpg", "type": "OUTER", "updateDateTime": "2025-12-09T15:39:59", "desc": null}, {"code": "002", "path": "/carpicture03/pic4113/41130226_002.jpg", "type": "OUTER", "updateDateTime": "2025-12-09T15:39:59", "desc": null}, {"code": "005", "path": "/carpicture03/pic4113/41130226_005.jpg", "type": "OUTER", "updateDateTime": "2025-12-09T15:39:59", "desc": null}, {"code": "019", "path": "/carpicture03/pic4113/41130226_019.jpg", "type": "OPTION", "updateDateTime": "2025-12-09T15:39:59", "desc": null}, {"code": "023", "path": "/carpicture03/pic4113/41130226_023.jpg", "type": "OPTION", "updateDateTime": "2025-12-09T15:39:59", "desc": null}, {"code": "024", "path": "/carpicture03/pic4113/41130226_024.jpg", "type": "OPTION", "updateDateTime": "2025-12-09T15:39:59", "desc": null}, {"code": "009", "path": "/carpicture03/pic4113/41130226_009.jpg", "type": "INNER", "updateDateTime": "2025-12-09T15:39:59", "desc": null}, {"code": "017", "path": "/carpicture03/pic4113/41130226_017.jpg", "type": "OPTION", "updateDateTime": "2025-12-09T15:39:59", "desc": null}, {"code": "016", "path": "/carpicture03/pic4113/41130226_016.jpg", "type": "OPTION", "updateDateTime": "2025-12-09T15:39:59", "desc": null}, {"code": "018", "path": "/carpicture03/pic4113/41130226_018.jpg", "type": "OPTION", "updateDateTime": "2025-12-09T15:39:59", "desc": null}, {"code": "022", "path": "/carpicture03/pic4113/41130226_022.jpg", "type": "OPTION", "updateDateTime": "2025-12-09T15:39:59", "desc": null}]</t>
  </si>
  <si>
    <t>243구5409</t>
  </si>
  <si>
    <t>KMHS281ABLU298577</t>
  </si>
  <si>
    <t>125</t>
  </si>
  <si>
    <t>201409</t>
  </si>
  <si>
    <t>대구 서구 문화로 37</t>
  </si>
  <si>
    <t>05062189981</t>
  </si>
  <si>
    <t>▶차량의 히스토리 확인은 필수입니다, 꼭 한번 읽어주세요.
히스토리를 확인하면 단순히 연식이나 주행거리뿐 아니라,
정비 내역, 사고 여부, 소유주 이력 등 차량의 전체적인 상태와 신뢰도를 파악할 수 있습니다.
저희 그차는 내차에서는 히스토리가 명확한 차량만을 
소개드리며, 고객님께 투명하고 안심할 수 있는 거래를 약속드립니다.
┏━━━━━━━인 사 말━━━━━━━┓
안녕하십니까.
1:1 맞춤형 컨설팅 전문 그차는내차 박효진 대표입니다.
많은 광고에서 ‘정직, 신뢰 ’를 강조하는 문구를 보셨을 겁니다.
하지만 저는 그 말로 저를 설명하고 싶지 않습니다.
정직·신뢰는 딜러라면 누구나 기본으로 갖추어야 할 마음가짐이라고 생각합니다.
저는 그보다 더 나아가, 고객님이 합리적인 소비를 통해
큰 만족을 얻으실 수 있는 차량을 소개해드리는 것을 최우선 가치로 삼고 있습니다.
차량 한 대를 소개할 때에도
“이 차라면 고객님께 만족을 드릴 수 있다”는 확신이
있을 때만 전시장에 세웁니다. 직접 확인해 보신다면
그 차이를 분명히 느끼실 수 있을 것입니다.
혹시 제가 소개하는 차량이 조금이라도 마음에 드신다면, 부담 갖지 마시고 편안하게 연락 주시기 바랍니다.
┏━━━━━━━차량소개━━━━━━━┓
 ▶차량설명
 → 차   종 :  현대 그랜저 HG 하이브리드 프리미엄 
 → 연   식 : 14년 09월식(15년형)
 → 색   상 : 검정색
 → 주 행 거 리 : 약 191,3302KM
 → 사 고 유 무 : 무사고,용도변경 이력없음
┏━━━━━━━히스토리━━━━━━━┓
 ●제가 판매하고 있는 차량에 대해서 사고이력과 차량에 대한 히스토리를 정확히 고지합니다.●
 ▶현대 그랜저 HG 하이브리드 프리미엄
지금 보시는 차량은 단순한 중고차가 아닌,
소유주가 아끼고 관리해온 특별한 한 대입니다.
그랜저 HG 하이브리드 프리미엄은 하이브리드 특유의 
정숙함과 준수한 연비, 그리고 넉넉한 공간감을 
모두 갖춘 가성비 최강 준대형 세단입니다. 
엔진과 하이브리드 시스템 모두 매끄럽게 작동하며, 
주행 시 전환감이 부드럽고 정숙성이 뛰어나 
도심과 장거리 모두 편안한 승차감을 제공합니다.
실내는 고급 가죽시트와 함께 통풍·열선, 운전자세 메모리시스템,
 8인치 내비게이션, ACTUNE 프리미엄 사운드(12스피커) 등
 실제 체감되는 옵션들이 잘 갖춰져 있어 만족도가 높습니다.
 외관 역시 블랙 컬러로 관리 상태가 양호하며,
 전체적으로 깨끗한 인상을 유지하고 있습니다.
고급스러움, 실용성, 경제성까지 모두 담고 있어
합리적인 가격에 준대형 세단을
 경험하고 싶은 분들께 강력히 추천드릴 만한 차량입니다.
(세부 옵션 사항은 옵션표를 참고해주시기 바랍니다)
직접 매입 후 꼼꼼히 점검하고,
실내 크리닝과 광택까지 마친 지금의 컨디션은
새 차를 만나는 듯한 만족감을 드릴 것입니다.
경매장이나 떠도는 차량이 아닌,
히스토리가 확실하고 믿을 수 있는 차량만 보여드립니다.
첫 시동을 거는 순간,
“이 차구나.” 하는 확신이 드실 겁니다.
허위매물 없는 100% 실매물만을 약속드리며,
만나보신다면 기분 좋은 선택이 될 것입니다.
차량 구매는 할부와 카드 결제 모두 가능하며,
고객님이 타시던 차량 또한 최대한 합리적이고
만족스러운 가격으로 매입해드립니다.
가격 절충 가능하니 언제든 편하게 연락 주십시오.
만족스러운 거래로 보답드리겠습니다.
 ●차종 관계없이 대차 가능합니다.●
┏━━━━♥판매자의 한마디♥━━━━━━┓
오랜 기간 중고차 업계에 종사하며
수많은 고객분들과 다양한 차량을 만나왔습니다.
그 과정 속에서 저는 언제나 즐거운 마음으로 일하며,
고객 한 분 한 분께 도움이 될 수 있도록 최선을 다하고 있습니다.
저 역시 딜러이기 이전에 한 명의 소비자로서
늘 고객님의 입장에서 생각합니다.
따라서 단순한 거래가 아니라,
기분 좋은 경험이 되는 거래를 만들어 드리겠습니다.
대한민국에서 가장 편안하고 신뢰할 수 있는 딜러가 되기 위해
앞으로도 변함없이 최선을 다하겠습니다.
감사합니다.
┏━━━━━━찾아오시는길━━━━━━┓
   대구광역시 서구 이현동 42-30 엠월드 사무실 107호 전시장 104호
  (동대구역에서 20분 거리,서대구 고속터미널에서 15분거리)
 →버스 이용시
204번, 240번, 520번, 급행8 : 이현자동차 검사소 앞 하차
204번, 240번, 520번, 급행8 : 이현자동차 검사소 건너 하차
 →대경선(대구광역철도) 이용시 (도보로 1.2km)
서대구역 하차 →439m 지점 서대구역네거리 방향으로 직진 →491m 지점 자동차 검사소 입구 교차로에서 우회전 →
270m 지점 엠월드 건물 진입</t>
  </si>
  <si>
    <t>2026-01-19T09:56:16</t>
  </si>
  <si>
    <t>2026-01-26T11:56:05</t>
  </si>
  <si>
    <t>2025-11-18T14:03:55</t>
  </si>
  <si>
    <t>["1004", "1008"]</t>
  </si>
  <si>
    <t>["001", "003", "004", "005", "006", "007", "008", "014", "015", "017", "019", "020", "021", "022", "023", "024", "026", "027", "030", "031", "032", "033", "034", "035", "051", "055", "056", "057", "058", "063", "068", "071", "072", "074", "077", "082", "085", "094", "096", "097"]</t>
  </si>
  <si>
    <t>4742</t>
  </si>
  <si>
    <t>[{"code": "137", "name": "엔카진단센터 대구 엠월드", "major": true, "telephoneNumber": "053-562-5455", "address": "대구 서구 문화로 37 엠월드 4층 407호(사진실 2층 204호)"}]</t>
  </si>
  <si>
    <t>그차는내차</t>
  </si>
  <si>
    <t>박효진</t>
  </si>
  <si>
    <t>[{"code": "012", "path": "/carpicture08/pic4098/40988766_001.jpg", "type": "THUMBNAIL", "updateDateTime": "2025-11-20T10:44:32", "desc": null}, {"code": "022", "path": "/carpicture08/pic4098/40988766_022.jpg", "type": "OPTION", "updateDateTime": "2025-11-20T10:44:32", "desc": "★ 가성비 뛰어난 프리미엄 하이브리드★ 넉넉한 준대형 세단 공간감"}, {"code": "024", "path": "/carpicture08/pic4098/40988766_024.jpg", "type": "OPTION", "updateDateTime": "2025-11-20T10:44:32", "desc": "★ 가성비 뛰어난 프리미엄 하이브리드★ 넉넉한 준대형 세단 공간감"}, {"code": "013", "path": "/carpicture08/pic4098/40988766_001.jpg", "type": "THUMBNAIL", "updateDateTime": "2025-11-20T10:44:32", "desc": null}, {"code": "020", "path": "/carpicture08/pic4098/40988766_020.jpg", "type": "OPTION", "updateDateTime": "2025-11-20T10:44:32", "desc": "★ 가성비 뛰어난 프리미엄 하이브리드★ 넉넉한 준대형 세단 공간감"}, {"code": "003", "path": "/carpicture08/pic4098/40988766_003.jpg", "type": "OUTER", "updateDateTime": "2025-11-20T10:44:32", "desc": "★ 가성비 뛰어난 프리미엄 하이브리드★ 엔진·하이브리드 시스템 정상작동"}, {"code": "019", "path": "/carpicture08/pic4098/40988766_019.jpg", "type": "OPTION", "updateDateTime": "2025-11-20T10:44:32", "desc": "★ 가성비 뛰어난 프리미엄 하이브리드★ 넉넉한 준대형 세단 공간감"}, {"code": "017", "path": "/carpicture08/pic4098/40988766_017.jpg", "type": "OPTION", "updateDateTime": "2025-11-20T10:44:32", "desc": "★ 가성비 뛰어난 프리미엄 하이브리드★ 넉넉한 준대형 세단 공간감"}, {"code": "009", "path": "/carpicture08/pic4098/40988766_009.jpg", "type": "INNER", "updateDateTime": "2025-11-20T10:44:32", "desc": "★ 장거리·도심 모두 편안한 승차감★ 유지비 경제적인 하이브리드 모델"}, {"code": "018", "path": "/carpicture08/pic4098/40988766_018.jpg", "type": "OPTION", "updateDateTime": "2025-11-20T10:44:32", "desc": "★ 가성비 뛰어난 프리미엄 하이브리드★ 넉넉한 준대형 세단 공간감"}, {"code": "002", "path": "/carpicture08/pic4098/40988766_002.jpg", "type": "OUTER", "updateDateTime": "2025-11-20T10:44:32", "desc": "★ 가성비 뛰어난 프리미엄 하이브리드★ 엔진·하이브리드 시스템 정상작동"}, {"code": "010", "path": "/carpicture08/pic4098/40988766_010.jpg", "type": "INNER", "updateDateTime": "2025-11-20T10:44:32", "desc": "★ 장거리·도심 모두 편안한 승차감★ 유지비 경제적인 하이브리드 모델"}, {"code": "004", "path": "/carpicture08/pic4098/40988766_004.jpg", "type": "OUTER", "updateDateTime": "2025-11-20T10:44:32", "desc": "★ 가성비 뛰어난 프리미엄 하이브리드★ 엔진·하이브리드 시스템 정상작동"}, {"code": "011", "path": "/carpicture08/pic4098/40988766_001.jpg", "type": "THUMBNAIL", "updateDateTime": "2025-11-20T10:44:32", "desc": null}, {"code": "008", "path": "/carpicture08/pic4098/40988766_008.jpg", "type": "INNER", "updateDateTime": "2025-11-20T10:44:32", "desc": "★ 장거리·도심 모두 편안한 승차감★ 유지비 경제적인 하이브리드 모델"}, {"code": "023", "path": "/carpicture08/pic4098/40988766_023.jpg", "type": "OPTION", "updateDateTime": "2025-11-20T10:44:32", "desc": "★ 가성비 뛰어난 프리미엄 하이브리드★ 넉넉한 준대형 세단 공간감"}, {"code": "015", "path": "/carpicture08/pic4098/40988766_015.jpg", "type": "OPTION", "updateDateTime": "2025-11-20T10:44:32", "desc": "★ 가성비 뛰어난 프리미엄 하이브리드★ 넉넉한 준대형 세단 공간감"}, {"code": "025", "path": "/carpicture08/pic4098/40988766_001.jpg", "type": "THUMBNAIL", "updateDateTime": "2025-11-20T10:44:32", "desc": null}, {"code": "026", "path": "/carpicture08/pic4098/40988766_001.jpg", "type": "THUMBNAIL", "updateDateTime": "2025-11-20T10:44:32", "desc": null}, {"code": "006", "path": "/carpicture08/pic4098/40988766_006.jpg", "type": "INNER", "updateDateTime": "2025-11-20T10:44:32", "desc": "★ 장거리·도심 모두 편안한 승차감★ 유지비 경제적인 하이브리드 모델"}, {"code": "001", "path": "/carpicture08/pic4098/40988766_001.jpg", "type": "OUTER", "updateDateTime": "2025-11-20T10:44:32", "desc": "★ 가성비 뛰어난 프리미엄 하이브리드★ 엔진·하이브리드 시스템 정상작동"}, {"code": "005", "path": "/carpicture08/pic4098/40988766_005.jpg", "type": "OUTER", "updateDateTime": "2025-11-20T10:44:32", "desc": "★ 장거리·도심 모두 편안한 승차감★ 유지비 경제적인 하이브리드 모델"}, {"code": "007", "path": "/carpicture08/pic4098/40988766_007.jpg", "type": "INNER", "updateDateTime": "2025-11-20T10:44:32", "desc": "★ 장거리·도심 모두 편안한 승차감★ 유지비 경제적인 하이브리드 모델"}, {"code": "014", "path": "/carpicture08/pic4098/40988766_007.jpg", "type": "THUMBNAIL", "updateDateTime": "2025-11-20T10:44:32", "desc": null}, {"code": "016", "path": "/carpicture08/pic4098/40988766_016.jpg", "type": "OPTION", "updateDateTime": "2025-11-20T10:44:32", "desc": "★ 가성비 뛰어난 프리미엄 하이브리드★ 넉넉한 준대형 세단 공간감"}, {"code": "021", "path": "/carpicture08/pic4098/40988766_021.jpg", "type": "OPTION", "updateDateTime": "2025-11-20T10:44:32", "desc": "★ 가성비 뛰어난 프리미엄 하이브리드★ 넉넉한 준대형 세단 공간감"}]</t>
  </si>
  <si>
    <t>27가3348</t>
  </si>
  <si>
    <t>KMHFG413BFA009859</t>
  </si>
  <si>
    <t>[9, 10, 14]</t>
  </si>
  <si>
    <t>*완전무사고*선루프*어러운드뷰*HUD*풍부한옵션*엔카진단보증*</t>
  </si>
  <si>
    <t>3.0 LPi Exclusive (Rental Car)</t>
  </si>
  <si>
    <t>201702</t>
  </si>
  <si>
    <t>서울 양천구</t>
  </si>
  <si>
    <t>05062331729</t>
  </si>
  <si>
    <t>안녕하세요. 미소모터스 강현진 대표 입니다. 
차량에 관심을 가져주셔서 대단히 감사합니다. 
현재 고객님께서 보시고있는 차량은 100% 실매물임을 이름을 걸고 약속드립니다. 
▶차량설명 
-사교유무:완전무사고
-차    종 :	[현대]그랜저 IG 3.0 LPI 익스클루시브(렌터카) (5인승)
-연    식 : 2017년식
-최초등록 : 2017년 02월03일
-색    상 : 쥐색 입니다. 
-주행거리 : 184,926km 입니다 
-내 / 외관 : 실내와 실외가 깨끗합니다. 광택완료하였습니다
-관리상태 : 신차장기 리스렌트 운영하던차량으로 관리상태가 최상입니다(순회정비관리가되어 소모품및엔진밋션관리가잘되어있습니다)
신차출고후 꾸준하게 운영관리하시던 1인신조 차량으로 고속도로위주 장거리 주행으로 엔진밋션 관리상태가 정말 좋습니다.
★완전무사고★파노라마썬루프★어라운드뷰★HUD★풍부한옵션★실내외깔끔★엔진밋션최상★엔카진단보증★
· 파노라마썬루프 1,030,000원
· 어라운드뷰+HUD 1,690,000원
고객님 안녕하세요!
짧지 않은 시간 동안 중고차 매매업을 하며 고객님들을 만나다보면 많은 분들이 중고차
거래에 막연한 두려움과 어려움겪고 계시다는 것을 느끼게 됩니다. 중고차 거래와 관련
해 허위 매물, 신뢰성 문제 등 들려오는 소식들을 접하다보니 당연한 일이겠지요. 저도
한 명의 운전자이자 차주로서 고객님들의 이런 마음을 깊이 공감하고 있습니다. 안전과
직결된 자산을 구매하는 과정이니만큼 걱정도 많고 고민도 많이 되는 게 당연한 일이니
까요.
그러나 저와 거래한 고객님들만이라도 중고차 매매에 대해 떠올리실 때 눈쌀 찌푸려지
는 경험이 아니라, 상호 존중을 통해 합리적인 좋은 거래를 했다는 기억을 남
길 수 있도록 최선을 다하고 싶습니다!
그런 긍정적인 기억을 남기기 위해 제가 가장 중요하게 생각하는 것은 상호간의 신뢰라
고 생각합니다. 저는 항상 고객님이 구입하실 차와 관련된 정확한 사실을 투명하게 제공
하고 고지하는 것을 원칙으로 여기고 일을 해나가고 있습니다.
짧은 글로 제 마음을 모두 전할 수는 없겠지만, 고객님이 저의 진심을 믿어주신다면 진
정성 있는 방식으로 친절하고 정확하게 매매를 도와드리겠습니다. 언제든지 부담없이 전
화 부탁드립니다. 감사합니다
▶문의방법 
-연락주시면 성심성의껏 상세하게 설명을 드리도록 하겠습니다. 전화가 부재중일시 문자를 남겨주시면 확인후 전화드리겠습니다. 
-차량은 서울 양천구 화곡로6, 323호,322호 미소모터스(신월매매단지)에서  보실 수 있어요. 연중무휴입니다
-방문하시기 어려우신경우 실차량 사진 영상촬영 관련서류들모두 미리 보내드립니다. 차량은 전국어디서든 배송가능하십니다.
-동급차량 최저가 판매중입니다.
-최장60개월 전액할부 및 당일 출고 가능합니다.
-현재 타고 계신 차량과 교환도 가능하며, 대출을 통한 차량구매도 가능합니다.
-타고계신차량 판매가 필요하시다면 받으신견적보다 무조건 단돈10만원이라도 더 맞춰드릴자신있습니다.
** 본 차량은 판매자가 직접 매입하여 판매 하는 차량으로써 믿고 구입하셔도 좋습니다. 현재 엔카 광고 중인 차량은 실 매물이므로 걱정없이 방문하셔도 좋습니다.***</t>
  </si>
  <si>
    <t>2026-01-22T14:56:30</t>
  </si>
  <si>
    <t>2026-01-23T19:56:04</t>
  </si>
  <si>
    <t>2026-01-21T19:26:31</t>
  </si>
  <si>
    <t>["· 파노라마썬루프 1", "030", "000원\n· SVM+HUD 1", "690", "000원"]</t>
  </si>
  <si>
    <t>["001", "004", "005", "006", "007", "008", "010", "014", "015", "017", "019", "020", "021", "022", "023", "024", "026", "027", "030", "031", "032", "033", "034", "035", "051", "055", "056", "057", "058", "063", "068", "071", "072", "074", "075", "077", "081", "082", "083", "085", "087", "092", "093", "094", "095", "096", "097"]</t>
  </si>
  <si>
    <t>6109</t>
  </si>
  <si>
    <t>[{"code": "206", "name": "엔카진단센터 신월(출장)점", "major": true, "telephoneNumber": "", "address": ""}, {"code": "151", "name": "엔카진단센터 강서가양점", "major": false, "telephoneNumber": "02-2659-5457", "address": "서울 강서구 강서로74길 58 가양오토갤러리 1층 진단센터/(컨설팅룸 203호)"}, {"code": "163", "name": "엔카진단센터 서서울점", "major": false, "telephoneNumber": "02-6331-6630", "address": "서울 강서구 양천로53길 30 서서울모터리움 101호"}]</t>
  </si>
  <si>
    <t>미소모터스</t>
  </si>
  <si>
    <t>강현진</t>
  </si>
  <si>
    <t>[{"code": "008", "path": "/carpicture08/pic4138/41388391_008.jpg", "type": "INNER", "updateDateTime": "2026-01-22T14:56:16", "desc": null}, {"code": "015", "path": "/carpicture08/pic4138/41388391_015.jpg", "type": "OPTION", "updateDateTime": "2026-01-22T14:56:16", "desc": null}, {"code": "021", "path": "/carpicture08/pic4138/41388391_021.jpg", "type": "OPTION", "updateDateTime": "2026-01-22T14:56:16", "desc": null}, {"code": "001", "path": "/carpicture08/pic4138/41388391_001.jpg", "type": "OUTER", "updateDateTime": "2026-01-22T14:56:16", "desc": null}, {"code": "007", "path": "/carpicture08/pic4138/41388391_007.jpg", "type": "INNER", "updateDateTime": "2026-01-22T14:56:16", "desc": null}, {"code": "017", "path": "/carpicture08/pic4138/41388391_017.jpg", "type": "OPTION", "updateDateTime": "2026-01-22T14:56:16", "desc": null}, {"code": "018", "path": "/carpicture08/pic4138/41388391_018.jpg", "type": "OPTION", "updateDateTime": "2026-01-22T14:56:16", "desc": null}, {"code": "010", "path": "/carpicture08/pic4138/41388391_010.jpg", "type": "INNER", "updateDateTime": "2026-01-22T14:56:16", "desc": null}, {"code": "002", "path": "/carpicture08/pic4138/41388391_002.jpg", "type": "OUTER", "updateDateTime": "2026-01-22T14:56:16", "desc": null}, {"code": "009", "path": "/carpicture08/pic4138/41388391_009.jpg", "type": "INNER", "updateDateTime": "2026-01-22T14:56:16", "desc": null}, {"code": "006", "path": "/carpicture08/pic4138/41388391_006.jpg", "type": "INNER", "updateDateTime": "2026-01-22T14:56:16", "desc": null}, {"code": "022", "path": "/carpicture08/pic4138/41388391_022.jpg", "type": "OPTION", "updateDateTime": "2026-01-22T14:56:16", "desc": null}, {"code": "023", "path": "/carpicture08/pic4138/41388391_023.jpg", "type": "OPTION", "updateDateTime": "2026-01-22T14:56:16", "desc": null}, {"code": "024", "path": "/carpicture08/pic4138/41388391_024.jpg", "type": "OPTION", "updateDateTime": "2026-01-22T14:56:16", "desc": null}, {"code": "003", "path": "/carpicture08/pic4138/41388391_003.jpg", "type": "OUTER", "updateDateTime": "2026-01-22T14:56:16", "desc": null}, {"code": "005", "path": "/carpicture08/pic4138/41388391_005.jpg", "type": "OUTER", "updateDateTime": "2026-01-22T14:56:16", "desc": null}, {"code": "016", "path": "/carpicture08/pic4138/41388391_016.jpg", "type": "OPTION", "updateDateTime": "2026-01-22T14:56:16", "desc": null}, {"code": "019", "path": "/carpicture08/pic4138/41388391_019.jpg", "type": "OPTION", "updateDateTime": "2026-01-22T14:56:16", "desc": null}, {"code": "020", "path": "/carpicture08/pic4138/41388391_020.jpg", "type": "OPTION", "updateDateTime": "2026-01-22T14:56:16", "desc": null}, {"code": "004", "path": "/carpicture08/pic4138/41388391_004.jpg", "type": "OUTER", "updateDateTime": "2026-01-22T14:56:16", "desc": null}]</t>
  </si>
  <si>
    <t>105마5870</t>
  </si>
  <si>
    <t>KMHF641NBHA030476</t>
  </si>
  <si>
    <t>007</t>
  </si>
  <si>
    <t>Van</t>
  </si>
  <si>
    <t>174</t>
  </si>
  <si>
    <t>062</t>
  </si>
  <si>
    <t>Casper</t>
  </si>
  <si>
    <t>202203</t>
  </si>
  <si>
    <t>인천 서구</t>
  </si>
  <si>
    <t>05062284117</t>
  </si>
  <si>
    <t>▶주요골격사고차 및 전손,침수차는 일절 매입/판매 하지 않습니다◀
▶제가 가지고 있는 모든 차량은 엔카진단 차량으로 믿고 구매하셔도 됩니다◀
▶본차량 실차주인 제가 직접 판매하는 차량으로 안전한 차량입니다◀
----------▶▶▶차량 Key Point◀◀◀----------
◈ 무사고, 엔진/미션 특A급으로 최상의 관리
◈ 타이어 상태 아주 양호합니다
◈ 차량 입고 후 정비센터에서 올정비완료 차량
◈ 오일 누유 전혀없는 최상의 컨티션
◈ 저희 디에이치모터스는 최저이율을 자랑합니다
◈ 엔카진단 차량으로 믿고 구매하셔도 됩니다
◈ 비흡연 차량으로 실내 냄새 전혀 없습니다
----------▶▶▶차량상태 및 주행테스트 결과◀◀◀----------
◈ 엔진 소음 전혀없고 출력상태 아주 좋습니다
◈ 하부 링크 및 등속조인트 잡소리 조차 없습니다
◈ 스티리어링휠 유격없습니다
◈ 얼라이먼트 작업하여 주행시 핸들떨림 및 쏠림현상 없습니다
◈ 고속주행 저속주행 테스트결과 주행능력 최상급입니다
◈ 주행시 운전석 느낌도 아주 좋았으며 차량 떨림도 없습니다
----------▶▶▶차량 안내◀◀◀----------
◈ 차      종 :  현대 캐스퍼 가솔린 1.0 밴 스마트
◈ 연      식 : 2022년 03월 23일 (2023년형)
◈ 주행거리 : 9,459km
◈ 색      상 : 인기있는 녹색칼라 입니다
◈ 연        료 : 가솔린
◈ 성능보증 : 삼성화재
◈ 차량설명 : 무사고(완무)~1인신조,보험이력0원,베이직 플러스(가죽 스티어링 휠(열선포함), 하이패스, D&amp;N 룸미러),시트 패키지(인조가죽 시트, 1열 열선시트, 운전석 통풍시트, 1열 센터사이드 에어백, 운전석 시트 암레스트)
----------▶▶▶회사 소개◀◀◀----------
저희 디에이치모터스는 엔카와 제휴하고 있는 회사로써
인천 엠파크허브 엔카직영 센터에서 진단이 완료된 차량만 
판매하여 믿을 수 있는 회사입니다.
엔카진단 제휴 회사로 진단차량 등록을 하고 외판상태와
성능장과 연결하여 성능까지 완벽한 차량만을 소개합니다.
하여 성능 조작 및 허위성능은 없음을 알려드립니다.
저희 디에이치 모터스는 상품용 차량 상태에 대하여
자신있으며, 차량 문제시 성능보증 또한 완벽하게 처리
하고 있는 전국 최고의 회사입니다.
믿음과 신뢰를 바탕으로 최고의 서비스와 최고의 차량만을
제공 할 것을 약속드립니다.
----------▶▶▶팁하나드릴께요◀◀◀----------
-허위매물,사기꾼 파악하기-
① 인터넷 차량검색시 시세보다 저렴한차량 피하기
② 방문시 사원증에 상사와 딜러 이름이 명함과 동일한지 파악하기
③ 구매자가 원하는 차량을 안팔고 자꾸 다른차 또는 다른차종을 권유할때
④ 계약서를 사무실이 아닌 나 휴게실 등 다른장소에서 작성할 때
⑤ 차량계약서 작성시 이전비를 저렴하게 해주겠다며 다운계약서를 요구할 때
⑥ 차량 인도 후 차량계약서 차량인수증을 안주려고 할 때
⑦ 차량 이전 후 등록증,성능기록부,현금영수증,이전비영수증 등을 않보내 줄 때
----------▶▶▶딜러 김동호는?◀◀◀----------
안녕하세요 저 김동호대표는 15년차 중고차 딜러로써 5년 전 부터
허위매물 사기 피해 처리를 위해 열심히 달려왔습니다.
지금은 허위 매물이 많이 없어져서 예전만큼 많은 처리는 못하고
있지만 아직도 사기피해를 입으신 분들을 위해 열심히 달리고 있습니다.
한명의 자녀를 키우면서 때로는 욕심이 날때도 있지만, 초심을 잃지않고
좋은차 걱정없는 차를 소개하기 위해 최선을 다하고 있습니다.
저 김동호 대표를 믿고 방문해 주신다면 최선을 다해 좋은 차량으로
보답 드리겠습니다.       -감사합니다 디에이치모터스 대표 김동호-
◎◎◎◎◎ 구입 및 판매시 준비서류 ◎◎◎◎◎
◈ 현금시 준비서류 : 신분증 또는 운전면서증
◈ 할부시 준비서류 : 인감2통,등본2통,인감도장,통장사본,운전면서증
◈파실때 준비서류 : 매도용인감1통 , 차량등록증 , 신분증
----------▶▶▶찾아오시는길◀◀◀----------
자가운전시
-네비게이션 ▶인천광역시 서구 염곡로52 ( 가좌동,엠파크허브) 205호 디에치모터스
-대중교통이용시 버스는 인천터미널하차
                            지하철 1호선 동암역 / 주안역
                            지하철 인천1호선  가좌역하차</t>
  </si>
  <si>
    <t>2026-01-19T16:56:44</t>
  </si>
  <si>
    <t>2026-01-20T09:56:03</t>
  </si>
  <si>
    <t>2026-01-19T13:38:32</t>
  </si>
  <si>
    <t>["1003", "1004"]</t>
  </si>
  <si>
    <t>["001", "006", "007", "008", "014", "015", "019", "020", "022", "024", "026", "027", "031", "032", "033", "034", "055", "056", "068", "072", "074", "082", "088", "096", "097"]</t>
  </si>
  <si>
    <t>5897</t>
  </si>
  <si>
    <t>[{"code": "186", "name": "엔카진단센터 인천 엠파크허브", "major": true, "telephoneNumber": "032-581-0350", "address": "인천 서구 염곡로 52 엠파크허브 219호"}, {"code": "185", "name": "엔카진단센터 인천 엠파크타워", "major": false, "telephoneNumber": "032-584-9096", "address": "인천 서구 봉수대로 158 엠파크타워 J112호(스튜디오 : 지하1층 S066호, S067호)"}]</t>
  </si>
  <si>
    <t>디에이치모터스</t>
  </si>
  <si>
    <t>김동호</t>
  </si>
  <si>
    <t>[{"code": "016", "path": "/carpicture06/pic4136/41369527_016.jpg", "type": "OPTION", "updateDateTime": "2026-01-19T16:56:25", "desc": null}, {"code": "003", "path": "/carpicture06/pic4136/41369527_003.jpg", "type": "OUTER", "updateDateTime": "2026-01-19T16:56:25", "desc": null}, {"code": "019", "path": "/carpicture06/pic4136/41369527_019.jpg", "type": "OPTION", "updateDateTime": "2026-01-19T16:56:25", "desc": null}, {"code": "021", "path": "/carpicture06/pic4136/41369527_021.jpg", "type": "OPTION", "updateDateTime": "2026-01-19T16:56:25", "desc": null}, {"code": "023", "path": "/carpicture06/pic4136/41369527_023.jpg", "type": "OPTION", "updateDateTime": "2026-01-19T16:56:25", "desc": null}, {"code": "004", "path": "/carpicture06/pic4136/41369527_004.jpg", "type": "OUTER", "updateDateTime": "2026-01-19T16:56:25", "desc": null}, {"code": "002", "path": "/carpicture06/pic4136/41369527_002.jpg", "type": "OUTER", "updateDateTime": "2026-01-19T16:56:25", "desc": null}, {"code": "005", "path": "/carpicture06/pic4136/41369527_005.jpg", "type": "OUTER", "updateDateTime": "2026-01-19T16:56:25", "desc": null}, {"code": "010", "path": "/carpicture06/pic4136/41369527_010.jpg", "type": "INNER", "updateDateTime": "2026-01-19T16:56:25", "desc": null}, {"code": "020", "path": "/carpicture06/pic4136/41369527_020.jpg", "type": "OPTION", "updateDateTime": "2026-01-19T16:56:25", "desc": null}, {"code": "017", "path": "/carpicture06/pic4136/41369527_017.jpg", "type": "OPTION", "updateDateTime": "2026-01-19T16:56:25", "desc": null}, {"code": "009", "path": "/carpicture06/pic4136/41369527_009.jpg", "type": "INNER", "updateDateTime": "2026-01-19T16:56:25", "desc": null}, {"code": "018", "path": "/carpicture06/pic4136/41369527_018.jpg", "type": "OPTION", "updateDateTime": "2026-01-19T16:56:25", "desc": null}, {"code": "024", "path": "/carpicture06/pic4136/41369527_024.jpg", "type": "OPTION", "updateDateTime": "2026-01-19T16:56:25", "desc": null}, {"code": "006", "path": "/carpicture06/pic4136/41369527_006.jpg", "type": "INNER", "updateDateTime": "2026-01-19T16:56:25", "desc": null}, {"code": "001", "path": "/carpicture06/pic4136/41369527_001.jpg", "type": "OUTER", "updateDateTime": "2026-01-19T16:56:25", "desc": null}, {"code": "015", "path": "/carpicture06/pic4136/41369527_015.jpg", "type": "OPTION", "updateDateTime": "2026-01-19T16:56:25", "desc": null}, {"code": "008", "path": "/carpicture06/pic4136/41369527_008.jpg", "type": "INNER", "updateDateTime": "2026-01-19T16:56:25", "desc": null}, {"code": "007", "path": "/carpicture06/pic4136/41369527_007.jpg", "type": "INNER", "updateDateTime": "2026-01-19T16:56:25", "desc": null}, {"code": "022", "path": "/carpicture06/pic4136/41369527_022.jpg", "type": "OPTION", "updateDateTime": "2026-01-19T16:56:25", "desc": null}]</t>
  </si>
  <si>
    <t>경차</t>
  </si>
  <si>
    <t>연두색</t>
  </si>
  <si>
    <t>333버6671</t>
  </si>
  <si>
    <t>KMHB3918BPW020416</t>
  </si>
  <si>
    <t>202011</t>
  </si>
  <si>
    <t>부산 사하구</t>
  </si>
  <si>
    <t>05062061602</t>
  </si>
  <si>
    <t xml:space="preserve">-판매자 정보-
안녕하세요 저는 KC오토월드 세븐모터스에서 근무하고 있는 팀장 전영수입니다.
저는 2006년 25살에 중고차일을 접하게 되어 지금까지 17년을 일을 하고 있습니다.
아직도 일을 잘못 배운 딜러들이 중고차 시장의 활개를 쳐서 소비자분들에게 중고차의 나쁜 편견을 갖게 만드는데
정직하게 일을하는 딜러들도 많은 피해를 보고 있습니다.
▶약속드립니다!!! 저는 허위매물 및 침수차량 전손 차량은 판매하지 않습니다.
▶약속드립니다!!! 저는 고객님과의 신용과 신뢰로 판매및 매입할것입니다.
▶약속드립니다!!! 한번의 인연이 아니라 평생을 믿고 맡길수 있는 카매니저가 될것입니다.
중고차 시장 많이 투명해지고 열심히 일하는 사람들 많습니다. 저 역시난 그 사람들 중 한사람이라고 생각해오고 일해오고 있습니다.
한번 믿고 거래해보십시요!! 위에 약속을 지키는 사람인지 아닌지는 직접 겪어보시고 판단해 주시기 바랍니다.
=======================================================================================================================
-차량 설명-
1. 차량명:현대 팰리세이드 디젤 2.2 4WD 프레스티지
2. 차량 년식:2020년  11월  16일
3. 주행거리:86,630KM
4. 사고유무:완전무사고
5. 추가옵션사항:순정네비,후방카메라 통풍시트 열선시트 어라운드 뷰 스마트크루즈 커트롤 7인승 4륜구동 옵션 다수
========================================================================================================================
-남기는 글-
- 저희 단지는  제휴를 맺어서 100% 엔카 진단을 하여 광고 나가는 실매물만 판매하고 있습니다.
- 대한민국 1등 중고차의 공신력 있는 엔카와 협업된 매장으로 믿고 사실수 있다는 말씀 드리겠습니다.
- 차량이 입고되면 차량성능점검및 필요한 수리부분은 사후관리가 아닌 사전 점검후 판매를 원칙으로 하고 있으니 더 신뢰를 가지고 판매를 한다는 장점을 가지고 있습니다.
- 24시간 궁금하신 점이 있으시면 언제든 상담 가능하니 주저하지 마시고 편안하게 연락주세요!!
 ========================================================================================================================
-오시는 길-
저희 매장을 방문하실때 차량으로 오시는 경우 네비에 "케이씨오토월드"쳐서 오시면 됩니다
대중교통이용 하시면 부산지하철 1호선 "신평역" 내리셔서 도보로 20분 택시타시면 기본요금으로 오십니다.
저희 사무실 주소는 : 부산광역시 사하구 하신중앙로 54번길 13 KC오토월드 2층 14호 세븐 모터스 입니다.
</t>
  </si>
  <si>
    <t>2026-01-22T15:56:43</t>
  </si>
  <si>
    <t>2026-01-22T16:56:04</t>
  </si>
  <si>
    <t>2026-01-22T10:49:52</t>
  </si>
  <si>
    <t>["10003"]</t>
  </si>
  <si>
    <t>["001", "004", "005", "006", "007", "008", "014", "015", "017", "019", "020", "021", "022", "023", "024", "026", "027", "030", "031", "032", "033", "034", "051", "055", "056", "057", "058", "059", "062", "063", "072", "074", "075", "077", "079", "081", "082", "084", "085", "086", "087", "088", "090", "094", "096", "097"]</t>
  </si>
  <si>
    <t>5486</t>
  </si>
  <si>
    <t>[{"code": "124", "name": "엔카진단센터 서부산점", "major": true, "telephoneNumber": "051-204-0112", "address": "부산 사하구 하신중앙로54번길 13 KC오토월드 105호"}]</t>
  </si>
  <si>
    <t>세븐</t>
  </si>
  <si>
    <t>전영수</t>
  </si>
  <si>
    <t>[{"code": "019", "path": "/carpicture09/pic4139/41390598_019.jpg", "type": "OPTION", "updateDateTime": "2026-01-22T15:55:44", "desc": null}, {"code": "018", "path": "/carpicture09/pic4139/41390598_018.jpg", "type": "OPTION", "updateDateTime": "2026-01-22T15:55:44", "desc": null}, {"code": "016", "path": "/carpicture09/pic4139/41390598_016.jpg", "type": "OPTION", "updateDateTime": "2026-01-22T15:55:44", "desc": null}, {"code": "017", "path": "/carpicture09/pic4139/41390598_017.jpg", "type": "OPTION", "updateDateTime": "2026-01-22T15:55:44", "desc": null}, {"code": "005", "path": "/carpicture09/pic4139/41390598_005.jpg", "type": "OUTER", "updateDateTime": "2026-01-22T15:55:44", "desc": null}, {"code": "008", "path": "/carpicture09/pic4139/41390598_008.jpg", "type": "INNER", "updateDateTime": "2026-01-22T15:55:44", "desc": null}, {"code": "003", "path": "/carpicture09/pic4139/41390598_003.jpg", "type": "OUTER", "updateDateTime": "2026-01-22T15:55:44", "desc": null}, {"code": "002", "path": "/carpicture09/pic4139/41390598_002.jpg", "type": "OUTER", "updateDateTime": "2026-01-22T15:55:44", "desc": null}, {"code": "010", "path": "/carpicture09/pic4139/41390598_010.jpg", "type": "INNER", "updateDateTime": "2026-01-22T15:55:44", "desc": null}, {"code": "015", "path": "/carpicture09/pic4139/41390598_015.jpg", "type": "OPTION", "updateDateTime": "2026-01-22T15:55:44", "desc": null}, {"code": "004", "path": "/carpicture09/pic4139/41390598_004.jpg", "type": "OUTER", "updateDateTime": "2026-01-22T15:55:44", "desc": null}, {"code": "020", "path": "/carpicture09/pic4139/41390598_020.jpg", "type": "OPTION", "updateDateTime": "2026-01-22T15:55:44", "desc": null}, {"code": "024", "path": "/carpicture09/pic4139/41390598_024.jpg", "type": "OPTION", "updateDateTime": "2026-01-22T15:55:44", "desc": null}, {"code": "021", "path": "/carpicture09/pic4139/41390598_021.jpg", "type": "OPTION", "updateDateTime": "2026-01-22T15:55:44", "desc": null}, {"code": "022", "path": "/carpicture09/pic4139/41390598_022.jpg", "type": "OPTION", "updateDateTime": "2026-01-22T15:55:44", "desc": null}, {"code": "023", "path": "/carpicture09/pic4139/41390598_023.jpg", "type": "OPTION", "updateDateTime": "2026-01-22T15:55:44", "desc": null}, {"code": "001", "path": "/carpicture09/pic4139/41390598_001.jpg", "type": "OUTER", "updateDateTime": "2026-01-22T15:55:44", "desc": null}, {"code": "007", "path": "/carpicture09/pic4139/41390598_007.jpg", "type": "INNER", "updateDateTime": "2026-01-22T15:55:44", "desc": null}, {"code": "009", "path": "/carpicture09/pic4139/41390598_009.jpg", "type": "INNER", "updateDateTime": "2026-01-22T15:55:44", "desc": null}, {"code": "006", "path": "/carpicture09/pic4139/41390598_006.jpg", "type": "INNER", "updateDateTime": "2026-01-22T15:55:44", "desc": null}]</t>
  </si>
  <si>
    <t>204러4689</t>
  </si>
  <si>
    <t>KMHR381ADMU243893</t>
  </si>
  <si>
    <t>[12, 17, 28]</t>
  </si>
  <si>
    <t>성능보험 3개월 5000KM 전국최저가!! 24시간상담가능!!</t>
  </si>
  <si>
    <t>012</t>
  </si>
  <si>
    <t>M16 GDI Luxury</t>
  </si>
  <si>
    <t>104</t>
  </si>
  <si>
    <t>201009</t>
  </si>
  <si>
    <t>05062458825</t>
  </si>
  <si>
    <t>안녕하십니까. 직접매입하여 ※실차량※만을 취급하는 전문딜러 위너모터스 부장  백재호입니다.
이차량은 제가 직접 운행해보고 점검하여 매입까지해온 차량입니다 .
★ 차량 세부사항 ★
=========================================================================================================================================
→차량명 : 현대 아반떼 MD M16 GDI 럭셔리
→연식 : 2010년 09월식(11년형)
→주행거리 : 155.789km
→색상 : 그레이 (쥐색)!!
→용도이력 : 용도이력없음 !!! 
→정비내역 &amp; 정보
→쇼바&amp;하부잡소리 제로!!
→가격대비 성능최강 !!
→배터리 상태 양호 !!
→엔진 떨림없음 !!
→기본적인 경정비 완료 !!
○딜러의 추천○
울산에서 직장을 다니시는 40대 남성분의 차량입니다.
집이 부산에있으셔서 주말엔 항상 고속도로 주행을 하셨습니다.
그래서 엔진상태는 정말 좋습니다 !! 정비도 깔끔하게 잘받으신상태입니다.
이번에 자녀분들 때문에 큰차로 바꾸시면서 차량을 판매하셨습니다.
하부소음&amp;엔진소음 일절없습니다.
남성분 혼자 운행하셔서 실내 관리도 정말 깔끔합니다. (비흡연차량!!)
제가 직접 시운전. 차량검수를 통해서 매입한차량입니다.
엔진소리 . 하체잡소리 일체없습니다. 직접 시운전해보시고 결정하세요.
언제든지오셔서 직접 시운전도해보시고 상담도 받아보세요 .
자동차를 한낱소모품으로 생각하지않고 고객의 안전을 최우선으로 생각하겠습니다.
==========================================================================================================================================
중고차는 실제로 차량을 보고 직접 시운전을 하여 엔진 소리도 직접 들어봐야 정확히 알 수 있습니다. 발로 뛰어야지 좋은 차량을 구매합니다.
판매하기에 앞서 제마음에 안들면 당연히 고객님들 눈에도 차지않을겁니다!! 그만큼 출고후 발생하는 클레임을 사전에 예방하고자 꼼꼼한 수리 및 광택, 실내 클리닝을 거마친 후 전시중입나다.
믿고 살수 있는 중고차 시장을 만들기 위해 제가 보유한 차량은 실매물 확인 및 서류 확인 후 등록하고 있습니다.
차는 한낱 소모품이 아닌 고객님의 편의와 더불어 생명과 직결되어있는 중요한 자산입니다.
절대성능이 좋지않은 차량은 눈속임으로 판매하지 않습니다
소비자의 입장에서 생각하고 사소한 것 하나까지 꼼꼼하게 점검. 검사하여 판매하겠습니다
문 의 방 법
엠월드 위너모터스에서 실 매물 확인 및 차량시승도 가능하며 정비업소에서 차량상태 확인도 가능합니다.
현재 타고 계신 차량도 매입 가능하며, 대출을 통한 차량구매도 가능합니다.
현금없이 차량할부를 통한 구매도 가능합니다 =차값+이전비+보험료= 할부가능합니다
탁송도 가능합니다 !! 거리가 멀어서 오기 힘드신분들 .차를보러오실시간이없으신분. 타지역에서 계시는분들은 대다수 탁송으로 차량을 받으십니다.
자세한 사항은 전화로 문의 해주세요
=========================================================================================================================================
{찾아오시는 길}   
-주소 : 대구광역시 서구 문화로 37 4층 402호 (이현동. 엠월드)
                    자가용 이용시 (구마고속도 이용)
-오시는길 : 서대구 IC에서 북비산로 서대구방면 우측 고속도로 출구 -서대구역네거리에서  죽전네거리 방면으로 우회전 - 480m 지점 자동자 검사소 입구 에서 우회전
                   270m 지점 엠월드 건물 진입
                    자가용 이용시 (와룡로 이용)
                    서대구역네거리 방향으로 직진 - 2.6km 지점 자동차 검사소 입구 교차로에서 좌회전 - 270m 지점 엠월드 건물 진입
 -출발 전 전화 부탁드립니다 열림마을으로 고객님을 기다리겠습니다.</t>
  </si>
  <si>
    <t>2026-01-22T15:56:03</t>
  </si>
  <si>
    <t>2026-01-22T15:32:11</t>
  </si>
  <si>
    <t>["1085", "10001"]</t>
  </si>
  <si>
    <t>["001", "003", "004", "005", "006", "007", "008", "014", "015", "017", "020", "022", "023", "024", "026", "027", "031", "032", "056", "058", "071", "072", "096", "097"]</t>
  </si>
  <si>
    <t>1886</t>
  </si>
  <si>
    <t>위너모터스</t>
  </si>
  <si>
    <t>백재호</t>
  </si>
  <si>
    <t>[{"code": "020", "path": "/carpicture09/pic4139/41393805_020.jpg", "type": "OPTION", "updateDateTime": "2026-01-22T15:37:24", "desc": null}, {"code": "006", "path": "/carpicture09/pic4139/41393805_006.jpg", "type": "INNER", "updateDateTime": "2026-01-22T15:37:24", "desc": null}, {"code": "015", "path": "/carpicture09/pic4139/41393805_015.jpg", "type": "OPTION", "updateDateTime": "2026-01-22T15:37:24", "desc": null}, {"code": "023", "path": "/carpicture09/pic4139/41393805_023.jpg", "type": "OPTION", "updateDateTime": "2026-01-22T15:37:24", "desc": null}, {"code": "002", "path": "/carpicture09/pic4139/41393805_002.jpg", "type": "OUTER", "updateDateTime": "2026-01-22T15:37:24", "desc": null}, {"code": "003", "path": "/carpicture09/pic4139/41393805_003.jpg", "type": "OUTER", "updateDateTime": "2026-01-22T15:37:24", "desc": null}, {"code": "017", "path": "/carpicture09/pic4139/41393805_017.jpg", "type": "OPTION", "updateDateTime": "2026-01-22T15:37:24", "desc": null}, {"code": "004", "path": "/carpicture09/pic4139/41393805_004.jpg", "type": "OUTER", "updateDateTime": "2026-01-22T15:37:24", "desc": null}, {"code": "005", "path": "/carpicture09/pic4139/41393805_005.jpg", "type": "OUTER", "updateDateTime": "2026-01-22T15:37:24", "desc": null}, {"code": "009", "path": "/carpicture09/pic4139/41393805_009.jpg", "type": "INNER", "updateDateTime": "2026-01-22T15:37:24", "desc": null}, {"code": "008", "path": "/carpicture09/pic4139/41393805_008.jpg", "type": "INNER", "updateDateTime": "2026-01-22T15:37:24", "desc": null}, {"code": "010", "path": "/carpicture09/pic4139/41393805_010.jpg", "type": "INNER", "updateDateTime": "2026-01-22T15:37:24", "desc": null}, {"code": "007", "path": "/carpicture09/pic4139/41393805_007.jpg", "type": "INNER", "updateDateTime": "2026-01-22T15:37:24", "desc": null}, {"code": "016", "path": "/carpicture09/pic4139/41393805_016.jpg", "type": "OPTION", "updateDateTime": "2026-01-22T15:37:24", "desc": null}, {"code": "024", "path": "/carpicture09/pic4139/41393805_024.jpg", "type": "OPTION", "updateDateTime": "2026-01-22T15:37:24", "desc": null}, {"code": "001", "path": "/carpicture09/pic4139/41393805_001.jpg", "type": "OUTER", "updateDateTime": "2026-01-22T15:37:24", "desc": null}, {"code": "021", "path": "/carpicture09/pic4139/41393805_021.jpg", "type": "OPTION", "updateDateTime": "2026-01-22T15:37:24", "desc": null}, {"code": "022", "path": "/carpicture09/pic4139/41393805_022.jpg", "type": "OPTION", "updateDateTime": "2026-01-22T15:37:24", "desc": null}, {"code": "018", "path": "/carpicture09/pic4139/41393805_018.jpg", "type": "OPTION", "updateDateTime": "2026-01-22T15:37:24", "desc": null}, {"code": "019", "path": "/carpicture09/pic4139/41393805_019.jpg", "type": "OPTION", "updateDateTime": "2026-01-22T15:37:24", "desc": null}]</t>
  </si>
  <si>
    <t>14가1316</t>
  </si>
  <si>
    <t>KMHDG41DBBU017175</t>
  </si>
  <si>
    <t>[13, 14, 19]</t>
  </si>
  <si>
    <t>[렌트이력X][무도색][무판금][완벽무사고][보험X][순정내비]</t>
  </si>
  <si>
    <t>1.6 GDI Value Plus</t>
  </si>
  <si>
    <t>201711</t>
  </si>
  <si>
    <t>05062259702</t>
  </si>
  <si>
    <t>※ 보험0원 / 완전무사고 / 무도색 [도막확인가능] / 무판금 / 렌트이력 없는 깨끗한 차량
※ 순정 내비 + 하체 깨끗 [부식X] + 강력추천 차량
★ 엔카진단 차량은 상사 입고 후 총 2번에 걸쳐 성능기록부 외 사고여부 진단을 한번 더 확인합니다.
★ Trust 엔카에서 실매물 확인 후 촬영 진단 및 보증한 차량입니다.
★ 현대캐피탈이 인증한 안심 매매상사 입니다.
★ 실내 전시장으로 쾌적한 환경에서 차량을 보실 수 있습니다.
☎방문전 예약은 필수 입니다!! 일의 특성상 차량매입 및 판매로 외근이 잦습니다.☎
★★★ 아반떼 AD 1.6 GDI 밸류 플러스 모델입니다. ★★★
- 차량명: 아반떼 AD [1,591cc]
- 연식: 2017년 11월 01일 등록 [2018년형]
- 주행거리: 53,827km
- 사고유무: 완전 무사고 [성능 기록부 참조]
- 색상: 흰색
- 미션: 자동 [휘발유]
▶ 판매자의 한마디
"고객님의 입장에서 최선을 다해 후회없는 선택이 되실수 있도록 노력하겠습니다."
▶ 문의방법
 - 언제든지 연락 주시면 친절하게 상담 드리겠습니다.
 - 차량 시승도 가능하며 정비업소에서 차량상태 확인도 가능합니다.
 - 현재 타고 계신 차량과 교환 가능하며, 대출을 통한 차량구매도 가능합니다.
▶ 오시는길
 - 동대구역에서 차편으로 15분 거리
 - 대구 지하철(각산역)에서 도보 10분 거리
 - 위치를 모르시는분들 연락주시면 상담해 드리겠습니다.
 - 대구 광역시 동구 안심로 59길 22 신서랜드 매매단지 內 큐모터스, 303호 304호</t>
  </si>
  <si>
    <t>2026-01-12T15:56:38</t>
  </si>
  <si>
    <t>2026-01-18T12:56:03</t>
  </si>
  <si>
    <t>2026-01-09T13:49:58</t>
  </si>
  <si>
    <t>["1009", "1010"]</t>
  </si>
  <si>
    <t>["001", "004", "005", "006", "007", "008", "014", "015", "017", "019", "020", "022", "024", "026", "027", "031", "032", "033", "055", "056", "057", "058", "071", "072", "074", "086", "096", "097"]</t>
  </si>
  <si>
    <t>6423</t>
  </si>
  <si>
    <t>큐모터스</t>
  </si>
  <si>
    <t>이정하</t>
  </si>
  <si>
    <t>[{"code": "008", "path": "/carpicture01/pic4131/41315606_008.jpg", "type": "INNER", "updateDateTime": "2026-01-12T15:50:07", "desc": null}, {"code": "010", "path": "/carpicture01/pic4131/41315606_010.jpg", "type": "INNER", "updateDateTime": "2026-01-12T15:50:07", "desc": null}, {"code": "003", "path": "/carpicture01/pic4131/41315606_003.jpg", "type": "OUTER", "updateDateTime": "2026-01-12T15:50:07", "desc": null}, {"code": "004", "path": "/carpicture01/pic4131/41315606_004.jpg", "type": "OUTER", "updateDateTime": "2026-01-12T15:50:07", "desc": null}, {"code": "001", "path": "/carpicture01/pic4131/41315606_001.jpg", "type": "OUTER", "updateDateTime": "2026-01-12T15:50:07", "desc": null}, {"code": "002", "path": "/carpicture01/pic4131/41315606_002.jpg", "type": "OUTER", "updateDateTime": "2026-01-12T15:50:07", "desc": null}, {"code": "005", "path": "/carpicture01/pic4131/41315606_005.jpg", "type": "OUTER", "updateDateTime": "2026-01-12T15:50:07", "desc": null}, {"code": "007", "path": "/carpicture01/pic4131/41315606_007.jpg", "type": "INNER", "updateDateTime": "2026-01-12T15:50:07", "desc": null}, {"code": "020", "path": "/carpicture01/pic4131/41315606_020.jpg", "type": "OPTION", "updateDateTime": "2026-01-12T15:50:07", "desc": null}, {"code": "023", "path": "/carpicture01/pic4131/41315606_023.jpg", "type": "OPTION", "updateDateTime": "2026-01-12T15:50:07", "desc": null}, {"code": "016", "path": "/carpicture01/pic4131/41315606_016.jpg", "type": "OPTION", "updateDateTime": "2026-01-12T15:50:07", "desc": null}, {"code": "006", "path": "/carpicture01/pic4131/41315606_006.jpg", "type": "INNER", "updateDateTime": "2026-01-12T15:50:07", "desc": null}, {"code": "017", "path": "/carpicture01/pic4131/41315606_017.jpg", "type": "OPTION", "updateDateTime": "2026-01-12T15:50:07", "desc": null}, {"code": "024", "path": "/carpicture01/pic4131/41315606_024.jpg", "type": "OPTION", "updateDateTime": "2026-01-12T15:50:07", "desc": null}, {"code": "015", "path": "/carpicture01/pic4131/41315606_015.jpg", "type": "OPTION", "updateDateTime": "2026-01-12T15:50:07", "desc": null}, {"code": "009", "path": "/carpicture01/pic4131/41315606_009.jpg", "type": "INNER", "updateDateTime": "2026-01-12T15:50:07", "desc": null}, {"code": "022", "path": "/carpicture01/pic4131/41315606_022.jpg", "type": "OPTION", "updateDateTime": "2026-01-12T15:50:07", "desc": null}, {"code": "018", "path": "/carpicture01/pic4131/41315606_018.jpg", "type": "OPTION", "updateDateTime": "2026-01-12T15:50:07", "desc": null}, {"code": "021", "path": "/carpicture01/pic4131/41315606_021.jpg", "type": "OPTION", "updateDateTime": "2026-01-12T15:50:07", "desc": null}, {"code": "019", "path": "/carpicture01/pic4131/41315606_019.jpg", "type": "OPTION", "updateDateTime": "2026-01-12T15:50:07", "desc": null}]</t>
  </si>
  <si>
    <t>02구7066</t>
  </si>
  <si>
    <t>KMHD641DBJU536296</t>
  </si>
  <si>
    <t>Le Blanc</t>
  </si>
  <si>
    <t>202208</t>
  </si>
  <si>
    <t>경기 용인시 기흥구 어정로 36</t>
  </si>
  <si>
    <t>05062302195</t>
  </si>
  <si>
    <t>안녕하세요!
롯데렌탈 T Car 용인매매센터 김민성 매니저 입니다.
★롯데렌탈 T Car 추천★
- 롯데렌터카가 직접 신차로 출고하고 최근까지 꾸준히 관리해온 중고차
- 출고 이후 현재까지 차량 관리 이력 제공
- 책임 환불제 : 구매 후 7일 내 자유롭게 환불 가능
- 180일 / 10,000km 보증 무료 제공 (엔진, 미션, 제동장치 등 주요 부품)
★T car (Trust Total Care)는 믿을 수 있으니까 온라인 쇼핑처럼 쉽고 빠르게! ★
상담신청 클릭 후 전문상담사와 상담 &amp; 온라인으로 간편하게 24시간 즉시결제 후 원하는 장소로 배송받고 넉넉한 "7일간의 환불기간" 까지 경험해보세요!
▶ 사고유무
- 성능점검 확인결과 전면 사고수리로 인한 외판 교체 및 판금도색 작업내용 확인됩니다.
* 판금도색은 차량보유 중 누구에게나 발생하는 스크레치 보수를 위한 단순도장 작업이며, 운행 안전 성능에는 전혀 지장이 없습니다.
▶차량 추가 옵션
- 헤드업디스플레이 [100만원]
▶차량 진단 결과
- 차량 입고 후 리프트 띄워 하부 진단결과, 누유/누수 없이 깔끔한 상태를 유지중입니다.
- 롯데렌탈 T Car 만의 엄격한 진단 프로세스를 거쳐, 특이사항 없는 우수한 컨디션 유지중 입니다.
▶ 매니저 한 줄 코멘트
- 엔진/미션 제조사보증 잔존중인 차량
- 각종 편의/안전옵션 다수 탑재되어 있는 차량
- 차량 입고 후 광택, 세차 등 작업 완료되어 깔끔한 상태 유지하고 있습니다.
- 주기적인 순회정비 및 관리로, 안심하고 구매 가능하신 차량입니다.
▶차량구입 할부(신용등급과 상관없이 간편한 할부 조회 가능)
# 신한카드 
# 롯데캐피탈 
# KB캐피탈  
▶ 찾아 오시는길
- 경기도 용인시 기흥구 어정로 36 용인오토갤러리 1층 Tcar 용인매매센터
- 대중교통 이용시 애버라인 [지석역] 1번출구 도보 1분
- 인터넷 검색창에 [용인오토갤러리] 검색</t>
  </si>
  <si>
    <t>2026-01-09T10:56:13</t>
  </si>
  <si>
    <t>2026-01-14T22:56:04</t>
  </si>
  <si>
    <t>2026-01-09T10:42:46</t>
  </si>
  <si>
    <t>["001", "004", "005", "006", "007", "008", "014", "015", "017", "019", "020", "021", "022", "023", "024", "026", "027", "030", "031", "032", "033", "034", "035", "055", "056", "057", "058", "059", "063", "072", "074", "075", "077", "079", "081", "082", "084", "085", "086", "087", "088", "092", "094", "095", "096", "097"]</t>
  </si>
  <si>
    <t>6938</t>
  </si>
  <si>
    <t>[{"code": "226", "name": "엔카진단센터 롯데렌탈 용인점", "major": true, "telephoneNumber": "", "address": "경기 용인시 기흥구 어정로 36"}]</t>
  </si>
  <si>
    <t>롯데렌탈_용인점</t>
  </si>
  <si>
    <t>T카 용인매매센터</t>
  </si>
  <si>
    <t>[{"code": "004", "path": "/carpicture01/pic4131/41313544_004.jpg", "type": "OUTER", "updateDateTime": "2026-01-09T10:52:11", "desc": null}, {"code": "024", "path": "/carpicture01/pic4131/41313544_024.jpg", "type": "OPTION", "updateDateTime": "2026-01-09T10:52:11", "desc": null}, {"code": "006", "path": "/carpicture01/pic4131/41313544_006.jpg", "type": "INNER", "updateDateTime": "2026-01-09T10:52:11", "desc": null}, {"code": "023", "path": "/carpicture01/pic4131/41313544_023.jpg", "type": "OPTION", "updateDateTime": "2026-01-09T10:52:11", "desc": null}, {"code": "015", "path": "/carpicture01/pic4131/41313544_015.jpg", "type": "OPTION", "updateDateTime": "2026-01-09T10:52:11", "desc": null}, {"code": "001", "path": "/carpicture01/pic4131/41313544_001.jpg", "type": "OUTER", "updateDateTime": "2026-01-09T10:52:11", "desc": null}, {"code": "010", "path": "/carpicture01/pic4131/41313544_010.jpg", "type": "INNER", "updateDateTime": "2026-01-09T10:52:11", "desc": null}, {"code": "009", "path": "/carpicture01/pic4131/41313544_009.jpg", "type": "INNER", "updateDateTime": "2026-01-09T10:52:11", "desc": null}, {"code": "022", "path": "/carpicture01/pic4131/41313544_022.jpg", "type": "OPTION", "updateDateTime": "2026-01-09T10:52:11", "desc": null}, {"code": "020", "path": "/carpicture01/pic4131/41313544_020.jpg", "type": "OPTION", "updateDateTime": "2026-01-09T10:52:11", "desc": null}, {"code": "007", "path": "/carpicture01/pic4131/41313544_007.jpg", "type": "INNER", "updateDateTime": "2026-01-09T10:52:11", "desc": null}, {"code": "021", "path": "/carpicture01/pic4131/41313544_021.jpg", "type": "OPTION", "updateDateTime": "2026-01-09T10:52:11", "desc": null}, {"code": "005", "path": "/carpicture01/pic4131/41313544_005.jpg", "type": "OUTER", "updateDateTime": "2026-01-09T10:52:11", "desc": null}, {"code": "003", "path": "/carpicture01/pic4131/41313544_003.jpg", "type": "OUTER", "updateDateTime": "2026-01-09T10:52:11", "desc": null}, {"code": "017", "path": "/carpicture01/pic4131/41313544_017.jpg", "type": "OPTION", "updateDateTime": "2026-01-09T10:52:11", "desc": null}, {"code": "008", "path": "/carpicture01/pic4131/41313544_008.jpg", "type": "INNER", "updateDateTime": "2026-01-09T10:52:11", "desc": null}, {"code": "018", "path": "/carpicture01/pic4131/41313544_018.jpg", "type": "OPTION", "updateDateTime": "2026-01-09T10:52:11", "desc": null}, {"code": "019", "path": "/carpicture01/pic4131/41313544_019.jpg", "type": "OPTION", "updateDateTime": "2026-01-09T10:52:11", "desc": null}, {"code": "002", "path": "/carpicture01/pic4131/41313544_002.jpg", "type": "OUTER", "updateDateTime": "2026-01-09T10:52:11", "desc": null}, {"code": "016", "path": "/carpicture01/pic4131/41313544_016.jpg", "type": "OPTION", "updateDateTime": "2026-01-09T10:52:11", "desc": null}]</t>
  </si>
  <si>
    <t>380어6657</t>
  </si>
  <si>
    <t>KMHF141DBPA515080</t>
  </si>
  <si>
    <t>M16 GDI Modern</t>
  </si>
  <si>
    <t>201209</t>
  </si>
  <si>
    <t>광주 서구 매월1로62번길 24</t>
  </si>
  <si>
    <t>05062329758</t>
  </si>
  <si>
    <t>안녕하세요 광주 풍암 3단지 jk자동차 박지안 입니다
제 차량에 관심을 가져주셔서 대단히 감사드립니다.
보시고 계신 차량은 100% 실 매물임을 약속드립니다.
침수차량/침수가 의심되는 차량은 절대 매입하지도 판매하지도 않습니다.
저렴하고 좋은 차랑은 없다고 생각합니다. 시세대비해 저렴하면 저렴한 이유가 있을것이고 비싸다면 비싼 이유가 존재하다고 생각합니다
(성능점검과 상이할경우 계약일 기준 1달 or 2,000km 성능보험 A/S 가능)
▶아반테 MD 모던 차량입니다
세차/광택/성능점검/시운전운행 까지 완료된 믿을 수 있는 차량입니다.
년식 : 2012년 9월 (형식년도 2013년)
등급 :모던
주행거리 :128,827m
옵션 :
정품내비
가죽시트
전동접이미러
열선시트
열선핸들
선루프
▶입고후 수리 내역: 
선루프 스위치,후방센서,썬팅 전체 시공 및 후방 카메라, 엔진오일 교환, 운적석 뒷 창문 스위치
▶차량의 장점
신차 출고 이후 소유주가 변경되지 않은 1인 신조 차량입니다.
신차급 컨디션,실내 클리닝, 외관 광택이 완료된 차량, 시운전 언제든지 가능합니다!
연식대비 컨디션 좋고 차량 깨끗합니다
▶찾아오시는길
연락주시면 상세하게 설명드리겠습니다. 전화가 부재중일시 문자 남겨주시면 확인후 전화 드리겠습니다 시운전도 가능하며
정비소에서 차량상태 확인도 가능합니다
광주 서구 매월1로62번길 24 풍암 자동차매매3단지 103동 19호 JK자동차입니다.
타고 계시는 차량 대차 가능 합니다.
법인 경우 세금계산서 발급가능 / 개인 경우 현금영수증 의무 발급.</t>
  </si>
  <si>
    <t>2025-12-09T16:56:05</t>
  </si>
  <si>
    <t>2026-01-24T17:56:04</t>
  </si>
  <si>
    <t>2025-12-09T16:51:10</t>
  </si>
  <si>
    <t>["1087", "1103"]</t>
  </si>
  <si>
    <t>["001", "003", "004", "005", "006", "007", "008", "010", "014", "015", "017", "019", "020", "022", "023", "024", "026", "027", "031", "032", "055", "056", "057", "058", "063", "068", "071", "072", "082", "085", "096", "097"]</t>
  </si>
  <si>
    <t>5251</t>
  </si>
  <si>
    <t>제이케이자동차</t>
  </si>
  <si>
    <t>박지안</t>
  </si>
  <si>
    <t>[{"code": "018", "path": "/carpicture03/pic4113/41135028_018.jpg", "type": "OPTION", "updateDateTime": "2025-12-09T16:54:49", "desc": null}, {"code": "021", "path": "/carpicture03/pic4113/41135028_021.jpg", "type": "OPTION", "updateDateTime": "2025-12-09T16:54:49", "desc": null}, {"code": "016", "path": "/carpicture03/pic4113/41135028_016.jpg", "type": "OPTION", "updateDateTime": "2025-12-09T16:54:49", "desc": null}, {"code": "022", "path": "/carpicture03/pic4113/41135028_022.jpg", "type": "OPTION", "updateDateTime": "2025-12-09T16:54:49", "desc": null}, {"code": "001", "path": "/carpicture03/pic4113/41135028_001.jpg", "type": "OUTER", "updateDateTime": "2025-12-09T16:54:49", "desc": null}, {"code": "015", "path": "/carpicture03/pic4113/41135028_015.jpg", "type": "OPTION", "updateDateTime": "2025-12-09T16:54:49", "desc": null}, {"code": "003", "path": "/carpicture03/pic4113/41135028_003.jpg", "type": "OUTER", "updateDateTime": "2025-12-09T16:54:49", "desc": null}, {"code": "020", "path": "/carpicture03/pic4113/41135028_020.jpg", "type": "OPTION", "updateDateTime": "2025-12-09T16:54:49", "desc": null}, {"code": "004", "path": "/carpicture03/pic4113/41135028_004.jpg", "type": "OUTER", "updateDateTime": "2025-12-09T16:54:49", "desc": null}, {"code": "005", "path": "/carpicture03/pic4113/41135028_005.jpg", "type": "OUTER", "updateDateTime": "2025-12-09T16:54:49", "desc": null}, {"code": "007", "path": "/carpicture03/pic4113/41135028_007.jpg", "type": "INNER", "updateDateTime": "2025-12-09T16:54:49", "desc": null}, {"code": "023", "path": "/carpicture03/pic4113/41135028_023.jpg", "type": "OPTION", "updateDateTime": "2025-12-09T16:54:49", "desc": null}, {"code": "006", "path": "/carpicture03/pic4113/41135028_006.jpg", "type": "INNER", "updateDateTime": "2025-12-09T16:54:49", "desc": null}, {"code": "010", "path": "/carpicture03/pic4113/41135028_010.jpg", "type": "INNER", "updateDateTime": "2025-12-09T16:54:49", "desc": null}, {"code": "019", "path": "/carpicture03/pic4113/41135028_019.jpg", "type": "OPTION", "updateDateTime": "2025-12-09T16:54:49", "desc": null}, {"code": "017", "path": "/carpicture03/pic4113/41135028_017.jpg", "type": "OPTION", "updateDateTime": "2025-12-09T16:54:49", "desc": null}, {"code": "008", "path": "/carpicture03/pic4113/41135028_008.jpg", "type": "INNER", "updateDateTime": "2025-12-09T16:54:49", "desc": null}, {"code": "002", "path": "/carpicture03/pic4113/41135028_002.jpg", "type": "OUTER", "updateDateTime": "2025-12-09T16:54:49", "desc": null}, {"code": "009", "path": "/carpicture03/pic4113/41135028_009.jpg", "type": "INNER", "updateDateTime": "2025-12-09T16:54:49", "desc": null}, {"code": "024", "path": "/carpicture03/pic4113/41135028_024.jpg", "type": "OPTION", "updateDateTime": "2025-12-09T16:54:49", "desc": null}]</t>
  </si>
  <si>
    <t>은회색</t>
  </si>
  <si>
    <t>14가8780</t>
  </si>
  <si>
    <t>KMHDH41DBDU645697</t>
  </si>
  <si>
    <t>201608</t>
  </si>
  <si>
    <t>인천 서구 정서진로 70</t>
  </si>
  <si>
    <t>05062346481</t>
  </si>
  <si>
    <t xml:space="preserve"> #중고차기업 리본카#8일800km 환불제!
#주행거리 무제한 180일 보증수리(유료)
#침수차/주행거리/허위매물 걱정 No!!
#리본카 저금리 할부 가능(금융사비교)
ㅡㅡㅡㅡㅡㅡㅡㅡㅡㅡㅡㅡㅡㅡㅡㅡㅡㅡㅡ 
※ 청라지점 서건희 과장의 추천 포인트!
: 탄탄한 성능의 올 뉴 투싼 디젤 R2.0 2WD 모던!
: 디젤 2.0 엔진으로 힘 있고 효율적인 주행 성능!
: 2WD 세팅으로 연비와 유지비 모두 만족도 높은 SUV!
: 모던 트림으로 실사용에 꼭 필요한 옵션 알차게 구성!
: SUV 특유의 넉넉한 적재 공간으로 활용도 최고!
: 도심·고속도로·장거리 모두 안정적인 주행감!
: 패밀리카·출퇴근·레저까지 두루 어울리는 실속형 SUV!
: 탄탄한 하체와 안정적인 차체 밸런스로 운전 부담 최소화!
: 가성비 좋은 준중형 SUV 찾는다면 투싼이 정답!
ㅡㅡㅡㅡㅡㅡㅡㅡㅡㅡㅡㅡㅡㅡㅡㅡㅡㅡㅡ
저희 청라지점은 단독 매장으로 운영되고 있으며,
약 800여대 가량의 차량을 검수하고 판매하는 직영점입니다.
넓은 전시공간에 편하게 오셔서 차량을 살펴보실 수 있으며,
담당 세일즈매니저와 1:1로 궁금하신점에 대해 더욱 자세한 상담을 받으실 수 있습니다.
아래 저희 청라지점만의 다양한 혜택을 누려보시길 적.극. 추천드립니다!
1) 비대면 구매에 최적화!!
-"TUV-SUD 인증" 을 받은 자체 공정을 통해 도색부터 정비까지 더욱 꼼꼼하게 작업합니다!
-자체 스튜디오를 통해 실시간 영상 상담을 도와드립니다.
(*방문이 어려우신 고객분들은 "유튜브"를 통해 프라이빗한 1:1 영상상담 제공!)
2) 구매당시와 구매이후에도 더욱 안심하실수있게~!
-연장보증 프로그램을 제공해드립니다. (*수입차 및 일부차종 제외)
*최대 180일 저희 리본카 연장보증 프로그램으로 제조사 A/S가 종료된 부분을 더욱 안심하게!
-차량 출고 시, 기본점검 및 엔진오일 교환서비스제공! (*오일교환은 수입차 및 일부차종,엔카홈서비스 제외)
*엔진룸부터 하부를 다시한번 점검해드리며, 엔진오일 교환 서비스까지 제공해드립니다.
(*오일교환은 수입차 및 일부차종,엔카홈서비스 제외)
3) 고객님의 비용부담을 최소화 해드립니다.
-타시던 차량의 견적은 물론, 대차 계약시 최대 30만원 할인 제공!
-리본카 제휴 할부사를 통한, 합리적 금리안내와 빠른실행으로 당일출고 가능!!
ㅡㅡㅡㅡㅡㅡㅡㅡㅡㅡㅡㅡㅡㅡㅡㅡㅡㅡㅡㅡㅡ
▶ 전시장 주소: 인천 서구 정서진로 70</t>
  </si>
  <si>
    <t>2026-01-22T15:56:01</t>
  </si>
  <si>
    <t>2026-01-22T15:30:44</t>
  </si>
  <si>
    <t>["10004", "10006", "10003"]</t>
  </si>
  <si>
    <t>["001", "004", "005", "006", "007", "008", "014", "015", "017", "019", "020", "021", "022", "023", "024", "026", "027", "030", "031", "032", "033", "034", "055", "056", "057", "058", "062", "063", "068", "071", "072", "074", "077", "082", "096", "097"]</t>
  </si>
  <si>
    <t>5327</t>
  </si>
  <si>
    <t>[{"code": "180", "name": "엔카진단센터 청라 오토플러스", "major": true, "telephoneNumber": "032-569-5514", "address": "인천 서구 정서진로 70 2층"}, {"code": "146", "name": "엔카진단센터 김포 국민차2층", "major": false, "telephoneNumber": "031-8092-4342", "address": "경기 김포시 아라육로182번길 50 국민차 매매단지 공항점 A동 227호/스튜디오 B동 2층"}, {"code": "151", "name": "엔카진단센터 강서가양점", "major": false, "telephoneNumber": "02-2659-5457", "address": "서울 강서구 강서로74길 58 가양오토갤러리 1층 진단센터/(컨설팅룸 203호)"}, {"code": "190", "name": "엔카진단센터 일산점", "major": false, "telephoneNumber": "031-932-8543", "address": "경기 고양시 일산동구 백마로 478 일산풍동오토갤러리 매매단지 B동 B214호"}]</t>
  </si>
  <si>
    <t>오토플러스상사</t>
  </si>
  <si>
    <t>리본카 청라지점</t>
  </si>
  <si>
    <t>[{"code": "010", "path": "/carpicture09/pic4139/41393779_010.jpg", "type": "INNER", "updateDateTime": "2026-01-22T15:46:07", "desc": null}, {"code": "015", "path": "/carpicture09/pic4139/41393779_015.jpg", "type": "OPTION", "updateDateTime": "2026-01-22T15:46:07", "desc": null}, {"code": "022", "path": "/carpicture09/pic4139/41393779_022.jpg", "type": "OPTION", "updateDateTime": "2026-01-22T15:46:07", "desc": null}, {"code": "016", "path": "/carpicture09/pic4139/41393779_016.jpg", "type": "OPTION", "updateDateTime": "2026-01-22T15:46:07", "desc": null}, {"code": "018", "path": "/carpicture09/pic4139/41393779_018.jpg", "type": "OPTION", "updateDateTime": "2026-01-22T15:46:07", "desc": null}, {"code": "009", "path": "/carpicture09/pic4139/41393779_009.jpg", "type": "INNER", "updateDateTime": "2026-01-22T15:46:07", "desc": null}, {"code": "017", "path": "/carpicture09/pic4139/41393779_017.jpg", "type": "OPTION", "updateDateTime": "2026-01-22T15:46:07", "desc": null}, {"code": "007", "path": "/carpicture09/pic4139/41393779_007.jpg", "type": "INNER", "updateDateTime": "2026-01-22T15:46:07", "desc": null}, {"code": "008", "path": "/carpicture09/pic4139/41393779_008.jpg", "type": "INNER", "updateDateTime": "2026-01-22T15:46:07", "desc": null}, {"code": "024", "path": "/carpicture09/pic4139/41393779_024.jpg", "type": "OPTION", "updateDateTime": "2026-01-22T15:46:07", "desc": null}, {"code": "006", "path": "/carpicture09/pic4139/41393779_006.jpg", "type": "INNER", "updateDateTime": "2026-01-22T15:46:07", "desc": null}, {"code": "023", "path": "/carpicture09/pic4139/41393779_023.jpg", "type": "OPTION", "updateDateTime": "2026-01-22T15:46:07", "desc": null}, {"code": "002", "path": "/carpicture09/pic4139/41393779_002.jpg", "type": "OUTER", "updateDateTime": "2026-01-22T15:46:07", "desc": null}, {"code": "005", "path": "/carpicture09/pic4139/41393779_005.jpg", "type": "OUTER", "updateDateTime": "2026-01-22T15:46:07", "desc": null}, {"code": "021", "path": "/carpicture09/pic4139/41393779_021.jpg", "type": "OPTION", "updateDateTime": "2026-01-22T15:46:07", "desc": null}, {"code": "001", "path": "/carpicture09/pic4139/41393779_001.jpg", "type": "OUTER", "updateDateTime": "2026-01-22T15:46:07", "desc": null}, {"code": "019", "path": "/carpicture09/pic4139/41393779_019.jpg", "type": "OPTION", "updateDateTime": "2026-01-22T15:46:07", "desc": null}, {"code": "020", "path": "/carpicture09/pic4139/41393779_020.jpg", "type": "OPTION", "updateDateTime": "2026-01-22T15:46:07", "desc": null}, {"code": "004", "path": "/carpicture09/pic4139/41393779_004.jpg", "type": "OUTER", "updateDateTime": "2026-01-22T15:46:07", "desc": null}, {"code": "003", "path": "/carpicture09/pic4139/41393779_003.jpg", "type": "OUTER", "updateDateTime": "2026-01-22T15:46:07", "desc": null}]</t>
  </si>
  <si>
    <t>66보0407</t>
  </si>
  <si>
    <t>KMHJ381ABHU269990</t>
  </si>
  <si>
    <t>201703</t>
  </si>
  <si>
    <t>충남 천안시 서북구 번영로 533</t>
  </si>
  <si>
    <t>05062162423</t>
  </si>
  <si>
    <t>※ 본 차량은 엔카에서 실 매물 인증 받은 차량으로 등록된 차량입니다. 
===================================================================================
■■■■■■■■ 저희 지역은 침수 차 피해가 없는 지역으로 안심하셔도 됩니다■■■■■■■■
★★★저희 매장은 지정 메이져 금융사와 VIP 제휴가 되어있어 금리 혜택이 있습니다★★★
블루오토 혜택1) 개인 및 법인 사업자 구매 시 세금계산서 100% 무료 발급!!!
블루오토 혜택2) 소득공제대상 현금영수증 전액 무료 발급!!!
블루오토 혜택3) 카드결제 시 최저수수료로 가능!!!
===================================================================================
1. 차량설명
- 엔카광고로 등록된 실제 보유중 인 차량임을 강조 드립니다.
- 차량등급 : 그랜저 IG 2.4 프리미엄 스페셜 
- 연식 : 2017년
- 색상 : 네이비
- 주행거리 : 19만 km
- 사고유무 : 단순사고
*차량 점검 및 주행 테스트시 이상 없음을 확인 하였습니다.
2. 차량상태
- 외부 광택 및 실내크리닝 작업으로 쾌적한 상태입니다.
3. 주요옵션
- 네비게이션/후방카메라/블랙박스/하이패스
- 가죽열선/통풍씨트, 조수석 워크인
- 옵션표 참조
4. 성능점검
- 공식인증된 성능장 점검 결과 첨부된 점검표와 같이 하부 및 엔진부분 누유 없음.
- 시운전 시 엔진/미션 떨림 없음.
-판매자, 블로오토 올림-
★ 엔카에서 진단차량 선별 과정은 까다롭습니다.
     첫째. 일반 매매상사 가 아닌  제휴업체 중에서 선정 합니다.
     둘째. 차량도 다 보증이 되는것은 아닙니다. 성능 점검결과를 토대로 선정 합니다.
     셋째. 엔카에서 성능평가사가 직접 파견되어 성능 및 사고여부 를 판단합니다.
     넷째. 모든 항목이 적합하다고 판정되면  진단보증서비스를 받을수 있는 서비스 입니다.</t>
  </si>
  <si>
    <t>2026-01-19T09:56:28</t>
  </si>
  <si>
    <t>2026-01-25T21:56:03</t>
  </si>
  <si>
    <t>2026-01-16T14:37:13</t>
  </si>
  <si>
    <t>["1011"]</t>
  </si>
  <si>
    <t>["001", "004", "005", "006", "007", "008", "014", "015", "017", "019", "020", "021", "022", "023", "024", "026", "027", "030", "031", "032", "033", "034", "035", "051", "055", "056", "057", "058", "063", "071", "072", "074", "077", "079", "081", "082", "083", "085", "086", "088", "092", "094", "096", "097"]</t>
  </si>
  <si>
    <t>7096</t>
  </si>
  <si>
    <t>블루오토</t>
  </si>
  <si>
    <t>김현중</t>
  </si>
  <si>
    <t>[{"code": "015", "path": "/carpicture05/pic4135/41359860_015.jpg", "type": "OPTION", "updateDateTime": "2026-01-19T10:00:33", "desc": null}, {"code": "023", "path": "/carpicture05/pic4135/41359860_023.jpg", "type": "OPTION", "updateDateTime": "2026-01-19T10:00:33", "desc": null}, {"code": "007", "path": "/carpicture05/pic4135/41359860_007.jpg", "type": "INNER", "updateDateTime": "2026-01-19T10:00:33", "desc": null}, {"code": "010", "path": "/carpicture05/pic4135/41359860_010.jpg", "type": "INNER", "updateDateTime": "2026-01-19T10:00:33", "desc": null}, {"code": "017", "path": "/carpicture05/pic4135/41359860_017.jpg", "type": "OPTION", "updateDateTime": "2026-01-19T10:00:33", "desc": null}, {"code": "006", "path": "/carpicture05/pic4135/41359860_006.jpg", "type": "INNER", "updateDateTime": "2026-01-19T10:00:33", "desc": null}, {"code": "024", "path": "/carpicture05/pic4135/41359860_024.jpg", "type": "OPTION", "updateDateTime": "2026-01-19T10:00:33", "desc": null}, {"code": "002", "path": "/carpicture05/pic4135/41359860_002.jpg", "type": "OUTER", "updateDateTime": "2026-01-19T10:00:33", "desc": null}, {"code": "005", "path": "/carpicture05/pic4135/41359860_005.jpg", "type": "OUTER", "updateDateTime": "2026-01-19T10:00:33", "desc": null}, {"code": "008", "path": "/carpicture05/pic4135/41359860_008.jpg", "type": "INNER", "updateDateTime": "2026-01-19T10:00:33", "desc": null}, {"code": "022", "path": "/carpicture05/pic4135/41359860_022.jpg", "type": "OPTION", "updateDateTime": "2026-01-19T10:00:33", "desc": null}, {"code": "003", "path": "/carpicture05/pic4135/41359860_003.jpg", "type": "OUTER", "updateDateTime": "2026-01-19T10:00:33", "desc": null}, {"code": "018", "path": "/carpicture05/pic4135/41359860_018.jpg", "type": "OPTION", "updateDateTime": "2026-01-19T10:00:33", "desc": null}, {"code": "020", "path": "/carpicture05/pic4135/41359860_020.jpg", "type": "OPTION", "updateDateTime": "2026-01-19T10:00:33", "desc": null}, {"code": "016", "path": "/carpicture05/pic4135/41359860_016.jpg", "type": "OPTION", "updateDateTime": "2026-01-19T10:00:33", "desc": null}, {"code": "021", "path": "/carpicture05/pic4135/41359860_021.jpg", "type": "OPTION", "updateDateTime": "2026-01-19T10:00:33", "desc": null}, {"code": "019", "path": "/carpicture05/pic4135/41359860_019.jpg", "type": "OPTION", "updateDateTime": "2026-01-19T10:00:33", "desc": null}, {"code": "001", "path": "/carpicture05/pic4135/41359860_001.jpg", "type": "OUTER", "updateDateTime": "2026-01-19T10:00:33", "desc": null}, {"code": "009", "path": "/carpicture05/pic4135/41359860_009.jpg", "type": "INNER", "updateDateTime": "2026-01-19T10:00:33", "desc": null}, {"code": "004", "path": "/carpicture05/pic4135/41359860_004.jpg", "type": "OUTER", "updateDateTime": "2026-01-19T10:00:33", "desc": null}]</t>
  </si>
  <si>
    <t>38다6030</t>
  </si>
  <si>
    <t>KMHF441CBJA051514</t>
  </si>
  <si>
    <t>RENT_SUCCESSION</t>
  </si>
  <si>
    <t>Gasoline 2.5T 4WD</t>
  </si>
  <si>
    <t>187</t>
  </si>
  <si>
    <t>202402</t>
  </si>
  <si>
    <t>05062279706</t>
  </si>
  <si>
    <t>안녕하세요. PRO Lease 김시욱 입니다.
해당 차량에 관심을 가져주셔 무한한 감사를 드리며
현재 고객님께서 보고 계신 차량은 100% 실매물임을 약속드리며 보장합니다.
해당 차량은  ▶  렌트  ◀  차량입니다. 
★  렌트의 장점 ★
ㆍ초기비용이 저렴하거나 없다.
ㆍ매달 자동차에 지출하는 비용이 적다.
ㆍ일정 계약기간 종료시 반납과 인수를 선택할 수 있으며 중도에 승계 또한 가능하다.
ㆍ반납 인수, 중도승계가 가능하며 감가에 대한 리스크 없이 자유롭게 이용이 가능하다.
ㆍ사고가 나도 보험료 할증이 없다.
ㆍ법인, 개인사업자는 경비처리가 가능하다
ㆍ렌트사 명의로 잡히기때문에 건보료 및 재산세 인상이 없어 절세가 가능하다.
ㆍ사고가 나도 반납시 패널티가 없다.
※  차량 렌트 만기후 잔존가치 금액을 내시고  인수하시거나 추가금 없이 반납하시면 되십니다. (중도 승계도 가능) 
▶차량설명 
- 차    종 : 디 올뉴싼타페 가솔린 2.5 터보 AWD 5인승 캘리그래피
- 연    식 : 2024. 02. 23 (24년식)
- 색    상 : 쥐색 (외장)  / 브라운 (실내)
- 주행거리 : 11,378km (승계차량으로 소폭 증가할 수 있습니다.) 
- 사고유무 : 완전무사고 (성능기록부 조작은 절대 있을 수 없습니다.)
- 옵    션 : 빌트인캠2 프리미엄사운드 듀얼선루프 현대스마트센스 파킹어시스트플러스2
- 연간약정주행거리 : 20,000km
- 보험연령 :  만 26세 이상
- 캐 피 탈 : 하나캐피탈
※※렌트 계약내용※※
월렌트료 : 85만원
잔존가치 : 2,426만원
지원금 : 100만원
잔여개월수 : 잔여 38 / 60개월
★장기렌트승계★
렌트차량의 경우 렌트료 안에 보험료 , 자동차세 , 이자까지 포함이 되어있으며 화물 승합의경우 부가세 환급 또한 가능하여 장점이 많은 차량입니다
해당차량 만기 인수까지 들어가는 비용을 보시는것처럼 할부 구매 방식보다도 월등하게 저렴한 조건으로 인수가 가능한차량입니다
보증금 적용으로 낮은 금리 조건이며 상대적으로 저렴한 월 렌트료로 이용 가능하신 차량이라는점 강조드립니다.
예시 : 3200만원 차량 구매시 취득세 + 할부 이자만 포함하더라도 3800만원 가량 발생합니다
★저렴한월납★
★저금리 렌트승계차량 문의폭발★
1인 신조 센터 관리 완전무사고 차량으로 전차주 분이 깔끔한 관리하였고, 비흡연 차량이며 완벽한 컨디션으로 유지되고 있습니다!
신차급 컨디션의 연비 좋은 차량을 찾으시는 분들에게 완벽한 매물입니다.
유선 문의 시 보다 정확한 안내 도와드리겠습니다!
렌트 차량 특성상 심사이후에 승인나시면 수원에서 차량 보실 수 있다는 점 참고 부탁드립니다!
ㆍ구매 또는 반납 계획이 아니더라도, 운용 도중 대표님 상황과 일정에 맞춰 승계, 매입 정리 도와드리니 편하게 문의주세요.
▶문의방법 
- 연락주시면 친절하고 상세하게 설명을 드리도록 하겠습니다. 전화가 부재중일 시에는 문자를 남겨주시면 확인 후 전화드리겠습니다. 
- 차량은 수원 오토컬렉션(권선구 권선로 341)에서 보실 수 있습니다. 수원역에서 택시로 기본요금 거리에 있습니다.
- 차량 시승도 가능하며 정비업소에서 차량상태 확인도 가능합니다.  
- 현재 타고 계신 차량과 교환도 가능합니다.</t>
  </si>
  <si>
    <t>2026-01-19T09:56:34</t>
  </si>
  <si>
    <t>2025-03-10T11:12:21</t>
  </si>
  <si>
    <t>["1118", "10003", "10002", "10004", "10001"]</t>
  </si>
  <si>
    <t>["001", "004", "005", "006", "007", "008", "010", "014", "015", "017", "019", "020", "021", "022", "023", "024", "026", "027", "030", "031", "032", "033", "034", "035", "051", "055", "056", "057", "058", "059", "062", "063", "072", "074", "075", "077", "079", "081", "082", "083", "084", "085", "086", "087", "088", "091", "092", "094", "095", "096", "097"]</t>
  </si>
  <si>
    <t>3524</t>
  </si>
  <si>
    <t>김시욱</t>
  </si>
  <si>
    <t>[{"code": "011", "path": "/carpicture09/pic3919/39193215_001.jpg", "type": "THUMBNAIL", "updateDateTime": "2025-03-11T17:32:48", "desc": null}, {"code": "021", "path": "/carpicture09/pic3919/39193215_021.jpg", "type": "OPTION", "updateDateTime": "2025-03-11T17:32:48", "desc": "★ 차량상태 양호! / 풀옵션 차량! / 인수까지 깔끔! ★"}, {"code": "007", "path": "/carpicture09/pic3919/39193215_007.jpg", "type": "INNER", "updateDateTime": "2025-03-11T17:32:48", "desc": "★ 차량상태 양호! / 풀옵션 차량! / 인수까지 깔끔! ★"}, {"code": "008", "path": "/carpicture09/pic3919/39193215_008.jpg", "type": "INNER", "updateDateTime": "2025-03-11T17:32:48", "desc": "★ 차량상태 양호! / 풀옵션 차량! / 인수까지 깔끔! ★"}, {"code": "013", "path": "/carpicture09/pic3919/39193215_001.jpg", "type": "THUMBNAIL", "updateDateTime": "2025-03-11T17:32:48", "desc": null}, {"code": "023", "path": "/carpicture09/pic3919/39193215_023.jpg", "type": "OPTION", "updateDateTime": "2025-03-11T17:32:48", "desc": "★ 차량상태 양호! / 풀옵션 차량! / 인수까지 깔끔! ★"}, {"code": "003", "path": "/carpicture09/pic3919/39193215_003.jpg", "type": "OUTER", "updateDateTime": "2025-03-11T17:32:48", "desc": "★ 차량상태 양호! / 풀옵션 차량! / 인수까지 깔끔! ★"}, {"code": "010", "path": "/carpicture09/pic3919/39193215_010.jpg", "type": "INNER", "updateDateTime": "2025-03-11T17:32:48", "desc": "★ 차량상태 양호! / 풀옵션 차량! / 인수까지 깔끔! ★"}, {"code": "025", "path": "/carpicture09/pic3919/39193215_001.jpg", "type": "THUMBNAIL", "updateDateTime": "2025-03-11T17:32:48", "desc": null}, {"code": "020", "path": "/carpicture09/pic3919/39193215_020.jpg", "type": "OPTION", "updateDateTime": "2025-03-11T17:32:48", "desc": "★ 차량상태 양호! / 풀옵션 차량! / 인수까지 깔끔! ★"}, {"code": "022", "path": "/carpicture09/pic3919/39193215_022.jpg", "type": "OPTION", "updateDateTime": "2025-03-11T17:32:48", "desc": "★ 차량상태 양호! / 풀옵션 차량! / 인수까지 깔끔! ★"}, {"code": "019", "path": "/carpicture09/pic3919/39193215_019.jpg", "type": "OPTION", "updateDateTime": "2025-03-11T17:32:48", "desc": "★ 차량상태 양호! / 풀옵션 차량! / 인수까지 깔끔! ★"}, {"code": "018", "path": "/carpicture09/pic3919/39193215_018.jpg", "type": "OPTION", "updateDateTime": "2025-03-11T17:32:48", "desc": "★ 차량상태 양호! / 풀옵션 차량! / 인수까지 깔끔! ★"}, {"code": "024", "path": "/carpicture09/pic3919/39193215_024.jpg", "type": "OPTION", "updateDateTime": "2025-03-11T17:32:48", "desc": "★ 차량상태 양호! / 풀옵션 차량! / 인수까지 깔끔! ★"}, {"code": "002", "path": "/carpicture09/pic3919/39193215_002.jpg", "type": "OUTER", "updateDateTime": "2025-03-11T17:32:48", "desc": "★ 차량상태 양호! / 풀옵션 차량! / 인수까지 깔끔! ★"}, {"code": "016", "path": "/carpicture09/pic3919/39193215_016.jpg", "type": "OPTION", "updateDateTime": "2025-03-11T17:32:48", "desc": "★ 차량상태 양호! / 풀옵션 차량! / 인수까지 깔끔! ★"}, {"code": "006", "path": "/carpicture09/pic3919/39193215_006.jpg", "type": "INNER", "updateDateTime": "2025-03-11T17:32:48", "desc": "★ 차량상태 양호! / 풀옵션 차량! / 인수까지 깔끔! ★"}, {"code": "014", "path": "/carpicture09/pic3919/39193215_007.jpg", "type": "THUMBNAIL", "updateDateTime": "2025-03-11T17:32:48", "desc": null}, {"code": "015", "path": "/carpicture09/pic3919/39193215_015.jpg", "type": "OPTION", "updateDateTime": "2025-03-11T17:32:48", "desc": "★ 차량상태 양호! / 풀옵션 차량! / 인수까지 깔끔! ★"}, {"code": "017", "path": "/carpicture09/pic3919/39193215_017.jpg", "type": "OPTION", "updateDateTime": "2025-03-11T17:32:48", "desc": "★ 차량상태 양호! / 풀옵션 차량! / 인수까지 깔끔! ★"}, {"code": "004", "path": "/carpicture09/pic3919/39193215_004.jpg", "type": "OUTER", "updateDateTime": "2025-03-11T17:32:48", "desc": "★ 차량상태 양호! / 풀옵션 차량! / 인수까지 깔끔! ★"}, {"code": "009", "path": "/carpicture09/pic3919/39193215_009.jpg", "type": "INNER", "updateDateTime": "2025-03-11T17:32:48", "desc": "★ 차량상태 양호! / 풀옵션 차량! / 인수까지 깔끔! ★"}, {"code": "026", "path": "/carpicture09/pic3919/39193215_001.jpg", "type": "THUMBNAIL", "updateDateTime": "2025-03-11T17:32:48", "desc": null}, {"code": "012", "path": "/carpicture09/pic3919/39193215_001.jpg", "type": "THUMBNAIL", "updateDateTime": "2025-03-11T17:32:48", "desc": null}, {"code": "001", "path": "/carpicture09/pic3919/39193215_001.jpg", "type": "OUTER", "updateDateTime": "2025-03-11T17:32:48", "desc": "★ 차량상태 양호! / 풀옵션 차량! / 인수까지 깔끔! ★"}, {"code": "005", "path": "/carpicture09/pic3919/39193215_005.jpg", "type": "OUTER", "updateDateTime": "2025-03-11T17:32:48", "desc": "★ 차량상태 양호! / 풀옵션 차량! / 인수까지 깔끔! ★"}]</t>
  </si>
  <si>
    <t>221하5371</t>
  </si>
  <si>
    <t>KMHP581LHRU018618</t>
  </si>
  <si>
    <t>100</t>
  </si>
  <si>
    <t>021</t>
  </si>
  <si>
    <t>Equus</t>
  </si>
  <si>
    <t>에쿠스</t>
  </si>
  <si>
    <t>201304</t>
  </si>
  <si>
    <t>대구 서구</t>
  </si>
  <si>
    <t>05062013295</t>
  </si>
  <si>
    <t>설명글은 인사말 / 차량상태 / 차주정보 등을 입력하시면 됩니다. 
----------------------인사말--------------------------------- 
인사말을 입력해 보세요. 
안녕하세요. 중고차 전문딜러   CNK모터스 김홍수입니다.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무사고 차량입니다.  
-차    종 :          에쿠스 신형 380 모던  차량입니다
-연    식 :          2013.04
-색     상;          검정색차량입니다
주행거리 :          190000km  
-내 / 외관 : 실내와 실외가 깨끗합니다. . 새차첨럼개끗합니다 한반보시면굿입니다  시승해보시고결정하세요
-관리상태 : 모든 정비를 마친 상태입니다.    현대에서 정검완료  
▶옵션사항 
-외관사양 : 알루미늄 ,  
-내장사양 : ,  열선 시트, 
-안전사양  ABS  블랙박스2체널
- 
. 
----------------------차주정보--------------------------------- 
차량을 운행했던 차주정보 등을 입력해 보세요. 
▶차주정보 
-운행자정보 : , -운행용도 : 출퇴근용으로 사용하여 주행거리가 짧습니다. 
-구입방법 : 신차로 구매하여 운행하던 차량입니다. 
-판매이유 : 이번에 신차를 구매하면서 판매하게 되었습니다. 
----------------------기타--------------------------------- 
문의/판매 방법 등을  입력해 보세요. 
▶문의방법 
-연락주시면 친절하고 상세하게 설명을 드리도록 하겠습니다. 전화가 부재중일시 문자를 남겨주시면 확인후 전화드리겠습니다. 
. 
-차량 시승도 가능하며 정비업소에서 차량상태 확인도 가능합니다.  
-현재 타고 계신 차량과 교환도 가능하며, 대출을 통한 차량구매도 가능합니다. 
----------------------판매자 소개--------------------------------- 
판매자 연락처 등을 입력해 보세요. 
-오시는 길 :대구 서구 문화로37, M월드5층  CNK모터스 김홍수입니다</t>
  </si>
  <si>
    <t>2025-12-25T14:31:24</t>
  </si>
  <si>
    <t>2026-01-25T11:19:22</t>
  </si>
  <si>
    <t>2025-06-12T19:53:49</t>
  </si>
  <si>
    <t>["001", "003", "004", "005", "006", "007", "008", "014", "015", "017", "019", "020", "021", "022", "023", "024", "026", "027", "029", "030", "031", "032", "033", "034", "035", "051", "055", "056", "057", "058", "063", "068", "071", "072", "074", "077", "081", "082", "083", "085", "089", "093", "094", "095", "096", "097"]</t>
  </si>
  <si>
    <t>[{"code": "017", "path": "/carpicture05/pic3985/39854943_017.jpg", "type": "OPTION", "updateDateTime": "2025-06-12T20:07:40", "desc": null}, {"code": "008", "path": "/carpicture05/pic3985/39854943_008.jpg", "type": "INNER", "updateDateTime": "2025-06-12T20:07:40", "desc": null}, {"code": "021", "path": "/carpicture05/pic3985/39854943_021.jpg", "type": "OPTION", "updateDateTime": "2025-06-12T20:07:40", "desc": null}, {"code": "012", "path": "/carpicture05/pic3985/39854943_001.jpg", "type": "THUMBNAIL", "updateDateTime": "2025-06-12T20:07:41", "desc": null}, {"code": "025", "path": "/carpicture05/pic3985/39854943_001.jpg", "type": "THUMBNAIL", "updateDateTime": "2025-06-12T20:07:41", "desc": null}, {"code": "018", "path": "/carpicture05/pic3985/39854943_018.jpg", "type": "OPTION", "updateDateTime": "2025-06-12T20:07:40", "desc": null}, {"code": "004", "path": "/carpicture05/pic3985/39854943_004.jpg", "type": "OUTER", "updateDateTime": "2025-06-12T20:07:40", "desc": null}, {"code": "016", "path": "/carpicture05/pic3985/39854943_016.jpg", "type": "OPTION", "updateDateTime": "2025-06-12T20:07:40", "desc": null}, {"code": "014", "path": "/carpicture05/pic3985/39854943_007.jpg", "type": "THUMBNAIL", "updateDateTime": "2025-06-12T20:07:41", "desc": null}, {"code": "001", "path": "/carpicture05/pic3985/39854943_001.jpg", "type": "OUTER", "updateDateTime": "2025-06-12T20:07:40", "desc": null}, {"code": "024", "path": "/carpicture05/pic3985/39854943_024.jpg", "type": "OPTION", "updateDateTime": "2025-06-12T20:07:40", "desc": null}, {"code": "015", "path": "/carpicture05/pic3985/39854943_015.jpg", "type": "OPTION", "updateDateTime": "2025-06-12T20:07:40", "desc": null}, {"code": "005", "path": "/carpicture05/pic3985/39854943_005.jpg", "type": "OUTER", "updateDateTime": "2025-06-12T20:07:40", "desc": null}, {"code": "006", "path": "/carpicture05/pic3985/39854943_006.jpg", "type": "INNER", "updateDateTime": "2025-06-12T20:07:40", "desc": null}, {"code": "002", "path": "/carpicture05/pic3985/39854943_002.jpg", "type": "OUTER", "updateDateTime": "2025-06-12T20:07:40", "desc": null}, {"code": "026", "path": "/carpicture05/pic3985/39854943_001.jpg", "type": "THUMBNAIL", "updateDateTime": "2025-06-12T20:07:41", "desc": null}, {"code": "010", "path": "/carpicture05/pic3985/39854943_010.jpg", "type": "INNER", "updateDateTime": "2025-06-12T20:07:40", "desc": null}, {"code": "011", "path": "/carpicture05/pic3985/39854943_001.jpg", "type": "THUMBNAIL", "updateDateTime": "2025-06-12T20:07:41", "desc": null}, {"code": "020", "path": "/carpicture05/pic3985/39854943_020.jpg", "type": "OPTION", "updateDateTime": "2025-06-12T20:07:40", "desc": null}, {"code": "007", "path": "/carpicture05/pic3985/39854943_007.jpg", "type": "INNER", "updateDateTime": "2025-06-12T20:07:40", "desc": null}, {"code": "013", "path": "/carpicture05/pic3985/39854943_001.jpg", "type": "THUMBNAIL", "updateDateTime": "2025-06-12T20:07:41", "desc": null}, {"code": "022", "path": "/carpicture05/pic3985/39854943_022.jpg", "type": "OPTION", "updateDateTime": "2025-06-12T20:07:40", "desc": null}, {"code": "019", "path": "/carpicture05/pic3985/39854943_019.jpg", "type": "OPTION", "updateDateTime": "2025-06-12T20:07:40", "desc": null}, {"code": "003", "path": "/carpicture05/pic3985/39854943_003.jpg", "type": "OUTER", "updateDateTime": "2025-06-12T20:07:40", "desc": null}, {"code": "009", "path": "/carpicture05/pic3985/39854943_009.jpg", "type": "INNER", "updateDateTime": "2025-06-12T20:07:40", "desc": null}, {"code": "023", "path": "/carpicture05/pic3985/39854943_023.jpg", "type": "OPTION", "updateDateTime": "2025-06-12T20:07:40", "desc": null}]</t>
  </si>
  <si>
    <t>63수6095</t>
  </si>
  <si>
    <t>2.0 Modern</t>
  </si>
  <si>
    <t>05062341901</t>
  </si>
  <si>
    <t># 중고차 기업 리본카 # 8일800km 환불제!
# 주행거리 무제한 180일 보증수리(유료)
# 침수차/주행거리/허위매물 걱정 No !!
# 리본카만의 저금리 할부 가능(금융사비교)
-------------------------------------------
■ 세일즈 포인트
▶연식대비 깔끔한 관리상태
■ 차량 정보 
▶ 차 량 명 :  LF쏘나타 뉴 라이즈2.0 CVVL 모던
▶ 최초등록 : 2017년 11월
▶ 주행거리 : 36,041KM
▶ 사고유무 :  무 사 고
▶ 추가옵션 
- 8인치 내비게이션 95만원 추가옵션
▶ 신차출고가 : 2,800만원 상당
■ 차량 히스토리 및 특이사항
▶ 성능지 그대로 만나보실수 있습니다.
▶ 입고후 세차,광택 진행완료, 
▶ 생활기스 외 특이사항 없습니다.
■ 출고점검 서비스 적용 차량이며,
얼마전 방영된 프로그램에서 유명연예인이 구매할정도로
믿을만한 회사라고 자부합니다.
차량에 대한 궁금한 점이나 구매방법에 대해 궁금하신점은
언제라도 연락 주십시요.
━━━━━━━━━━━━━━
■ 허위매물 Zero, 침수차 Zero,
■ 출고 시 정비전문가의 출고 점검(수입차,전기차, 주행거리1만km 미만 제외)
(엔진오일 세트 교환, 피톤치드 살균소독, 워셔액/부동액 보충)
■ 연장보증 
 차량 구매일부터 180일 동안 주행거리 무제한( 지구 한바퀴도 OK)
리본카 연장보증 가입 (1회 이용시 자부담금 5만원 발생)
■ 고객님이 타시던 차를 리본카에 매각하시면.
　 구입 하시는 차량을 30만원 할인!
━━━━━━━━━━━━━━
▶오시는길
- 방문전 전화후 방문부탁드립니다. (중복계약이 될수 있습니다!!)
-  대구시 동구 안심로 59길 22 1층 ( 오토 플러스)
- 지하철 1호선 반야월역 4번출구 도보 10분
동대구 지점 허강혁 과장</t>
  </si>
  <si>
    <t>2025-12-19T09:56:08</t>
  </si>
  <si>
    <t>2026-01-23T10:56:03</t>
  </si>
  <si>
    <t>2025-12-18T08:18:09</t>
  </si>
  <si>
    <t>["001", "004", "005", "006", "007", "008", "014", "015", "017", "019", "020", "021", "022", "023", "024", "026", "027", "030", "031", "032", "033", "034", "035", "051", "055", "056", "057", "058", "068", "071", "072", "074", "075", "077", "082", "085", "086", "094", "096", "097"]</t>
  </si>
  <si>
    <t>허강혁</t>
  </si>
  <si>
    <t>[{"code": "005", "path": "/carpicture08/pic4118/41189526_005.jpg", "type": "OUTER", "updateDateTime": "2025-12-19T09:44:11", "desc": null}, {"code": "008", "path": "/carpicture08/pic4118/41189526_008.jpg", "type": "INNER", "updateDateTime": "2025-12-19T09:44:11", "desc": null}, {"code": "016", "path": "/carpicture08/pic4118/41189526_016.jpg", "type": "OPTION", "updateDateTime": "2025-12-19T09:44:11", "desc": null}, {"code": "002", "path": "/carpicture08/pic4118/41189526_002.jpg", "type": "OUTER", "updateDateTime": "2025-12-19T09:44:11", "desc": null}, {"code": "003", "path": "/carpicture08/pic4118/41189526_003.jpg", "type": "OUTER", "updateDateTime": "2025-12-19T09:44:11", "desc": null}, {"code": "024", "path": "/carpicture08/pic4118/41189526_024.jpg", "type": "OPTION", "updateDateTime": "2025-12-19T09:44:11", "desc": null}, {"code": "004", "path": "/carpicture08/pic4118/41189526_004.jpg", "type": "OUTER", "updateDateTime": "2025-12-19T09:44:11", "desc": null}, {"code": "015", "path": "/carpicture08/pic4118/41189526_015.jpg", "type": "OPTION", "updateDateTime": "2025-12-19T09:44:11", "desc": null}, {"code": "007", "path": "/carpicture08/pic4118/41189526_007.jpg", "type": "INNER", "updateDateTime": "2025-12-19T09:44:11", "desc": null}, {"code": "010", "path": "/carpicture08/pic4118/41189526_010.jpg", "type": "INNER", "updateDateTime": "2025-12-19T09:44:11", "desc": null}, {"code": "023", "path": "/carpicture08/pic4118/41189526_023.jpg", "type": "OPTION", "updateDateTime": "2025-12-19T09:44:11", "desc": null}, {"code": "001", "path": "/carpicture08/pic4118/41189526_001.jpg", "type": "OUTER", "updateDateTime": "2025-12-19T09:44:11", "desc": null}, {"code": "021", "path": "/carpicture08/pic4118/41189526_021.jpg", "type": "OPTION", "updateDateTime": "2025-12-19T09:44:11", "desc": null}, {"code": "022", "path": "/carpicture08/pic4118/41189526_022.jpg", "type": "OPTION", "updateDateTime": "2025-12-19T09:44:11", "desc": null}, {"code": "009", "path": "/carpicture08/pic4118/41189526_009.jpg", "type": "INNER", "updateDateTime": "2025-12-19T09:44:11", "desc": null}, {"code": "017", "path": "/carpicture08/pic4118/41189526_017.jpg", "type": "OPTION", "updateDateTime": "2025-12-19T09:44:11", "desc": null}, {"code": "020", "path": "/carpicture08/pic4118/41189526_020.jpg", "type": "OPTION", "updateDateTime": "2025-12-19T09:44:11", "desc": null}, {"code": "006", "path": "/carpicture08/pic4118/41189526_006.jpg", "type": "INNER", "updateDateTime": "2025-12-19T09:44:11", "desc": null}, {"code": "018", "path": "/carpicture08/pic4118/41189526_018.jpg", "type": "OPTION", "updateDateTime": "2025-12-19T09:44:11", "desc": null}, {"code": "019", "path": "/carpicture08/pic4118/41189526_019.jpg", "type": "OPTION", "updateDateTime": "2025-12-19T09:44:11", "desc": null}]</t>
  </si>
  <si>
    <t>145더5824</t>
  </si>
  <si>
    <t>KMHE341CBJA393568</t>
  </si>
  <si>
    <t>202108</t>
  </si>
  <si>
    <t>인천 서구 봉수대로 158</t>
  </si>
  <si>
    <t>05062042416</t>
  </si>
  <si>
    <t xml:space="preserve">안녕하세요 
인천 엠파크타워 B15호 유원모터스 장광진 부장입니다.
이치량의 가장 큰 장점은 휀다 하나만 단순 교환된 무사고 차량이고요
성능에서 보시는 것과 같이 중고차에서 가장 중요한 엔진 미션쪽 및 각종 부위에 누유 일체 없을 뿐더러 엔진 미션은 정말 정숙하고 일체 트러블 없는 그림같은 차량입니다
본 딜러는 차량 인수후 본인이 직접 꼼꼼히 검수 및 성능상에 이상이 없을시 완벽한 상태로 광고 올리니 믿고 구매하셔도 됩니다.
말로만 좋다라고 긴말 안하겠습니다
직접 오셔서 꼼꼼히 보시고 판단해주세요
제가 설명드린 내용에 100프로 공감하실겁니다
차량상태 자신합니다
귀한 시간 내주셨는데 헛걸음 하시지 않게
최선을 다하겠습니다
더궁금하신점은 연락주세요 
항상 열려 있습니다
감사합니다 ^^
</t>
  </si>
  <si>
    <t>2025-12-17T16:56:35</t>
  </si>
  <si>
    <t>2026-01-11T23:56:03</t>
  </si>
  <si>
    <t>2025-12-17T16:51:00</t>
  </si>
  <si>
    <t>["1043", "1040"]</t>
  </si>
  <si>
    <t>["001", "004", "005", "006", "007", "008", "014", "015", "017", "019", "020", "021", "022", "023", "024", "026", "027", "030", "031", "032", "033", "034", "055", "056", "057", "058", "062", "063", "072", "074", "077", "079", "082", "084", "085", "086", "088", "090", "094", "096", "097"]</t>
  </si>
  <si>
    <t>1211</t>
  </si>
  <si>
    <t>유원모터스</t>
  </si>
  <si>
    <t>장광진</t>
  </si>
  <si>
    <t>[{"code": "004", "path": "/carpicture08/pic4118/41187820_004.jpg", "type": "OUTER", "updateDateTime": "2025-12-17T16:55:51", "desc": null}, {"code": "017", "path": "/carpicture08/pic4118/41187820_017.jpg", "type": "OPTION", "updateDateTime": "2025-12-17T16:55:51", "desc": null}, {"code": "002", "path": "/carpicture08/pic4118/41187820_002.jpg", "type": "OUTER", "updateDateTime": "2025-12-17T16:55:51", "desc": null}, {"code": "001", "path": "/carpicture08/pic4118/41187820_001.jpg", "type": "OUTER", "updateDateTime": "2025-12-17T16:55:51", "desc": null}, {"code": "020", "path": "/carpicture08/pic4118/41187820_020.jpg", "type": "OPTION", "updateDateTime": "2025-12-17T16:55:51", "desc": null}, {"code": "015", "path": "/carpicture08/pic4118/41187820_015.jpg", "type": "OPTION", "updateDateTime": "2025-12-17T16:55:51", "desc": null}, {"code": "024", "path": "/carpicture08/pic4118/41187820_024.jpg", "type": "OPTION", "updateDateTime": "2025-12-17T16:55:51", "desc": null}, {"code": "008", "path": "/carpicture08/pic4118/41187820_008.jpg", "type": "INNER", "updateDateTime": "2025-12-17T16:55:51", "desc": null}, {"code": "016", "path": "/carpicture08/pic4118/41187820_016.jpg", "type": "OPTION", "updateDateTime": "2025-12-17T16:55:51", "desc": null}, {"code": "021", "path": "/carpicture08/pic4118/41187820_021.jpg", "type": "OPTION", "updateDateTime": "2025-12-17T16:55:51", "desc": null}, {"code": "023", "path": "/carpicture08/pic4118/41187820_023.jpg", "type": "OPTION", "updateDateTime": "2025-12-17T16:55:51", "desc": null}, {"code": "022", "path": "/carpicture08/pic4118/41187820_022.jpg", "type": "OPTION", "updateDateTime": "2025-12-17T16:55:51", "desc": null}, {"code": "019", "path": "/carpicture08/pic4118/41187820_019.jpg", "type": "OPTION", "updateDateTime": "2025-12-17T16:55:51", "desc": null}, {"code": "007", "path": "/carpicture08/pic4118/41187820_007.jpg", "type": "INNER", "updateDateTime": "2025-12-17T16:55:51", "desc": null}, {"code": "003", "path": "/carpicture08/pic4118/41187820_003.jpg", "type": "OUTER", "updateDateTime": "2025-12-17T16:55:51", "desc": null}, {"code": "009", "path": "/carpicture08/pic4118/41187820_009.jpg", "type": "INNER", "updateDateTime": "2025-12-17T16:55:51", "desc": null}, {"code": "006", "path": "/carpicture08/pic4118/41187820_006.jpg", "type": "INNER", "updateDateTime": "2025-12-17T16:55:51", "desc": null}, {"code": "010", "path": "/carpicture08/pic4118/41187820_010.jpg", "type": "INNER", "updateDateTime": "2025-12-17T16:55:51", "desc": null}, {"code": "018", "path": "/carpicture08/pic4118/41187820_018.jpg", "type": "OPTION", "updateDateTime": "2025-12-17T16:55:51", "desc": null}, {"code": "005", "path": "/carpicture08/pic4118/41187820_005.jpg", "type": "OUTER", "updateDateTime": "2025-12-17T16:55:51", "desc": null}]</t>
  </si>
  <si>
    <t>339어5016</t>
  </si>
  <si>
    <t>KMHR281ABNU371314</t>
  </si>
  <si>
    <t>4WD Tourer 9-Seater</t>
  </si>
  <si>
    <t>202209</t>
  </si>
  <si>
    <t>경기 안산시 단원구</t>
  </si>
  <si>
    <t>05062040625</t>
  </si>
  <si>
    <t>본인은 (사)한국자동차협회(KAA)의 자격검정시험을 취득한 '자동차전문평가사' 입니다. 
이 차량을 직접 매입하여 시운전 점검/수리, 광택/크리닝, 촬영/광고 후 매장 전시까지 직접 제 손과 발로 상품화한 실차량입니다.
[ 무사고 ] [비흡연]
실내외 모두 깨끗합니다. 광택 및 실내크리닝 완료!
- 멀티미디어 내비 플러스 II(200만원) 추가
- 데크1(135만원) 추가
- 데크2(125만원) 추가
- 익스테리어디자인 (110만원) 추가
- 컴포트 (70만원) 추가
- 스마트키2개. 2채널블랙박스 外
믿고 구매하세요. 전국 어디서든 보증해드립니다.
+ [현대자동차] 엔진/미션 신차보증
+ [엔카진단보증] 3개월/5천Km 보증
+ [신한ez손해보험 성능보증] 성능점검상태점검 책임보험 가입
  정비업소 함께 운영하고 있습니다.
  혹시라도 부족한 사항이나 정비할 사항이 있다면 체크하여 출고합니다.
  출고 후 이상 시 책임수리도 약속드립니다.
  기타 알선수수료 받지 않습니다!
[홈 탁송서비스] + [타던차와 맞교환] + [최저이율 다이렉트할부]
타지역에서 오시는 분들은 미리 연락주시면 4호선 안산역, 안산시외버스터미널 또는 광명역(KTX)으로 모시러 갑니다.
사정상 방문이 힘든 경우 원하시는 장소로 직접 방문 또는 탁송으로 매매를 진행해 드립니다.</t>
  </si>
  <si>
    <t>2025-12-18T16:56:16</t>
  </si>
  <si>
    <t>2026-01-25T23:56:02</t>
  </si>
  <si>
    <t>2025-12-18T14:29:33</t>
  </si>
  <si>
    <t>["10003", "10002", "10005", "10004", "10001"]</t>
  </si>
  <si>
    <t>["001", "004", "005", "006", "007", "008", "014", "015", "017", "019", "020", "021", "022", "023", "024", "026", "027", "030", "031", "032", "033", "034", "055", "056", "057", "058", "059", "072", "074", "075", "077", "079", "082", "085", "086", "087", "088", "094", "096", "097"]</t>
  </si>
  <si>
    <t>6850</t>
  </si>
  <si>
    <t>[{"code": "171", "name": "엔카진단센터 안산 오토돔", "major": true, "telephoneNumber": "031-8084-7091", "address": "경기 안산시 단원구 풍전로 53 안산 오토돔 1층"}]</t>
  </si>
  <si>
    <t>일등자동차</t>
  </si>
  <si>
    <t>이병관</t>
  </si>
  <si>
    <t>[{"code": "001", "path": "/carpicture09/pic4119/41194026_001.jpg", "type": "OUTER", "updateDateTime": "2025-12-18T16:55:36", "desc": null}, {"code": "024", "path": "/carpicture09/pic4119/41194026_024.jpg", "type": "OPTION", "updateDateTime": "2025-12-18T16:55:36", "desc": null}, {"code": "020", "path": "/carpicture09/pic4119/41194026_020.jpg", "type": "OPTION", "updateDateTime": "2025-12-18T16:55:36", "desc": null}, {"code": "006", "path": "/carpicture09/pic4119/41194026_006.jpg", "type": "INNER", "updateDateTime": "2025-12-18T16:55:36", "desc": null}, {"code": "018", "path": "/carpicture09/pic4119/41194026_018.jpg", "type": "OPTION", "updateDateTime": "2025-12-18T16:55:36", "desc": null}, {"code": "022", "path": "/carpicture09/pic4119/41194026_022.jpg", "type": "OPTION", "updateDateTime": "2025-12-18T16:55:36", "desc": null}, {"code": "003", "path": "/carpicture09/pic4119/41194026_003.jpg", "type": "OUTER", "updateDateTime": "2025-12-18T16:55:36", "desc": null}, {"code": "007", "path": "/carpicture09/pic4119/41194026_007.jpg", "type": "INNER", "updateDateTime": "2025-12-18T16:55:36", "desc": null}, {"code": "021", "path": "/carpicture09/pic4119/41194026_021.jpg", "type": "OPTION", "updateDateTime": "2025-12-18T16:55:36", "desc": null}, {"code": "023", "path": "/carpicture09/pic4119/41194026_023.jpg", "type": "OPTION", "updateDateTime": "2025-12-18T16:55:36", "desc": null}, {"code": "004", "path": "/carpicture09/pic4119/41194026_004.jpg", "type": "OUTER", "updateDateTime": "2025-12-18T16:55:36", "desc": null}, {"code": "005", "path": "/carpicture09/pic4119/41194026_005.jpg", "type": "OUTER", "updateDateTime": "2025-12-18T16:55:36", "desc": null}, {"code": "016", "path": "/carpicture09/pic4119/41194026_016.jpg", "type": "OPTION", "updateDateTime": "2025-12-18T16:55:36", "desc": null}, {"code": "009", "path": "/carpicture09/pic4119/41194026_009.jpg", "type": "INNER", "updateDateTime": "2025-12-18T16:55:36", "desc": null}, {"code": "010", "path": "/carpicture09/pic4119/41194026_010.jpg", "type": "INNER", "updateDateTime": "2025-12-18T16:55:36", "desc": null}, {"code": "002", "path": "/carpicture09/pic4119/41194026_002.jpg", "type": "OUTER", "updateDateTime": "2025-12-18T16:55:36", "desc": null}, {"code": "017", "path": "/carpicture09/pic4119/41194026_017.jpg", "type": "OPTION", "updateDateTime": "2025-12-18T16:55:36", "desc": null}, {"code": "008", "path": "/carpicture09/pic4119/41194026_008.jpg", "type": "INNER", "updateDateTime": "2025-12-18T16:55:36", "desc": null}, {"code": "015", "path": "/carpicture09/pic4119/41194026_015.jpg", "type": "OPTION", "updateDateTime": "2025-12-18T16:55:36", "desc": null}, {"code": "019", "path": "/carpicture09/pic4119/41194026_019.jpg", "type": "OPTION", "updateDateTime": "2025-12-18T16:55:36", "desc": null}]</t>
  </si>
  <si>
    <t>209부4331</t>
  </si>
  <si>
    <t>KMHYA811DPU079111</t>
  </si>
  <si>
    <t>1.4 Turbo</t>
  </si>
  <si>
    <t>140</t>
  </si>
  <si>
    <t>201712</t>
  </si>
  <si>
    <t>05062356348</t>
  </si>
  <si>
    <t>----------------------인사말--------------------------------- 
안녕하세요. 고객님과인연을 소중히생각하는 지티오토 정상호 팀장 입니다.
제가 판매하고있는 차량은 전문평가사가 엄선하여 진단한 차량으로,
성능점검 후 다시 엔카광고지원센터로 차량을 가지고 직접 방문하여 총 2회에
걸쳐 검수 받은 진단 평가 차량으로, 성능을 두 번 확인하는 셈이니 소비자 입장에서 안심할 수 있습니다.
고객님이 직접 확인이 곤란한 주행거리, 사고유무, 옵션 등을 걱정 없이 엔카가 진단하고 선별해 믿을 수 있다는게 장점 입니다.
또한 본 차량은 제가 직접 보유하고 있는 원차주 차량으로, 100% 실매물임이기에 엔카와 제휴로 진단평가가 가능한 차량입니다. 
차량에 관심을 가져주셔서 대단히 감사합니다. 
※본 차량은 절대로 허위매물이 아니며, 성능점검 후 다시 엔카 지원센터에 직접 방문하여 총 2회에
  걸쳐 검수 받은 진단 평가 차량으로,  저희 지티오토는 엔카와 함께 업무협약을 통해
  허위매물 근절에 힘쓰고 있으며, 실매물은 물론 차량상태 고지를 의무화하여 신뢰를 바탕으로 운영되고있습니다.
◆차량 안내
- 차종: i30(PD) 1.4 터보 프리미엄
- 연식 : 2018 년 (2017년 12월 최초등록)
- 주행거리 :152,000km
- 사고유무 :완전무사고
-차량장점
◆완전무사고
◆1인신조
◆어드밴스 스마트크루즈
◆차선이탈 보조
◆네비&amp;후방카메라
◆후측방경보
◆용도X
◆차량깔끔
◆성능올양호
◆키2개
--차량구매시 주의사항-- 
* 매매 계약서 작성시 차량의 상태와 사고유무가 기재된 ＇성능점검기록부＇를 꼭 보관하셔야만 광고내용과 
실제 상태가 상이했을 때 법적인 근거가 되니 참고바랍니다. 
* 현재 판매중인 차량인지 꼭 확인하시고 광고상의 연식이나 등급/사고유무 등 차량상태 및 정보를 실제 차량을 보고 
정확하게 확인해야 합니다. 
* 차량은 고객님이 보호 받으실수 있는 관허 업체에서 안전하게 구입하셔야 믿으실수 있습니다. 
(관인계약서를 사용 하여야 거래의 안전을 보장 받을수 있습니다) 
〓〓〓〓〓〓〓〓〓〓〓〓〓〓〓〓〓▶ 판매자 정보 ◀ 〓〓〓〓〓〓〓〓〓〓〓〓〓〓〓〓〓 
●오시는 길 안내
  주소 : 인천시 서구 봉수대로158, 엠파크 타워, 지티오토
         정상호 팀장
저희  지티 오토는 엔카와 함께 업무협약을 통한 허위매물 근절에 힘쓰고 있으며,
실매물은 물론 차량상태 고지를 의무화하여 신뢰를 바탕으로 운영되고있는 매매상사입니다.
저역시 딜러로써 일을 해 온 지금까지 한번의 사건, 사고도 없이 투명한 거래를 진행해왔으며, 
차를 거래하신 많은 고객분들과 지속적으로 연락할 정도로 좋은 인연을 만들어오고 있습니다.
▶문의방법 
-연락주시면 친절하고 상세하게 설명을 드리도록 하겠습니다. 전화가 부재중일시 문자를 남겨주시면 확인후 전화드리겠습니다. 
-차량은 인천 서구 가좌동 엠파크타워에서 보실 수 있어요. 
-가격은 절충이 가능합니다. 
-차량 시승도 가능하며 정비업소에서 차량상태 확인도 가능합니다.  
-현재 타고 계신 차량과 교환도 가능하며, 대출을 통한 차량구매도 가능합니다.</t>
  </si>
  <si>
    <t>2026-01-06T16:56:39</t>
  </si>
  <si>
    <t>2026-01-13T13:56:02</t>
  </si>
  <si>
    <t>2026-01-05T08:02:15</t>
  </si>
  <si>
    <t>["001", "004", "005", "006", "007", "008", "014", "015", "017", "019", "020", "022", "023", "024", "026", "027", "030", "031", "032", "033", "055", "056", "057", "058", "071", "072", "074", "075", "079", "082", "085", "086", "088", "094", "096", "097"]</t>
  </si>
  <si>
    <t>5944</t>
  </si>
  <si>
    <t>(주)지티오토컴퍼니</t>
  </si>
  <si>
    <t>정상호</t>
  </si>
  <si>
    <t>[{"code": "007", "path": "/carpicture07/pic4127/41274924_007.jpg", "type": "INNER", "updateDateTime": "2026-01-06T16:52:45", "desc": null}, {"code": "001", "path": "/carpicture07/pic4127/41274924_001.jpg", "type": "OUTER", "updateDateTime": "2026-01-06T16:52:45", "desc": null}, {"code": "019", "path": "/carpicture07/pic4127/41274924_019.jpg", "type": "OPTION", "updateDateTime": "2026-01-06T16:52:45", "desc": null}, {"code": "016", "path": "/carpicture07/pic4127/41274924_016.jpg", "type": "OPTION", "updateDateTime": "2026-01-06T16:52:45", "desc": null}, {"code": "023", "path": "/carpicture07/pic4127/41274924_023.jpg", "type": "OPTION", "updateDateTime": "2026-01-06T16:52:45", "desc": null}, {"code": "018", "path": "/carpicture07/pic4127/41274924_018.jpg", "type": "OPTION", "updateDateTime": "2026-01-06T16:52:45", "desc": null}, {"code": "021", "path": "/carpicture07/pic4127/41274924_021.jpg", "type": "OPTION", "updateDateTime": "2026-01-06T16:52:45", "desc": null}, {"code": "022", "path": "/carpicture07/pic4127/41274924_022.jpg", "type": "OPTION", "updateDateTime": "2026-01-06T16:52:45", "desc": null}, {"code": "010", "path": "/carpicture07/pic4127/41274924_010.jpg", "type": "INNER", "updateDateTime": "2026-01-06T16:52:45", "desc": null}, {"code": "017", "path": "/carpicture07/pic4127/41274924_017.jpg", "type": "OPTION", "updateDateTime": "2026-01-06T16:52:45", "desc": null}, {"code": "009", "path": "/carpicture07/pic4127/41274924_009.jpg", "type": "INNER", "updateDateTime": "2026-01-06T16:52:45", "desc": null}, {"code": "006", "path": "/carpicture07/pic4127/41274924_006.jpg", "type": "INNER", "updateDateTime": "2026-01-06T16:52:45", "desc": null}, {"code": "024", "path": "/carpicture07/pic4127/41274924_024.jpg", "type": "OPTION", "updateDateTime": "2026-01-06T16:52:45", "desc": null}, {"code": "015", "path": "/carpicture07/pic4127/41274924_015.jpg", "type": "OPTION", "updateDateTime": "2026-01-06T16:52:45", "desc": null}, {"code": "002", "path": "/carpicture07/pic4127/41274924_002.jpg", "type": "OUTER", "updateDateTime": "2026-01-06T16:52:45", "desc": null}, {"code": "020", "path": "/carpicture07/pic4127/41274924_020.jpg", "type": "OPTION", "updateDateTime": "2026-01-06T16:52:45", "desc": null}, {"code": "005", "path": "/carpicture07/pic4127/41274924_005.jpg", "type": "OUTER", "updateDateTime": "2026-01-06T16:52:45", "desc": null}, {"code": "004", "path": "/carpicture07/pic4127/41274924_004.jpg", "type": "OUTER", "updateDateTime": "2026-01-06T16:52:45", "desc": null}, {"code": "008", "path": "/carpicture07/pic4127/41274924_008.jpg", "type": "INNER", "updateDateTime": "2026-01-06T16:52:45", "desc": null}, {"code": "003", "path": "/carpicture07/pic4127/41274924_003.jpg", "type": "OUTER", "updateDateTime": "2026-01-06T16:52:45", "desc": null}]</t>
  </si>
  <si>
    <t>39부4501</t>
  </si>
  <si>
    <t>KMHH151AGJU032267</t>
  </si>
  <si>
    <t>Modern Tech</t>
  </si>
  <si>
    <t>1.6 Turbo 2WD</t>
  </si>
  <si>
    <t>146</t>
  </si>
  <si>
    <t>055</t>
  </si>
  <si>
    <t>Kona</t>
  </si>
  <si>
    <t>201903</t>
  </si>
  <si>
    <t>서울 강서구 양천로 390</t>
  </si>
  <si>
    <t>05062125206</t>
  </si>
  <si>
    <t xml:space="preserve">▶차량설명 
-사고여부 : 무사고 차량입니다. 
-차    종 : 현대 코나1.6터보 모더테크
-연    식 : 2019년 3월 
-색    상 : 관리용이한 쥐색입니다. 
-주행거리 : 77,000km 로 짧습니다. 
-내 / 외관 : 실내와 실외가 깨끗합니다. 
-관리상태 : 엔진,미션및 하체 잡소리없습니다....
▶차주정보 
-운행자정보 : 비흡자 
-운행용도 : 출퇴근용으로 사용하여 주행거리가 짧습니다. 
-판매이유 : 이번에 신차를 구매하면서 판매하게 되었습니다. 
▶문의방법 
-연락주시면 친절하고 상세하게 설명을 드리도록 하겠습니다. 전화가 부재중일시 문자를 남겨주시면 확인후 전화드리겠습니다. 
-차량은 서울 강서구에서 보실 수 있어요. 
-차량 시승도 가능하며 정비업소에서 차량상태 확인도 가능합니다.  
-현재 타고 계신 차량과 교환도 가능하며, 대출을 통한 차량구매도 가능합니다. 
----------------------판매자 소개--------------------------------- 
-오시는 길 : 지하철 이용하시면 9호선 양천향교역 5번 출구 5분 거리........................
</t>
  </si>
  <si>
    <t>2026-01-02T16:56:57</t>
  </si>
  <si>
    <t>2026-01-02T14:32:32</t>
  </si>
  <si>
    <t>["10001", "10003", "10004"]</t>
  </si>
  <si>
    <t>["001", "004", "005", "006", "007", "008", "014", "015", "017", "019", "020", "021", "022", "023", "024", "026", "027", "030", "031", "032", "033", "034", "055", "056", "057", "058", "062", "068", "071", "072", "074", "077", "081", "082", "085", "086", "096", "097"]</t>
  </si>
  <si>
    <t>7149</t>
  </si>
  <si>
    <t>[{"code": "032", "name": "엔카진단센터 강서 오토플랙스", "major": true, "telephoneNumber": "02-2068-4223", "address": "서울 강서구 양천로 390 강서오토플랙스 B126, 127호"}]</t>
  </si>
  <si>
    <t>(주)올뉴모터스</t>
  </si>
  <si>
    <t>노승현</t>
  </si>
  <si>
    <t>[{"code": "023", "path": "/carpicture07/pic4127/41270430_023.jpg", "type": "OPTION", "updateDateTime": "2026-01-02T17:12:00", "desc": null}, {"code": "018", "path": "/carpicture07/pic4127/41270430_018.jpg", "type": "OPTION", "updateDateTime": "2026-01-02T17:12:00", "desc": null}, {"code": "007", "path": "/carpicture07/pic4127/41270430_007.jpg", "type": "INNER", "updateDateTime": "2026-01-02T17:12:00", "desc": null}, {"code": "015", "path": "/carpicture07/pic4127/41270430_015.jpg", "type": "OPTION", "updateDateTime": "2026-01-02T17:12:00", "desc": null}, {"code": "022", "path": "/carpicture07/pic4127/41270430_022.jpg", "type": "OPTION", "updateDateTime": "2026-01-02T17:12:00", "desc": null}, {"code": "003", "path": "/carpicture07/pic4127/41270430_003.jpg", "type": "OUTER", "updateDateTime": "2026-01-02T17:12:00", "desc": null}, {"code": "017", "path": "/carpicture07/pic4127/41270430_017.jpg", "type": "OPTION", "updateDateTime": "2026-01-02T17:12:00", "desc": null}, {"code": "016", "path": "/carpicture07/pic4127/41270430_016.jpg", "type": "OPTION", "updateDateTime": "2026-01-02T17:12:00", "desc": null}, {"code": "019", "path": "/carpicture07/pic4127/41270430_019.jpg", "type": "OPTION", "updateDateTime": "2026-01-02T17:12:00", "desc": null}, {"code": "005", "path": "/carpicture07/pic4127/41270430_005.jpg", "type": "OUTER", "updateDateTime": "2026-01-02T17:12:00", "desc": null}, {"code": "010", "path": "/carpicture07/pic4127/41270430_010.jpg", "type": "INNER", "updateDateTime": "2026-01-02T17:12:00", "desc": null}, {"code": "002", "path": "/carpicture07/pic4127/41270430_002.jpg", "type": "OUTER", "updateDateTime": "2026-01-02T17:12:00", "desc": null}, {"code": "006", "path": "/carpicture07/pic4127/41270430_006.jpg", "type": "INNER", "updateDateTime": "2026-01-02T17:12:00", "desc": null}, {"code": "009", "path": "/carpicture07/pic4127/41270430_009.jpg", "type": "INNER", "updateDateTime": "2026-01-02T17:12:00", "desc": null}, {"code": "021", "path": "/carpicture07/pic4127/41270430_021.jpg", "type": "OPTION", "updateDateTime": "2026-01-02T17:12:00", "desc": null}, {"code": "001", "path": "/carpicture07/pic4127/41270430_001.jpg", "type": "OUTER", "updateDateTime": "2026-01-02T17:12:00", "desc": null}, {"code": "004", "path": "/carpicture07/pic4127/41270430_004.jpg", "type": "OUTER", "updateDateTime": "2026-01-02T17:12:00", "desc": null}, {"code": "008", "path": "/carpicture07/pic4127/41270430_008.jpg", "type": "INNER", "updateDateTime": "2026-01-02T17:12:00", "desc": null}, {"code": "020", "path": "/carpicture07/pic4127/41270430_020.jpg", "type": "OPTION", "updateDateTime": "2026-01-02T17:12:00", "desc": null}, {"code": "024", "path": "/carpicture07/pic4127/41270430_024.jpg", "type": "OPTION", "updateDateTime": "2026-01-02T17:12:00", "desc": null}]</t>
  </si>
  <si>
    <t>53가8811</t>
  </si>
  <si>
    <t>KMHK4815GKU339384</t>
  </si>
  <si>
    <t>201804</t>
  </si>
  <si>
    <t>05062334559</t>
  </si>
  <si>
    <t>┌────────────────────────────────────────────────┐
 안녕하십니까 고객님
수원 오토컬렉션 아차차 송현석 팀장입니다.
우선 차량에 관심을 가져주셔서 대단히 감사합니다. 
현재 고객님께서 보시고있는 차량은 딜러 본인이 매입하고 점검한 실매물입니다.
★다른 사람의 차를 알선하여 판매하는게 아닌 제가 직접 매입한 차량만 광고하여 판매합니다★
거품낀 금액이 아닌 차주 실입금가격으로
광고되는 부분이라 유선상으로 금액절충은 불가한점 미리 고지해드립니다.
이 차량을 저보다 싸게 팔 수 있는 딜러는 세상에 없습니다.
출장중일 경우가 있으니 미리 연락주셔서 방문예약 부탁드립니다.
└────────────────────────────────────────────────┘
▒▒▒▒▒▒▒▒▒▒▒▒▒▒▒▒▒▒▒▒▒▒▒▒▒▒▒▒▒▒▒▒▒▒▒▒▒▒▒▒▒▒▒▒▒▒▒▒▒▒
【차량 프로필】
♣ 차    명  : [현대] 싼타페(TM) R2.2 2WD 익스클루시브
♣ 사고여부 : 완전 무사고
♣ 연    식 : 2019년형 / 2018년 04월 등록
♣ 색    상 : 흰색
♣ 주행거리 : 146,529km
♣ 내 / 외관 : 상품화 완료되어 실내와 실외가 깨끗합니다.
▒▒▒▒▒▒▒▒▒▒▒▒▒▒▒▒▒▒▒▒▒▒▒▒▒▒▒▒▒▒▒▒▒▒▒▒▒▒▒▒▒▒▒▒▒▒▒▒▒▒
【옵션 사항】
♣ 순정 HUD 장착!!
♣ LED 헤드램프
♣ ACC 어댑티브 스마트 크루즈 컨트롤
♣ 차선 이탈 경보 시스템
♣ 파워 전동 트렁크
♣ 열선 시트 ,통풍 시트
♣ 열선 핸들
▒▒▒▒▒▒▒▒▒▒▒▒▒▒▒▒▒▒▒▒▒▒▒▒▒▒▒▒▒▒▒▒▒▒▒▒▒▒▒▒▒▒▒▒▒▒▒▒▒▒
【차량의 특징】
♣ only 수원! SAFE6 보증 프로그램 가입 완료 차량입니다! (보험료 딜러부담) 6개월/10,000km 동안 기본 한달 보증 품목보다 훨씬 다양한 품목을 보증 받으실 수 있습니다! (보험사 KB)
♣ 내,외관 연식대비 관리된 상태
♣ 딜러 본인이 차주이며 따라서 밤,낮 시간 제약없이 언제든 진행 및 출고까지 가능합니다.
♣ 해당 차량은 단지내에 실내주차되며 매주 시동작업, 관리상태 체크하오니 안심하시기 바랍니다. 
▒▒▒▒▒▒▒▒▒▒▒▒▒▒▒▒▒▒▒▒▒▒▒▒▒▒▒▒▒▒▒▒▒▒▒▒▒▒▒▒▒▒▒▒▒▒▒▒▒▒
【진행시 추가정보】
♣ 연락주시면 친절하게 모시겠습니다! 전화가 부재중일시 문자를 남겨주시면 확인 후 전화드리겠습니다.
♣ 차량은 외부주차장에 주차되어 있을 수 있으니 미리 연락주시면 바로 차량 보실 수 있게 안내해드립니다.
♣ 네비게이션,후방카메라,블랙박스 작업 또는 정비보실 부분은 딜러전용 제휴업체 통해 20%이상 저렴한 가격에 시공 후 출고 가능하십니다.  
♣ 전손, 침수, 주행거리조작 차량은 일절 매입,판매 모두 취급하지 않습니다. (법적 환불 사유)
♣ 시승도 가능하시며 바로 단지내에서 차량상태 리프트 점검도 가능합니다.
♣ 법인사업자 명의로 이전을 원하시면 미리 말씀 부탁드립니다. 필요서류가 몇가지 있으니 안내해 드립니다.
♣ 현재 타고 계신 차량과 대차거래도 가능하며, 차량 검차 후 최고가로 금액 맞춰드립니다.
♣ 현금구매, 카드구매, 저신용 할부, 저금리 할부구매(여유자금+이전부대비용+보험료)도 가능합니다. 
♣ 방문 계약이 어려우신 고객님은 당일탁송 or 전국출장판매(계약금5%)도 가능합니다. 자신있게 소개해드리는 차량입니다.
♣ 지불하신 금액은 모두 증빙이 가능하며, [차량대금, 상사매도비] 부가세포함 계산서 및 현금영수증 발급됩니다. 
♣ 365일 연중무휴 24시간 출고 가능합니다. 늦은시간에 전화주신다고 부담갖지 않으셔도 됩니다! (사무실-자택 15분거리)
♣ 오시는 길 : 지하철 이용하시면 1호선 수원역 4번 출구에서 차로 5분 거리! (대중교통 이용시 직접 모시러 갑니다)
♣ 주소 : 수원시 권선구 권선로 341 (서둔동79-9) 410호 아차차</t>
  </si>
  <si>
    <t>2025-12-31T10:56:11</t>
  </si>
  <si>
    <t>2026-01-18T22:56:03</t>
  </si>
  <si>
    <t>2025-12-31T10:31:46</t>
  </si>
  <si>
    <t>["1013", "1004"]</t>
  </si>
  <si>
    <t>["001", "004", "005", "006", "007", "008", "014", "015", "017", "019", "020", "021", "022", "023", "024", "026", "027", "030", "031", "032", "033", "034", "055", "056", "057", "058", "059", "062", "063", "071", "072", "074", "075", "077", "079", "082", "085", "088", "094", "096", "097"]</t>
  </si>
  <si>
    <t>4829</t>
  </si>
  <si>
    <t>아차차</t>
  </si>
  <si>
    <t>송현석</t>
  </si>
  <si>
    <t>[{"code": "023", "path": "/carpicture05/pic4125/41259286_023.jpg", "type": "OPTION", "updateDateTime": "2025-12-31T10:56:05", "desc": null}, {"code": "004", "path": "/carpicture05/pic4125/41259286_004.jpg", "type": "OUTER", "updateDateTime": "2025-12-31T10:56:05", "desc": null}, {"code": "018", "path": "/carpicture05/pic4125/41259286_018.jpg", "type": "OPTION", "updateDateTime": "2025-12-31T10:56:05", "desc": null}, {"code": "007", "path": "/carpicture05/pic4125/41259286_007.jpg", "type": "INNER", "updateDateTime": "2025-12-31T10:56:05", "desc": null}, {"code": "003", "path": "/carpicture05/pic4125/41259286_003.jpg", "type": "OUTER", "updateDateTime": "2025-12-31T10:56:05", "desc": null}, {"code": "017", "path": "/carpicture05/pic4125/41259286_017.jpg", "type": "OPTION", "updateDateTime": "2025-12-31T10:56:05", "desc": null}, {"code": "009", "path": "/carpicture05/pic4125/41259286_009.jpg", "type": "INNER", "updateDateTime": "2025-12-31T10:56:05", "desc": null}, {"code": "020", "path": "/carpicture05/pic4125/41259286_020.jpg", "type": "OPTION", "updateDateTime": "2025-12-31T10:56:05", "desc": null}, {"code": "002", "path": "/carpicture05/pic4125/41259286_002.jpg", "type": "OUTER", "updateDateTime": "2025-12-31T10:56:05", "desc": null}, {"code": "015", "path": "/carpicture05/pic4125/41259286_015.jpg", "type": "OPTION", "updateDateTime": "2025-12-31T10:56:05", "desc": null}, {"code": "019", "path": "/carpicture05/pic4125/41259286_019.jpg", "type": "OPTION", "updateDateTime": "2025-12-31T10:56:05", "desc": null}, {"code": "022", "path": "/carpicture05/pic4125/41259286_022.jpg", "type": "OPTION", "updateDateTime": "2025-12-31T10:56:05", "desc": null}, {"code": "006", "path": "/carpicture05/pic4125/41259286_006.jpg", "type": "INNER", "updateDateTime": "2025-12-31T10:56:05", "desc": null}, {"code": "010", "path": "/carpicture05/pic4125/41259286_010.jpg", "type": "INNER", "updateDateTime": "2025-12-31T10:56:05", "desc": null}, {"code": "024", "path": "/carpicture05/pic4125/41259286_024.jpg", "type": "OPTION", "updateDateTime": "2025-12-31T10:56:05", "desc": null}, {"code": "008", "path": "/carpicture05/pic4125/41259286_008.jpg", "type": "INNER", "updateDateTime": "2025-12-31T10:56:05", "desc": null}, {"code": "001", "path": "/carpicture05/pic4125/41259286_001.jpg", "type": "OUTER", "updateDateTime": "2025-12-31T10:56:05", "desc": null}, {"code": "016", "path": "/carpicture05/pic4125/41259286_016.jpg", "type": "OPTION", "updateDateTime": "2025-12-31T10:56:05", "desc": null}, {"code": "005", "path": "/carpicture05/pic4125/41259286_005.jpg", "type": "OUTER", "updateDateTime": "2025-12-31T10:56:05", "desc": null}, {"code": "021", "path": "/carpicture05/pic4125/41259286_021.jpg", "type": "OPTION", "updateDateTime": "2025-12-31T10:56:05", "desc": null}]</t>
  </si>
  <si>
    <t>249보7886</t>
  </si>
  <si>
    <t>KMHS281CBKU010101</t>
  </si>
  <si>
    <t>166</t>
  </si>
  <si>
    <t>서울 강서구 양천로53길 52</t>
  </si>
  <si>
    <t>05062411270</t>
  </si>
  <si>
    <t>안녕하십니까!!
롯데렌탈 T Car 강서매매센터 지상호 매니저 입니다.
★롯데렌탈 T Car 추천★
[ Trust ]
- 롯데렌탈에서 직접 신차를 출고하여 최근까지 관리해온 중고차!!
- 출고 이후 현재까지 차량 관리 이력 제공
- 책임 환불제 : 구매 후 7일 내 자유롭게 환불 가능
- 180일/10,000km 보증 서비스 무료 제공(엔진,미션,제동장치 등 주요부품)
▶사고유무
- 외판 판금도색 확인 되나, 운행에 지장없는 부분으로 걱정 안하셔도 됩니다.
▶차량 추가 옵션
- 썬루프
- 17인치 알로이 휠&amp;타이어
▶차량 진단 결과
- 차량 입고 후 리프트 띄워 하부 진단결과, 각종 부싱류 / 엔진,미션 부근 누유 없음 확인 완료!, 부식없이 깔끔한 상태 유지중입니다.
- 차량 입고 시 광택 및 실내/외 세차 진행되어 깔끔한 상태입니다.
- 비흡연자인 담당자 기준 흡연냄새 및 불쾌한 냄새는 느껴지지 않았습니다.
- 지점 내 시운전 결과 하부 잡소리 등 기능적 문제 부분 없음 확인 하였습니다.
▶매니저 한줄 평
- 중고차 특성상 내/외부 사용감 및 생활 스크래치, 문콕, 돌튐 등 있을 수 있습니다.
- 차량 진단시 각종 편의옵션 및 기능 이상유무 체크 완료하였습니다.
- 하부 및 각종 소모품 상태 양호한 컨디션 유지중입니다.
- 인스퍼레이션 등급으로 다양한 편의옵션 및 안전옵션 보유!
- 우수한 연비와 정숙함을 자랑하는 하이브리드 차량입니다.
▶비대면 탁송 구매 가능
- 원하시는 장소, 시간에 맞춰 직접 배송해드립니다. 차량 인수일 포함 7일동안 운행해보시고 결정하세요!
* 거리별 탁송비는 상이하게 발생합니다. 
▶차량 할부 구매 가능
- 롯데캐피탈 / KB캐피탈 / 신한카드
*개인 신용도마다 금리는 차등적용 됩니다. </t>
  </si>
  <si>
    <t>2025-12-30T14:56:50</t>
  </si>
  <si>
    <t>2026-01-14T23:56:04</t>
  </si>
  <si>
    <t>2025-12-30T14:37:22</t>
  </si>
  <si>
    <t>["1007", "1006"]</t>
  </si>
  <si>
    <t>["001", "004", "005", "006", "007", "008", "010", "014", "015", "017", "019", "020", "021", "022", "023", "024", "026", "027", "030", "031", "032", "033", "034", "051", "055", "056", "057", "058", "063", "072", "074", "075", "077", "079", "082", "085", "086", "088", "094", "096", "097"]</t>
  </si>
  <si>
    <t>6737</t>
  </si>
  <si>
    <t>[{"code": "163", "name": "엔카진단센터 서서울점", "major": true, "telephoneNumber": "02-6331-6630", "address": "서울 강서구 양천로53길 30 서서울모터리움 101호"}, {"code": "151", "name": "엔카진단센터 강서가양점", "major": false, "telephoneNumber": "02-2659-5457", "address": "서울 강서구 강서로74길 58 가양오토갤러리 1층 진단센터/(컨설팅룸 203호)"}]</t>
  </si>
  <si>
    <t>롯데렌탈(주)</t>
  </si>
  <si>
    <t>T카 강서매매센터</t>
  </si>
  <si>
    <t>[{"code": "001", "path": "/carpicture05/pic4125/41254301_001.jpg", "type": "OUTER", "updateDateTime": "2025-12-30T14:56:04", "desc": null}, {"code": "019", "path": "/carpicture05/pic4125/41254301_019.jpg", "type": "OPTION", "updateDateTime": "2025-12-30T14:56:04", "desc": null}, {"code": "003", "path": "/carpicture05/pic4125/41254301_003.jpg", "type": "OUTER", "updateDateTime": "2025-12-30T14:56:04", "desc": null}, {"code": "021", "path": "/carpicture05/pic4125/41254301_021.jpg", "type": "OPTION", "updateDateTime": "2025-12-30T14:56:04", "desc": null}, {"code": "007", "path": "/carpicture05/pic4125/41254301_007.jpg", "type": "INNER", "updateDateTime": "2025-12-30T14:56:04", "desc": null}, {"code": "009", "path": "/carpicture05/pic4125/41254301_009.jpg", "type": "INNER", "updateDateTime": "2025-12-30T14:56:04", "desc": null}, {"code": "004", "path": "/carpicture05/pic4125/41254301_004.jpg", "type": "OUTER", "updateDateTime": "2025-12-30T14:56:04", "desc": null}, {"code": "008", "path": "/carpicture05/pic4125/41254301_008.jpg", "type": "INNER", "updateDateTime": "2025-12-30T14:56:04", "desc": null}, {"code": "015", "path": "/carpicture05/pic4125/41254301_015.jpg", "type": "OPTION", "updateDateTime": "2025-12-30T14:56:04", "desc": null}, {"code": "022", "path": "/carpicture05/pic4125/41254301_022.jpg", "type": "OPTION", "updateDateTime": "2025-12-30T14:56:04", "desc": null}, {"code": "006", "path": "/carpicture05/pic4125/41254301_006.jpg", "type": "INNER", "updateDateTime": "2025-12-30T14:56:04", "desc": null}, {"code": "020", "path": "/carpicture05/pic4125/41254301_020.jpg", "type": "OPTION", "updateDateTime": "2025-12-30T14:56:04", "desc": null}, {"code": "010", "path": "/carpicture05/pic4125/41254301_010.jpg", "type": "INNER", "updateDateTime": "2025-12-30T14:56:04", "desc": null}, {"code": "016", "path": "/carpicture05/pic4125/41254301_016.jpg", "type": "OPTION", "updateDateTime": "2025-12-30T14:56:04", "desc": null}, {"code": "005", "path": "/carpicture05/pic4125/41254301_005.jpg", "type": "OUTER", "updateDateTime": "2025-12-30T14:56:04", "desc": null}, {"code": "023", "path": "/carpicture05/pic4125/41254301_023.jpg", "type": "OPTION", "updateDateTime": "2025-12-30T14:56:04", "desc": null}, {"code": "002", "path": "/carpicture05/pic4125/41254301_002.jpg", "type": "OUTER", "updateDateTime": "2025-12-30T14:56:04", "desc": null}, {"code": "024", "path": "/carpicture05/pic4125/41254301_024.jpg", "type": "OPTION", "updateDateTime": "2025-12-30T14:56:04", "desc": null}, {"code": "017", "path": "/carpicture05/pic4125/41254301_017.jpg", "type": "OPTION", "updateDateTime": "2025-12-30T14:56:04", "desc": null}, {"code": "018", "path": "/carpicture05/pic4125/41254301_018.jpg", "type": "OPTION", "updateDateTime": "2025-12-30T14:56:04", "desc": null}]</t>
  </si>
  <si>
    <t>168우8774</t>
  </si>
  <si>
    <t>KMHLR41JGMU001659</t>
  </si>
  <si>
    <t>3.0 LPi Rent Car</t>
  </si>
  <si>
    <t>202112</t>
  </si>
  <si>
    <t>05062013410</t>
  </si>
  <si>
    <t xml:space="preserve">안녕하십니까!!
롯데렌탈 인증 중고차  T CAR 용인매매센터 도경민 매니저 입니다.
♣롯데렌탈 인증중고차 T Car 추천♣
- 전국 협력업체를 통한 T Car 케어 180일 1만km 무상 프로모션
- 책임 환불제 : 구매 후 7일 내 자요롭게 환불 가능.
- 법인 &amp; 개인 신차장기렌트로 이용된 차량이며 이력관리가 확실한 차량
- 구매 확정시 엔진오일 무상교체 쿠폰 1회 제공(단,쌍용,르노,전기차,GV80,G90,G70 2.2D 제외)
▶T car (Trust Total Care)는 믿을 수 있으니까 온라인 쇼핑처럼 쉽고 빠르게!◀
상담신청 클릭 후 전문상담사와 상담 &amp; 온라인으로 간편하게 24시간 즉시결제 후 원하는 장소로 배송받고 넉넉한 "7일간의 환불기간" 까지 경험해보세요!
▶사고유무.
- 성능점검 결과 차량외장에 발생된 스크레치 손상 보수를 위해 전면부 외부패널 (운전석 앞휀더) 단순교환 및 (운전석 앞도어) 단순판금도색 작업내용 확인됩니다.
- 판금도색은 차량보유 중 누구에게나 발생하는 스크레치 보수를 위한 단순도장 작업이며, 운행 안전 성능에는 전혀 지장이 없습니다.
- 주요골격 및 프레임에는 문제가없어 안심하고 구매하셔도되는 차량입니다.
▶ 현대스마트센스1 + 프리미엄초이스 추가옵션 적용차량입니다!
▶차량 진단 결과
- T카에서는 국가에서 지정된 성능점검업체에서 엄격한 사고판단 기준을 통해 주행/안전상 문제없는 차량만 선별하여 판매하고 있습니다.
- 성능점검 하부 진단결과, 누유/누수 없이 깔끔한 상태 유지 중!
- 자사 오토케어 담당자가 엄격한 프로세스를 거쳐 검수 후 출고됩니다.
▶매니저 한줄 평
- 차키2개 보유중입니다.
- 실내 담배냄새없습니다.
- 리프트 진단결과 누유 및 누수없는 깔끔한 차량상태 유지중입니다.
- 122,972KM 엔진오일 교환된차량으로 소모품비용 절감하실수 있습니다.
- 중고차량이기에 100% 완벽한 상태는 아닐수도있지만 그만큼 감가가된차량이기에 저렴하게 구매하실수 있습니다.
- 롯데렌트카에서 신차출고 부터 정기적으로 관리받은 차량입니다~!!
- 차량에대해 궁금하신점 있으시면 언제든 편하게 연락부탁드리겠습니다.
▶ 홈서비스
- 원하시는 장소로 배송받고 7일동안 편하게 운행해보시고 구매 결정 하세요! 
▶ 차량할부 (신용등급과 상관없이 간편한 할부 조회 가능)
# 롯데캐피탈
# KB 캐피탈
# 신한카드
▶ 오시는길
# 경기도 용인시 기흥구 어정로 36 용인오토갤러리 1층 T car
# 대중교통 이용시 애버라인 [지석역] 1번출구 도보 1분
# 인터넷 검색창에 [용인오토갤러리] 검색
</t>
  </si>
  <si>
    <t>2025-12-30T10:56:43</t>
  </si>
  <si>
    <t>2026-01-12T12:56:02</t>
  </si>
  <si>
    <t>2025-12-29T16:10:51</t>
  </si>
  <si>
    <t>["10002", "10001"]</t>
  </si>
  <si>
    <t>["001", "004", "005", "006", "007", "008", "014", "015", "017", "019", "020", "021", "022", "023", "024", "026", "027", "030", "031", "032", "033", "034", "035", "055", "056", "057", "058", "059", "063", "072", "074", "075", "077", "079", "081", "082", "084", "085", "086", "088", "094", "096", "097"]</t>
  </si>
  <si>
    <t>[{"code": "015", "path": "/carpicture04/pic4124/41247540_015.jpg", "type": "OPTION", "updateDateTime": "2025-12-30T10:51:57", "desc": null}, {"code": "009", "path": "/carpicture04/pic4124/41247540_009.jpg", "type": "INNER", "updateDateTime": "2025-12-30T10:51:57", "desc": null}, {"code": "005", "path": "/carpicture04/pic4124/41247540_005.jpg", "type": "OUTER", "updateDateTime": "2025-12-30T10:51:57", "desc": null}, {"code": "018", "path": "/carpicture04/pic4124/41247540_018.jpg", "type": "OPTION", "updateDateTime": "2025-12-30T10:51:57", "desc": null}, {"code": "003", "path": "/carpicture04/pic4124/41247540_003.jpg", "type": "OUTER", "updateDateTime": "2025-12-30T10:51:57", "desc": null}, {"code": "006", "path": "/carpicture04/pic4124/41247540_006.jpg", "type": "INNER", "updateDateTime": "2025-12-30T10:51:57", "desc": null}, {"code": "001", "path": "/carpicture04/pic4124/41247540_001.jpg", "type": "OUTER", "updateDateTime": "2025-12-30T10:51:57", "desc": null}, {"code": "023", "path": "/carpicture04/pic4124/41247540_023.jpg", "type": "OPTION", "updateDateTime": "2025-12-30T10:51:57", "desc": null}, {"code": "016", "path": "/carpicture04/pic4124/41247540_016.jpg", "type": "OPTION", "updateDateTime": "2025-12-30T10:51:57", "desc": null}, {"code": "017", "path": "/carpicture04/pic4124/41247540_017.jpg", "type": "OPTION", "updateDateTime": "2025-12-30T10:51:57", "desc": null}, {"code": "008", "path": "/carpicture04/pic4124/41247540_008.jpg", "type": "INNER", "updateDateTime": "2025-12-30T10:51:57", "desc": null}, {"code": "019", "path": "/carpicture04/pic4124/41247540_019.jpg", "type": "OPTION", "updateDateTime": "2025-12-30T10:51:57", "desc": null}, {"code": "020", "path": "/carpicture04/pic4124/41247540_020.jpg", "type": "OPTION", "updateDateTime": "2025-12-30T10:51:57", "desc": null}, {"code": "024", "path": "/carpicture04/pic4124/41247540_024.jpg", "type": "OPTION", "updateDateTime": "2025-12-30T10:51:57", "desc": null}, {"code": "007", "path": "/carpicture04/pic4124/41247540_007.jpg", "type": "INNER", "updateDateTime": "2025-12-30T10:51:57", "desc": null}, {"code": "022", "path": "/carpicture04/pic4124/41247540_022.jpg", "type": "OPTION", "updateDateTime": "2025-12-30T10:51:57", "desc": null}, {"code": "002", "path": "/carpicture04/pic4124/41247540_002.jpg", "type": "OUTER", "updateDateTime": "2025-12-30T10:51:57", "desc": null}, {"code": "021", "path": "/carpicture04/pic4124/41247540_021.jpg", "type": "OPTION", "updateDateTime": "2025-12-30T10:51:57", "desc": null}, {"code": "010", "path": "/carpicture04/pic4124/41247540_010.jpg", "type": "INNER", "updateDateTime": "2025-12-30T10:51:57", "desc": null}, {"code": "004", "path": "/carpicture04/pic4124/41247540_004.jpg", "type": "OUTER", "updateDateTime": "2025-12-30T10:51:57", "desc": null}]</t>
  </si>
  <si>
    <t>350두6637</t>
  </si>
  <si>
    <t>KMHF241NBNA473216</t>
  </si>
  <si>
    <t>202206</t>
  </si>
  <si>
    <t>05062479530</t>
  </si>
  <si>
    <t>설명글은 인사말 / 차량상태 / 차주정보 등을 입력하시면 됩니다. 
----------------------인사말--------------------------------- 
인사말을 입력해 보세요. 
안녕하세요. 중고차 전문딜러 오토프라임 신우현입니다. 
차량에 관심을 가져주셔서 대단히 감사합니다. 
현재 고객님께서 보시고있는 차량은 100% 실매물임을 이름을 걸고 약속드립니다. 
----------------------차량설명--------------------------------- 
사고여부, 차량옵션, 관리상태 등을 입력해 보세요. 
▶차량설명 
-사고여부 :  무사고 차량입니다. 
-차    종 : 현대 그랜져2.5 르블랑
-연    식 : 2022년 6월 
-색    상 : 인기있는 검정색입니다. 
-주행거리 : 60177km 로 짧습니다. 
-내 / 외관 : 실내와 실외가 깨끗합니다. 
-관리상태 : 모든 정비를 마친 상태입니다. 
▶옵션사항 
-외관사양 : 알루미늄휠
-내장사양 : , 가죽 시트,, 열선 시트, 하이패스 후방카메라 베이지시트 
-안전사양 : 에어백
-편의사양 : 하이패스룸미러 후방카메라 열선시트  어라운드뷰
-튜닝정보 : 순정
▶차량의 특징 
적은키로수 엔진쌩쌩
----------------------차주정보--------------------------------- 
차량을 운행했던 차주정보 등을 입력해 보세요. 
▶문의방법 
-연락주시면 친절하고 상세하게 설명을 드리도록 하겠습니다. 전화가 부재중일시 문자를 남겨주시면 확인후 전화드리겠습니다. 
-차량은 수원에서 보실 수 있어요. 
-현재 타고 계신 차량과 교환도 가능하며, 대출을 통한 차량구매도 가능합니다. 
----------------------판매자 소개--------------------------------- 
중고자동차 메카 수원에서 근무하는 신우현입니다 신용과 정직으로 판매왕으로 20년넘게 좋은거래로 소비자들과 만나고있씁니다 
방문주시면 성심껏 구매도와드릴게요 언제든 편하게 연락주세요 감사합니다 시운전  가능하구요 정비소 점검도  가능합니다
-오시는 길 : 지하철 이용하시면 1호선 수원역 2번 출구 5분 거리, 자가용 이용하시면 수원톨게이트에서 5분 거리</t>
  </si>
  <si>
    <t>2025-12-29T16:56:55</t>
  </si>
  <si>
    <t>2026-01-21T20:56:03</t>
  </si>
  <si>
    <t>2025-12-26T16:50:18</t>
  </si>
  <si>
    <t>["001", "004", "005", "006", "007", "008", "014", "015", "017", "019", "020", "021", "022", "023", "024", "026", "027", "030", "031", "032", "033", "034", "035", "055", "056", "057", "058", "059", "063", "072", "074", "075", "077", "079", "081", "082", "084", "085", "086", "087", "088", "092", "094", "096", "097"]</t>
  </si>
  <si>
    <t>6845</t>
  </si>
  <si>
    <t>[{"code": "169", "name": "엔카진단센터 수원 고색점", "major": true, "telephoneNumber": "031-291-4123", "address": "경기 수원시 권선구 평동로 26"}]</t>
  </si>
  <si>
    <t>오토프라임_프리미엄</t>
  </si>
  <si>
    <t>신우현</t>
  </si>
  <si>
    <t>[{"code": "023", "path": "/carpicture03/pic4123/41238114_023.jpg", "type": "OPTION", "updateDateTime": "2025-12-29T16:56:42", "desc": null}, {"code": "005", "path": "/carpicture03/pic4123/41238114_005.jpg", "type": "OUTER", "updateDateTime": "2025-12-29T16:56:42", "desc": null}, {"code": "010", "path": "/carpicture03/pic4123/41238114_010.jpg", "type": "INNER", "updateDateTime": "2025-12-29T16:56:42", "desc": null}, {"code": "022", "path": "/carpicture03/pic4123/41238114_022.jpg", "type": "OPTION", "updateDateTime": "2025-12-29T16:56:42", "desc": null}, {"code": "003", "path": "/carpicture03/pic4123/41238114_003.jpg", "type": "OUTER", "updateDateTime": "2025-12-29T16:56:42", "desc": null}, {"code": "008", "path": "/carpicture03/pic4123/41238114_008.jpg", "type": "INNER", "updateDateTime": "2025-12-29T16:56:42", "desc": null}, {"code": "002", "path": "/carpicture03/pic4123/41238114_002.jpg", "type": "OUTER", "updateDateTime": "2025-12-29T16:56:42", "desc": null}, {"code": "009", "path": "/carpicture03/pic4123/41238114_009.jpg", "type": "INNER", "updateDateTime": "2025-12-29T16:56:42", "desc": null}, {"code": "004", "path": "/carpicture03/pic4123/41238114_004.jpg", "type": "OUTER", "updateDateTime": "2025-12-29T16:56:42", "desc": null}, {"code": "020", "path": "/carpicture03/pic4123/41238114_020.jpg", "type": "OPTION", "updateDateTime": "2025-12-29T16:56:42", "desc": null}, {"code": "016", "path": "/carpicture03/pic4123/41238114_016.jpg", "type": "OPTION", "updateDateTime": "2025-12-29T16:56:42", "desc": null}, {"code": "021", "path": "/carpicture03/pic4123/41238114_021.jpg", "type": "OPTION", "updateDateTime": "2025-12-29T16:56:42", "desc": null}, {"code": "006", "path": "/carpicture03/pic4123/41238114_006.jpg", "type": "INNER", "updateDateTime": "2025-12-29T16:56:42", "desc": null}, {"code": "015", "path": "/carpicture03/pic4123/41238114_015.jpg", "type": "OPTION", "updateDateTime": "2025-12-29T16:56:42", "desc": null}, {"code": "018", "path": "/carpicture03/pic4123/41238114_018.jpg", "type": "OPTION", "updateDateTime": "2025-12-29T16:56:42", "desc": null}, {"code": "017", "path": "/carpicture03/pic4123/41238114_017.jpg", "type": "OPTION", "updateDateTime": "2025-12-29T16:56:42", "desc": null}, {"code": "019", "path": "/carpicture03/pic4123/41238114_019.jpg", "type": "OPTION", "updateDateTime": "2025-12-29T16:56:42", "desc": null}, {"code": "001", "path": "/carpicture03/pic4123/41238114_001.jpg", "type": "OUTER", "updateDateTime": "2025-12-29T16:56:42", "desc": null}, {"code": "024", "path": "/carpicture03/pic4123/41238114_024.jpg", "type": "OPTION", "updateDateTime": "2025-12-29T16:56:42", "desc": null}, {"code": "007", "path": "/carpicture03/pic4123/41238114_007.jpg", "type": "INNER", "updateDateTime": "2025-12-29T16:56:42", "desc": null}]</t>
  </si>
  <si>
    <t>388오5612</t>
  </si>
  <si>
    <t>KMHF141DBPA504536</t>
  </si>
  <si>
    <t>Royal</t>
  </si>
  <si>
    <t>108</t>
  </si>
  <si>
    <t>05062117217</t>
  </si>
  <si>
    <t>★취등록세, 매도비, 성능보험료 외 수수료 및 부대비용 없습니다. 
★이 차량을 추천하는 이유★
완전 무사고 차량에 보험 이력도 하나 없는 깨끗한 차량입니다. 
하이브리드 차량으로 연비깡패 차량으로 자신하고, 아주 가성비 차량입니다. 
파썬, 내비, 통풍, 버튼시동, 하이패스 등 풀옵션 차량이고 시운전 추천드립니다!
▒▒▒▒▒▒▒▒▒ ▣ 차량정보 ▣ ▒▒▒▒▒▒▒▒▒
 ■ 기본정보
      ­· 모델명: YF쏘나타 하이브리드 로얄
      · 연식: 2012년 12월 11일 (2012년형)
      · 연료: 하이브리드
      · 색상: 회색
      · 주행거리: 102,619km
■ 차량상태
      · 사고이력 : 완무
▒▒▒▒▒▒▒ ▣ Enjoy your driving ▣ ▒▒▒▒▒▒▒
■ 인사말
 안녕하세요. 도이치오토월드 수원중고차 이재열입니다.
 차량에 관심 가져주셔서 진심으로 감사드립니다.
!! 안전한 거래를 위한 필수 확인사항 !!
＊반드시 허가업체의 종사원증(딜러증) 소지자와 거래하세요
＊경기자동차매매조합 홈페이지에서 차량 및 딜러 확인 가능
＊법적 보호를 받으실 수 있는 정식 거래만 진행합니다
"무조건 싸고 좋은 차는 없습니다. 눈앞의 이익을 위해 양심을 팔지 않겠습니다."
▒▒▒▒▒▒▒▒▒ ▣ 보증안내 ▣ ▒▒▒▒▒▒▒▒▒
■ 법적 보호 서류
· 자동차등록규칙 제33조에 의한 자동차 양도증명서(관인 계약서) 작성
· 자동차관리법 제58조에 의한 성능점검기록부 교부
▒▒▒▒▒▒▒▒▒ ▣ 구입방법 ▣ ▒▒▒▒▒▒▒▒▒
 ■ 할부 구매: 전액 할부 가능 (24/36개월)
 ■ 전국 탁송: 전국 어디든 배송 가능 (계약금 예치 후)
 ■ 대차 환영: 현재 차량과 교환 가능
▒▒▒▒▒▒▒▒▒ ▣ 오시는길 ▣ ▒▒▒▒▒▒▒▒▒
 ■ 매장 위치경기도 수원시 권선구 권선로 308-5도이치오토월드 260호
 ■ 대중교통: 수원역 하차 후 택시 5분 거리
 ■ 자가용: 수원톨게이트에서 약 15분</t>
  </si>
  <si>
    <t>2025-12-10T16:15:03</t>
  </si>
  <si>
    <t>2026-01-21T17:51:02</t>
  </si>
  <si>
    <t>2025-12-09T08:50:34</t>
  </si>
  <si>
    <t>["1003"]</t>
  </si>
  <si>
    <t>["001", "003", "004", "005", "006", "007", "008", "010", "014", "015", "017", "019", "020", "021", "022", "023", "024", "026", "027", "029", "030", "031", "032", "034", "035", "051", "055", "056", "057", "058", "063", "068", "071", "072", "074", "077", "081", "096", "097"]</t>
  </si>
  <si>
    <t>5952</t>
  </si>
  <si>
    <t>수원중고차</t>
  </si>
  <si>
    <t>이재열</t>
  </si>
  <si>
    <t>[{"code": "023", "path": "/carpicture02/pic4112/41128990_023.jpg", "type": "OPTION", "updateDateTime": "2025-12-10T16:14:56", "desc": null}, {"code": "001", "path": "/carpicture02/pic4112/41128990_001.jpg", "type": "OUTER", "updateDateTime": "2025-12-10T16:14:56", "desc": null}, {"code": "006", "path": "/carpicture02/pic4112/41128990_006.jpg", "type": "INNER", "updateDateTime": "2025-12-10T16:14:56", "desc": null}, {"code": "022", "path": "/carpicture02/pic4112/41128990_022.jpg", "type": "OPTION", "updateDateTime": "2025-12-10T16:14:56", "desc": null}, {"code": "016", "path": "/carpicture02/pic4112/41128990_016.jpg", "type": "OPTION", "updateDateTime": "2025-12-10T16:14:56", "desc": null}, {"code": "021", "path": "/carpicture02/pic4112/41128990_021.jpg", "type": "OPTION", "updateDateTime": "2025-12-10T16:14:56", "desc": null}, {"code": "015", "path": "/carpicture02/pic4112/41128990_015.jpg", "type": "OPTION", "updateDateTime": "2025-12-10T16:14:56", "desc": null}, {"code": "018", "path": "/carpicture02/pic4112/41128990_018.jpg", "type": "OPTION", "updateDateTime": "2025-12-10T16:14:56", "desc": null}, {"code": "004", "path": "/carpicture02/pic4112/41128990_004.jpg", "type": "OUTER", "updateDateTime": "2025-12-10T16:14:56", "desc": null}, {"code": "007", "path": "/carpicture02/pic4112/41128990_007.jpg", "type": "INNER", "updateDateTime": "2025-12-10T16:14:56", "desc": null}, {"code": "024", "path": "/carpicture02/pic4112/41128990_024.jpg", "type": "OPTION", "updateDateTime": "2025-12-10T16:14:56", "desc": null}, {"code": "008", "path": "/carpicture02/pic4112/41128990_008.jpg", "type": "INNER", "updateDateTime": "2025-12-10T16:14:56", "desc": null}, {"code": "005", "path": "/carpicture02/pic4112/41128990_005.jpg", "type": "OUTER", "updateDateTime": "2025-12-10T16:14:56", "desc": null}, {"code": "010", "path": "/carpicture02/pic4112/41128990_010.jpg", "type": "INNER", "updateDateTime": "2025-12-10T16:14:56", "desc": null}, {"code": "020", "path": "/carpicture02/pic4112/41128990_020.jpg", "type": "OPTION", "updateDateTime": "2025-12-10T16:14:56", "desc": null}, {"code": "019", "path": "/carpicture02/pic4112/41128990_019.jpg", "type": "OPTION", "updateDateTime": "2025-12-10T16:14:56", "desc": null}, {"code": "009", "path": "/carpicture02/pic4112/41128990_009.jpg", "type": "INNER", "updateDateTime": "2025-12-10T16:14:56", "desc": null}, {"code": "003", "path": "/carpicture02/pic4112/41128990_003.jpg", "type": "OUTER", "updateDateTime": "2025-12-10T16:14:56", "desc": null}, {"code": "002", "path": "/carpicture02/pic4112/41128990_002.jpg", "type": "OUTER", "updateDateTime": "2025-12-10T16:14:56", "desc": null}, {"code": "017", "path": "/carpicture02/pic4112/41128990_017.jpg", "type": "OPTION", "updateDateTime": "2025-12-10T16:14:56", "desc": null}]</t>
  </si>
  <si>
    <t>13머1495</t>
  </si>
  <si>
    <t>KMHEC415BCA053589</t>
  </si>
  <si>
    <t>인천 남동구 방축로 414</t>
  </si>
  <si>
    <t>05062159714</t>
  </si>
  <si>
    <t xml:space="preserve">  ☞  직접 실매물을 확인하고 진단받은 차량이라 안전하고 확실하게 거래 하실 수 있습니다. 
  ☞  보증받은 차량은 허위매물이 일절 없으며, 허위매물시 헛걸음보상제를 통하여 보상 받으 실 수 있습니다.
  　 허위매물이 의심되신다면 방문전 차량 사진,동영상,영상통화 도 가능합니다.
  ☞ 저희 영차는 100% 실매물로 정직 신뢰 믿음으로 3가지를 중점으로 최선을 다하겠습니다.
  ☞ 상태가 좋은 양질의 중고차만을 취급하며 성능보증을 통한 판매를 원칙으로 합니다.
  ☞ 보고 계신 차량을 최고의 컨디션 최상의 상태로 보실 수 있게 노력하는 영차가 되겠습니다.
  ☞ 침수 및 주행거리조작 사고유무 진단오류시 전액환불 또는 보상을 약속드립니다.
【구매 방법】
  ☞ 구매방법 현금/할부/신용카드/대차/리스 전부 가능합니다.
  ☞ 현재 타고 다니시던 차량 최고가 매입 또는 대차 가능합니다.
      대차시 더 좋은 조건으로 차량구매를 하실 수 있습니다.
  ☞ 할부조회를 먼저 해 보고 오셔야 힘든 걸음 안하실수 있습니다. 
      조회는 제휴점을 통해 저금리로 안내 받으실 수 있습니다.
      개인 신용마다 등본2통,인감2통,통장사본 등이 필요할 수 있습니다.
  ☞ 캐피탈&amp;은행권을 통한 저금리로 할부 또는 신용카드를 통한 차량구매를 도와드리며 
      차량대금, 이전비, 보험비, 여유자금까지 전액 할부 가능합니다.
【차량 구매 방법】
  ☞ 현금 구매시 - 신분증
  ☞ 할부 구매시 - 운전면허증
      　　 할부조회를 먼저 해 보고 오셔야 힘든 걸음 안하실수 있습니다. 
      　　 조회는 제휴점을 통해 저금리로 안내 받으실 수 있습니다.
      　　 개인 신용마다 등본2통,인감2통,통장사본 등이 필요할 수 있습니다.
  ☞ 주소안내
            인천광역시 간석4동 616-85 214호 영차  
       　　신주소 : 인천광역시 남동구 방축로 414 간석매매단지 214호 영차 
      　　 네비게이션 : 간석자동차매매단지 검색
      　　 오시기 힘든 분들은 대중교통 이용시 터미널 또는 지하철역 하차하시면 픽업 도와드립니다.
-------------------------------------------------------------------------------------------------------------
마지막으로 보고계신 차량은 시운전이 가능한 차량이며 평일 주말 관계 없이 당일출고를 약속드리며
저렴한 가격의 매물을 보고 가셨다 크게 실망하시고 헛걸음 하셨던 분들 성능좋고 매력있는 차를 저렴한
가격에 내놓는 장사꾼은 없답니다.
저희는 강요하는 직업이 아닌 보기의 폭을 넓혀드리는 사람들입니다. 
처음이라 잘모르시고 걱정 많으신분들 편하게 연락 주세요. 
언제든지 부담 갖지 마시고 연락 주시면 친절하게 상담 도와드리겠습니다.
감사합니다. 즐거운 하루 되세요 ^^*</t>
  </si>
  <si>
    <t>2025-12-08T15:56:57</t>
  </si>
  <si>
    <t>2025-12-22T09:56:02</t>
  </si>
  <si>
    <t>2025-12-08T09:17:21</t>
  </si>
  <si>
    <t>["10011", "10001"]</t>
  </si>
  <si>
    <t>["001", "003", "004", "005", "006", "007", "008", "014", "015", "017", "019", "020", "021", "022", "023", "024", "026", "027", "031", "032", "033", "055", "056", "057", "058", "068", "071", "072", "082", "096", "097"]</t>
  </si>
  <si>
    <t>6920</t>
  </si>
  <si>
    <t>[{"code": "191", "name": "엔카진단센터 인천 주안 오토드림", "major": true, "telephoneNumber": "032-876-9511", "address": "인천 미추홀구 염전로 381 오토드림 자동차매매단지 4층"}, {"code": "185", "name": "엔카진단센터 인천 엠파크타워", "major": false, "telephoneNumber": "032-584-9096", "address": "인천 서구 봉수대로 158 엠파크타워 J112호(스튜디오 : 지하1층 S066호, S067호)"}]</t>
  </si>
  <si>
    <t>영차</t>
  </si>
  <si>
    <t>박건호</t>
  </si>
  <si>
    <t>[{"code": "024", "path": "/carpicture02/pic4112/41120507_024.jpg", "type": "OPTION", "updateDateTime": "2025-12-08T13:41:54", "desc": null}, {"code": "018", "path": "/carpicture02/pic4112/41120507_018.jpg", "type": "OPTION", "updateDateTime": "2025-12-08T13:41:54", "desc": null}, {"code": "003", "path": "/carpicture02/pic4112/41120507_003.jpg", "type": "OUTER", "updateDateTime": "2025-12-08T13:41:54", "desc": null}, {"code": "020", "path": "/carpicture02/pic4112/41120507_020.jpg", "type": "OPTION", "updateDateTime": "2025-12-08T13:41:54", "desc": null}, {"code": "006", "path": "/carpicture02/pic4112/41120507_006.jpg", "type": "INNER", "updateDateTime": "2025-12-08T13:41:54", "desc": null}, {"code": "007", "path": "/carpicture02/pic4112/41120507_007.jpg", "type": "INNER", "updateDateTime": "2025-12-08T13:41:54", "desc": null}, {"code": "001", "path": "/carpicture02/pic4112/41120507_001.jpg", "type": "OUTER", "updateDateTime": "2025-12-08T13:41:54", "desc": null}, {"code": "010", "path": "/carpicture02/pic4112/41120507_010.jpg", "type": "INNER", "updateDateTime": "2025-12-08T13:41:54", "desc": null}, {"code": "021", "path": "/carpicture02/pic4112/41120507_021.jpg", "type": "OPTION", "updateDateTime": "2025-12-08T13:41:54", "desc": null}, {"code": "016", "path": "/carpicture02/pic4112/41120507_016.jpg", "type": "OPTION", "updateDateTime": "2025-12-08T13:41:54", "desc": null}, {"code": "019", "path": "/carpicture02/pic4112/41120507_019.jpg", "type": "OPTION", "updateDateTime": "2025-12-08T13:41:54", "desc": null}, {"code": "017", "path": "/carpicture02/pic4112/41120507_017.jpg", "type": "OPTION", "updateDateTime": "2025-12-08T13:41:54", "desc": null}, {"code": "022", "path": "/carpicture02/pic4112/41120507_022.jpg", "type": "OPTION", "updateDateTime": "2025-12-08T13:41:54", "desc": null}, {"code": "005", "path": "/carpicture02/pic4112/41120507_005.jpg", "type": "OUTER", "updateDateTime": "2025-12-08T13:41:54", "desc": null}, {"code": "009", "path": "/carpicture02/pic4112/41120507_009.jpg", "type": "INNER", "updateDateTime": "2025-12-08T13:41:54", "desc": null}, {"code": "023", "path": "/carpicture02/pic4112/41120507_023.jpg", "type": "OPTION", "updateDateTime": "2025-12-08T13:41:54", "desc": null}, {"code": "004", "path": "/carpicture02/pic4112/41120507_004.jpg", "type": "OUTER", "updateDateTime": "2025-12-08T13:41:54", "desc": null}, {"code": "008", "path": "/carpicture02/pic4112/41120507_008.jpg", "type": "INNER", "updateDateTime": "2025-12-08T13:41:54", "desc": null}, {"code": "002", "path": "/carpicture02/pic4112/41120507_002.jpg", "type": "OUTER", "updateDateTime": "2025-12-08T13:41:54", "desc": null}, {"code": "015", "path": "/carpicture02/pic4112/41120507_015.jpg", "type": "OPTION", "updateDateTime": "2025-12-08T13:41:54", "desc": null}]</t>
  </si>
  <si>
    <t>30누5444</t>
  </si>
  <si>
    <t>KMHE341CBFA149500</t>
  </si>
  <si>
    <t>202201</t>
  </si>
  <si>
    <t>경기 수원시 권선구 평동로79번길 45</t>
  </si>
  <si>
    <t>05062169061</t>
  </si>
  <si>
    <t>안녕하세요 수원SKv1 모터스 단지 내 (주)예스카 에서 중고차 판매 매입 하는 최락현 실장 입니다.
차량에 관심을 가져주셔서 대단히 감사합니다. 
현재 고객님께서 보시고있는 차량은 100% 실매물임을 이름을 걸고 약속드립니다. 
▶차량설명 
★전국최저가 입니다★★엔진미션(신차보증)★★전국최저가 입니다★★엔진미션(신차보증)★★전국최저가 입니다★★엔진미션(신차보증)★
-사고여부 : 성능상 완전 무사고 차량입니다. 
-차    종 : 현대 더 뉴그랜저IG 가솔린 2.5 캘리그래피
-연    식 : 2022년 1월 
-색    상 : 인기있는 화이트 색입니다. 
-주행거리 : 67,800km 로 짧습니다. 
-내 / 외관 : 실내와 실외가 깨끗합니다. 진짜 자세히 보시면 보일 생활 스크레치는 있지만 연식대비 양이 현저히 적습니다. 
-관리상태 : 모든 정비를 마친 상태입니다. 휠 4짝 복원 완료 했고, 타이어4짝도 트래이드 짱짱합니다.
▶차량의 특징 
-스마트크루즈, 어라운드뷰, 사각지대카메라, 전동트렁크 등 각종 편의 옵션
-기존 그랜져 대비 훨씩 커진 실내 공간 
-현대 자동차의 베스트셀링카!!! 명차 더뉴그랜져IG 입니다. 
▶문의방법 
-연락주시면 친절하고 상세하게 설명을 드리도록 하겠습니다. 전화가 부재중일시 문자를 남겨주시면 확인후 전화드리겠습니다. 
-차량은 수원 SKv1 모터스 213호 에서 확인 가능 합니다.. 
-차량 시승도 가능하며 정비업소에서 차량상태 확인도 가능합니다.  
-현재 타고 계신 차량과 교환도 가능하며, 대출을 통한 차량구매도 가능합니다. 
-오시는 길 : 지하철 이용하시면 1호선 수원역 2번 출구 15분 거리, 
                    자가용 이용하시면 수원톨게이트에서 20분 거리</t>
  </si>
  <si>
    <t>2025-12-24T16:47:58</t>
  </si>
  <si>
    <t>2026-01-25T10:42:03</t>
  </si>
  <si>
    <t>2025-12-24T16:11:35</t>
  </si>
  <si>
    <t>["10002"]</t>
  </si>
  <si>
    <t>["001", "004", "005", "006", "007", "008", "014", "015", "017", "019", "020", "021", "022", "023", "024", "026", "027", "030", "031", "032", "033", "034", "035", "051", "055", "056", "057", "058", "059", "063", "072", "074", "075", "077", "079", "081", "082", "083", "084", "085", "086", "087", "088", "092", "093", "094", "096", "097"]</t>
  </si>
  <si>
    <t>4966</t>
  </si>
  <si>
    <t>[{"code": "182", "name": "엔카진단센터 수원 권선점", "major": true, "telephoneNumber": "031-278-9461", "address": "경기 수원시 권선구 평동로 65"}, {"code": "229", "name": "엔카진단센터 수원 SKV1점", "major": false, "telephoneNumber": "031-227-6260", "address": "경기 수원시 권선구 평동로79번길 45 SKV1 motors 638호, 653호"}]</t>
  </si>
  <si>
    <t>(주)예스카</t>
  </si>
  <si>
    <t>최락현</t>
  </si>
  <si>
    <t>[{"code": "020", "path": "/carpicture02/pic4122/41228721_020.jpg", "type": "OPTION", "updateDateTime": "2026-01-19T11:19:33", "desc": null}, {"code": "010", "path": "/carpicture02/pic4122/41228721_010.jpg", "type": "INNER", "updateDateTime": "2026-01-19T11:19:33", "desc": null}, {"code": "002", "path": "/carpicture02/pic4122/41228721_002.jpg", "type": "OUTER", "updateDateTime": "2026-01-19T11:19:33", "desc": "엔진미션보증//일반차체(6개월or1만km)세이프6//차주직판매/연락주세요"}, {"code": "003", "path": "/carpicture02/pic4122/41228721_003.jpg", "type": "OUTER", "updateDateTime": "2026-01-19T11:19:33", "desc": "엔진미션보증//일반차체(6개월or1만km)세이프6//차주직판매/연락주세요"}, {"code": "015", "path": "/carpicture02/pic4122/41228721_015.jpg", "type": "OPTION", "updateDateTime": "2026-01-19T11:19:33", "desc": null}, {"code": "024", "path": "/carpicture02/pic4122/41228721_024.jpg", "type": "OPTION", "updateDateTime": "2026-01-19T11:19:33", "desc": null}, {"code": "019", "path": "/carpicture02/pic4122/41228721_019.jpg", "type": "OPTION", "updateDateTime": "2026-01-19T11:19:33", "desc": null}, {"code": "005", "path": "/carpicture02/pic4122/41228721_005.jpg", "type": "OUTER", "updateDateTime": "2026-01-19T11:19:33", "desc": "엔진미션보증//일반차체(6개월or1만km)세이프6//차주직판매/연락주세요"}, {"code": "013", "path": "/carpicture02/pic4122/41228721_001.jpg", "type": "THUMBNAIL", "updateDateTime": "2026-01-19T11:19:33", "desc": null}, {"code": "018", "path": "/carpicture02/pic4122/41228721_018.jpg", "type": "OPTION", "updateDateTime": "2026-01-19T11:19:33", "desc": null}, {"code": "007", "path": "/carpicture02/pic4122/41228721_007.jpg", "type": "INNER", "updateDateTime": "2026-01-19T11:19:33", "desc": "엔진미션보증//일반차체(6개월or1만km)세이프6//차주직판매/연락주세요"}, {"code": "021", "path": "/carpicture02/pic4122/41228721_021.jpg", "type": "OPTION", "updateDateTime": "2026-01-19T11:19:33", "desc": null}, {"code": "023", "path": "/carpicture02/pic4122/41228721_023.jpg", "type": "OPTION", "updateDateTime": "2026-01-19T11:19:33", "desc": null}, {"code": "001", "path": "/carpicture02/pic4122/41228721_001.jpg", "type": "OUTER", "updateDateTime": "2026-01-19T11:19:33", "desc": "엔진미션보증//일반차체(6개월or1만km)세이프6//차주직판매/연락주세요"}, {"code": "011", "path": "/carpicture02/pic4122/41228721_001.jpg", "type": "THUMBNAIL", "updateDateTime": "2026-01-19T11:19:33", "desc": null}, {"code": "009", "path": "/carpicture02/pic4122/41228721_009.jpg", "type": "INNER", "updateDateTime": "2026-01-19T11:19:33", "desc": "엔진미션보증//일반차체(6개월or1만km)세이프6//차주직판매/연락주세요"}, {"code": "014", "path": "/carpicture02/pic4122/41228721_007.jpg", "type": "THUMBNAIL", "updateDateTime": "2026-01-19T11:19:33", "desc": null}, {"code": "012", "path": "/carpicture02/pic4122/41228721_001.jpg", "type": "THUMBNAIL", "updateDateTime": "2026-01-19T11:19:33", "desc": null}, {"code": "022", "path": "/carpicture02/pic4122/41228721_022.jpg", "type": "OPTION", "updateDateTime": "2026-01-19T11:19:33", "desc": null}, {"code": "025", "path": "/carpicture02/pic4122/41228721_001.jpg", "type": "THUMBNAIL", "updateDateTime": "2026-01-19T11:19:33", "desc": null}, {"code": "006", "path": "/carpicture02/pic4122/41228721_006.jpg", "type": "INNER", "updateDateTime": "2026-01-19T11:19:33", "desc": "엔진미션보증//일반차체(6개월or1만km)세이프6//차주직판매/연락주세요"}, {"code": "017", "path": "/carpicture02/pic4122/41228721_017.jpg", "type": "OPTION", "updateDateTime": "2026-01-19T11:19:33", "desc": null}, {"code": "026", "path": "/carpicture02/pic4122/41228721_001.jpg", "type": "THUMBNAIL", "updateDateTime": "2026-01-19T11:19:33", "desc": null}, {"code": "008", "path": "/carpicture02/pic4122/41228721_008.jpg", "type": "INNER", "updateDateTime": "2026-01-19T11:19:33", "desc": "엔진미션보증//일반차체(6개월or1만km)세이프6//차주직판매/연락주세요"}, {"code": "004", "path": "/carpicture02/pic4122/41228721_004.jpg", "type": "OUTER", "updateDateTime": "2026-01-19T11:19:33", "desc": "엔진미션보증//일반차체(6개월or1만km)세이프6//차주직판매/연락주세요"}, {"code": "016", "path": "/carpicture02/pic4122/41228721_016.jpg", "type": "OPTION", "updateDateTime": "2026-01-19T11:19:33", "desc": null}]</t>
  </si>
  <si>
    <t>107서6588</t>
  </si>
  <si>
    <t>KMHF341DBNA483783</t>
  </si>
  <si>
    <t>서울 강서구 양천로53길 30</t>
  </si>
  <si>
    <t>05062422427</t>
  </si>
  <si>
    <t>안녕하세요?
(주)손오공 중고차 카매니저 채덕병 부장입니다. 
먼저 차량에 관심을 갖고 방문해주셔 감사드립니다.
본 차량은 KB캐피탈 장기렌트 반납차량으로 현금/운용리스/할부로 구입 가능한 차량입니다.
중고차 선택의 고민과 걱정 그리고  방법을 함께 소통하며 후회없는 결정을 도와드리겠습니다.  
▶ 차량설명
-차       종: 싼타페 TM 2.0 2WD 프리미엄
-연       식: 2019년 10월
-색       상: 쥐 색
-사고여부: 무사고
-주행거리: 83,675km
-내 / 외관: 실내외 깨끗함. 
-관리상태: 정기적인 관리로 차량 컨디션 좋음 
▶옵션사항 
-외관사양 : 외관광택 및 상품화 완료
-편의사양 : 순정 네비-후방카메라 , 열선통풍시트 ,
▶차량의 특징 
-차량컨디션과 주행상태 아주 양호함
 :쏠림 , 떨림 , 잔진동 , 잡소음 없음.
-큰 스트레스 없이 바로 운행 가능한 중고차량으로 추천함.!!
▶문의방법 
-전화가 부재중일시 문자를 남겨주시면,
  확인후 바로 전화드리겠습니다
. 
-차량은 서울 강서구 [서서울모터리움]에서 보실 수 있어요. .   
-현재 타고 계신 차량과 교환(대차)도 가능하며, 
  오토(할부)금융-보험도 한번에 가능 합니다.
▶ 필요서류 
[ 현 금 ] 구입시 ▷ 등본 1통 or 신분증(운전면허증) 지참 
[ 할 부 ] 구입시 ▷ 운전면허증만 있으면 됩니다.
[특별승인구입] ▷신용 상관없이 전액 할부 가능(사전상담 필)
▶오시는길
-주 소: 서울 강서구 양천로 53길30 서서울모터리움 1204호
-지하철: [9호선] 양천 향교역 5번출구 도보5분,</t>
  </si>
  <si>
    <t>2025-12-24T09:56:29</t>
  </si>
  <si>
    <t>2025-12-24T13:56:02</t>
  </si>
  <si>
    <t>2025-12-24T08:07:06</t>
  </si>
  <si>
    <t>["001", "004", "005", "006", "007", "008", "014", "015", "017", "019", "020", "022", "023", "024", "026", "027", "030", "031", "032", "033", "055", "056", "057", "058", "063", "068", "072", "074", "082", "088", "096", "097"]</t>
  </si>
  <si>
    <t>7062</t>
  </si>
  <si>
    <t>[{"code": "163", "name": "엔카진단센터 서서울점", "major": true, "telephoneNumber": "02-6331-6630", "address": "서울 강서구 양천로53길 30 서서울모터리움 101호"}]</t>
  </si>
  <si>
    <t>주식회사 손오공</t>
  </si>
  <si>
    <t>채덕병</t>
  </si>
  <si>
    <t>[{"code": "006", "path": "/carpicture02/pic4122/41222823_006.jpg", "type": "INNER", "updateDateTime": "2025-12-24T09:56:16", "desc": null}, {"code": "016", "path": "/carpicture02/pic4122/41222823_016.jpg", "type": "OPTION", "updateDateTime": "2025-12-24T09:56:16", "desc": null}, {"code": "017", "path": "/carpicture02/pic4122/41222823_017.jpg", "type": "OPTION", "updateDateTime": "2025-12-24T09:56:16", "desc": null}, {"code": "022", "path": "/carpicture02/pic4122/41222823_022.jpg", "type": "OPTION", "updateDateTime": "2025-12-24T09:56:16", "desc": null}, {"code": "020", "path": "/carpicture02/pic4122/41222823_020.jpg", "type": "OPTION", "updateDateTime": "2025-12-24T09:56:16", "desc": null}, {"code": "002", "path": "/carpicture02/pic4122/41222823_002.jpg", "type": "OUTER", "updateDateTime": "2025-12-24T09:56:16", "desc": null}, {"code": "024", "path": "/carpicture02/pic4122/41222823_024.jpg", "type": "OPTION", "updateDateTime": "2025-12-24T09:56:16", "desc": null}, {"code": "008", "path": "/carpicture02/pic4122/41222823_008.jpg", "type": "INNER", "updateDateTime": "2025-12-24T09:56:16", "desc": null}, {"code": "007", "path": "/carpicture02/pic4122/41222823_007.jpg", "type": "INNER", "updateDateTime": "2025-12-24T09:56:16", "desc": null}, {"code": "015", "path": "/carpicture02/pic4122/41222823_015.jpg", "type": "OPTION", "updateDateTime": "2025-12-24T09:56:16", "desc": null}, {"code": "021", "path": "/carpicture02/pic4122/41222823_021.jpg", "type": "OPTION", "updateDateTime": "2025-12-24T09:56:16", "desc": null}, {"code": "004", "path": "/carpicture02/pic4122/41222823_004.jpg", "type": "OUTER", "updateDateTime": "2025-12-24T09:56:16", "desc": null}, {"code": "010", "path": "/carpicture02/pic4122/41222823_010.jpg", "type": "INNER", "updateDateTime": "2025-12-24T09:56:16", "desc": null}, {"code": "003", "path": "/carpicture02/pic4122/41222823_003.jpg", "type": "OUTER", "updateDateTime": "2025-12-24T09:56:16", "desc": null}, {"code": "001", "path": "/carpicture02/pic4122/41222823_001.jpg", "type": "OUTER", "updateDateTime": "2025-12-24T09:56:16", "desc": null}, {"code": "018", "path": "/carpicture02/pic4122/41222823_018.jpg", "type": "OPTION", "updateDateTime": "2025-12-24T09:56:16", "desc": null}, {"code": "005", "path": "/carpicture02/pic4122/41222823_005.jpg", "type": "OUTER", "updateDateTime": "2025-12-24T09:56:16", "desc": null}, {"code": "009", "path": "/carpicture02/pic4122/41222823_009.jpg", "type": "INNER", "updateDateTime": "2025-12-24T09:56:16", "desc": null}, {"code": "019", "path": "/carpicture02/pic4122/41222823_019.jpg", "type": "OPTION", "updateDateTime": "2025-12-24T09:56:16", "desc": null}, {"code": "023", "path": "/carpicture02/pic4122/41222823_023.jpg", "type": "OPTION", "updateDateTime": "2025-12-24T09:56:16", "desc": null}]</t>
  </si>
  <si>
    <t>122호2960</t>
  </si>
  <si>
    <t>KMHS281BBLU221783</t>
  </si>
  <si>
    <t>Inspiration 2WD</t>
  </si>
  <si>
    <t>170</t>
  </si>
  <si>
    <t>05062161719</t>
  </si>
  <si>
    <t>2025-12-19T16:56:35</t>
  </si>
  <si>
    <t>2026-01-18T13:56:03</t>
  </si>
  <si>
    <t>2025-12-19T16:35:49</t>
  </si>
  <si>
    <t>["1004", "10001", "10002"]</t>
  </si>
  <si>
    <t>["001", "004", "005", "006", "007", "008", "010", "014", "015", "017", "019", "020", "021", "022", "023", "024", "026", "027", "030", "031", "032", "033", "034", "035", "051", "055", "056", "057", "058", "059", "062", "063", "072", "074", "075", "077", "079", "081", "082", "084", "085", "086", "087", "088", "094", "096", "097"]</t>
  </si>
  <si>
    <t>5868</t>
  </si>
  <si>
    <t>우진모터스</t>
  </si>
  <si>
    <t>이미연</t>
  </si>
  <si>
    <t>[{"code": "008", "path": "/carpicture10/pic4120/41203439_008.jpg", "type": "INNER", "updateDateTime": "2025-12-19T16:54:34", "desc": null}, {"code": "021", "path": "/carpicture10/pic4120/41203439_021.jpg", "type": "OPTION", "updateDateTime": "2025-12-19T16:54:34", "desc": null}, {"code": "023", "path": "/carpicture10/pic4120/41203439_023.jpg", "type": "OPTION", "updateDateTime": "2025-12-19T16:54:34", "desc": null}, {"code": "004", "path": "/carpicture10/pic4120/41203439_004.jpg", "type": "OUTER", "updateDateTime": "2025-12-19T16:54:34", "desc": null}, {"code": "010", "path": "/carpicture10/pic4120/41203439_010.jpg", "type": "INNER", "updateDateTime": "2025-12-19T16:54:34", "desc": null}, {"code": "003", "path": "/carpicture10/pic4120/41203439_003.jpg", "type": "OUTER", "updateDateTime": "2025-12-19T16:54:34", "desc": null}, {"code": "022", "path": "/carpicture10/pic4120/41203439_022.jpg", "type": "OPTION", "updateDateTime": "2025-12-19T16:54:34", "desc": null}, {"code": "016", "path": "/carpicture10/pic4120/41203439_016.jpg", "type": "OPTION", "updateDateTime": "2025-12-19T16:54:34", "desc": null}, {"code": "017", "path": "/carpicture10/pic4120/41203439_017.jpg", "type": "OPTION", "updateDateTime": "2025-12-19T16:54:34", "desc": null}, {"code": "002", "path": "/carpicture10/pic4120/41203439_002.jpg", "type": "OUTER", "updateDateTime": "2025-12-19T16:54:34", "desc": null}, {"code": "005", "path": "/carpicture10/pic4120/41203439_005.jpg", "type": "OUTER", "updateDateTime": "2025-12-19T16:54:34", "desc": null}, {"code": "024", "path": "/carpicture10/pic4120/41203439_024.jpg", "type": "OPTION", "updateDateTime": "2025-12-19T16:54:34", "desc": null}, {"code": "018", "path": "/carpicture10/pic4120/41203439_018.jpg", "type": "OPTION", "updateDateTime": "2025-12-19T16:54:34", "desc": null}, {"code": "007", "path": "/carpicture10/pic4120/41203439_007.jpg", "type": "INNER", "updateDateTime": "2025-12-19T16:54:34", "desc": null}, {"code": "001", "path": "/carpicture10/pic4120/41203439_001.jpg", "type": "OUTER", "updateDateTime": "2025-12-19T16:54:34", "desc": null}, {"code": "020", "path": "/carpicture10/pic4120/41203439_020.jpg", "type": "OPTION", "updateDateTime": "2025-12-19T16:54:34", "desc": null}, {"code": "015", "path": "/carpicture10/pic4120/41203439_015.jpg", "type": "OPTION", "updateDateTime": "2025-12-19T16:54:34", "desc": null}, {"code": "006", "path": "/carpicture10/pic4120/41203439_006.jpg", "type": "INNER", "updateDateTime": "2025-12-19T16:54:34", "desc": null}, {"code": "009", "path": "/carpicture10/pic4120/41203439_009.jpg", "type": "INNER", "updateDateTime": "2025-12-19T16:54:34", "desc": null}, {"code": "019", "path": "/carpicture10/pic4120/41203439_019.jpg", "type": "OPTION", "updateDateTime": "2025-12-19T16:54:34", "desc": null}]</t>
  </si>
  <si>
    <t>168머4978</t>
  </si>
  <si>
    <t>KMHJE811BMU000648</t>
  </si>
  <si>
    <t>202005</t>
  </si>
  <si>
    <t>05062239281</t>
  </si>
  <si>
    <t>【소개】
  ☞  직접 실매물을 확인하고 진단받은 차량이라 안전하고 확실하게 거래 하실 수 있습니다. 
  ☞  보증받은 차량은 허위매물이 일절 없으며, 허위매물시 헛걸음보상제를 통하여 보상 받으 실 수 있습니다.
  　 허위매물이 의심되신다면 방문전 차량 사진,동영상,영상통화 도 가능합니다.
  ☞ 저희 영차는 100% 실매물로 정직 신뢰 믿음으로 3가지를 중점으로 최선을 다하겠습니다.
  ☞ 상태가 좋은 양질의 중고차만을 취급하며 성능보증을 통한 판매를 원칙으로 합니다.
  ☞ 보고 계신 차량을 최고의 컨디션 최상의 상태로 보실 수 있게 노력하는 영차가 되겠습니다.
  ☞ 침수 및 주행거리조작 사고유무 진단오류시 전액환불 또는 보상을 약속드립니다.
【구매 방법】
  ☞ 구매방법 현금/할부/신용카드/대차/리스 전부 가능합니다.
  ☞ 현재 타고 다니시던 차량 최고가 매입 또는 대차 가능합니다.
      대차시 더 좋은 조건으로 차량구매를 하실 수 있습니다.
  ☞ 할부조회를 먼저 해 보고 오셔야 힘든 걸음 안하실수 있습니다. 
      조회는 제휴점을 통해 저금리로 안내 받으실 수 있습니다.
      개인 신용마다 등본2통,인감2통,통장사본 등이 필요할 수 있습니다.
  ☞ 캐피탈&amp;은행권을 통한 저금리로 할부 또는 신용카드를 통한 차량구매를 도와드리며 
      차량대금, 이전비, 보험비, 여유자금까지 전액 할부 가능합니다.
【차량 구매 방법】
  ☞ 현금 구매시 - 신분증
  ☞ 할부 구매시 - 운전면허증
      　　 할부조회를 먼저 해 보고 오셔야 힘든 걸음 안하실수 있습니다. 
      　　 조회는 제휴점을 통해 저금리로 안내 받으실 수 있습니다.
      　　 개인 신용마다 등본2통,인감2통,통장사본 등이 필요할 수 있습니다.
  ☞ 주소안내
            인천광역시 간석4동 616-85 214호 영차  
       　　신주소 : 인천광역시 남동구 방축로 414 간석매매단지 214호 영차 
      　　 네비게이션 : 간석자동차매매단지 검색
      　　 오시기 힘든 분들은 대중교통 이용시 터미널 또는 지하철역 하차하시면 픽업 도와드립니다.
-------------------------------------------------------------------------------------------------------------
마지막으로 보고계신 차량은 시운전이 가능한 차량이며 평일 주말 관계 없이 당일출고를 약속드리며
저렴한 가격의 매물을 보고 가셨다 크게 실망하시고 헛걸음 하셨던 분들 성능좋고 매력있는 차를 저렴한
가격에 내놓는 장사꾼은 없답니다.
저희는 강요하는 직업이 아닌 보기의 폭을 넓혀드리는 사람들입니다. 
처음이라 잘모르시고 걱정 많으신분들 편하게 연락 주세요. 
언제든지 부담 갖지 마시고 연락 주시면 친절하게 상담 도와드리겠습니다.
감사합니다. 즐거운 하루 되세요 ^^*</t>
  </si>
  <si>
    <t>2025-12-18T16:56:31</t>
  </si>
  <si>
    <t>2026-01-06T13:56:03</t>
  </si>
  <si>
    <t>2025-12-18T12:55:12</t>
  </si>
  <si>
    <t>["001", "004", "005", "006", "007", "008", "014", "015", "017", "019", "020", "022", "023", "024", "026", "027", "030", "031", "032", "033", "055", "056", "057", "058", "068", "071", "072", "074", "082", "088", "096", "097"]</t>
  </si>
  <si>
    <t>[{"code": "015", "path": "/carpicture09/pic4119/41192737_015.jpg", "type": "OPTION", "updateDateTime": "2025-12-18T14:02:40", "desc": null}, {"code": "020", "path": "/carpicture09/pic4119/41192737_020.jpg", "type": "OPTION", "updateDateTime": "2025-12-18T14:02:40", "desc": null}, {"code": "024", "path": "/carpicture09/pic4119/41192737_024.jpg", "type": "OPTION", "updateDateTime": "2025-12-18T14:02:40", "desc": null}, {"code": "008", "path": "/carpicture09/pic4119/41192737_008.jpg", "type": "INNER", "updateDateTime": "2025-12-18T14:02:40", "desc": null}, {"code": "001", "path": "/carpicture09/pic4119/41192737_001.jpg", "type": "OUTER", "updateDateTime": "2025-12-18T14:02:40", "desc": null}, {"code": "002", "path": "/carpicture09/pic4119/41192737_002.jpg", "type": "OUTER", "updateDateTime": "2025-12-18T14:02:40", "desc": null}, {"code": "006", "path": "/carpicture09/pic4119/41192737_006.jpg", "type": "INNER", "updateDateTime": "2025-12-18T14:02:40", "desc": null}, {"code": "016", "path": "/carpicture09/pic4119/41192737_016.jpg", "type": "OPTION", "updateDateTime": "2025-12-18T14:02:40", "desc": null}, {"code": "005", "path": "/carpicture09/pic4119/41192737_005.jpg", "type": "OUTER", "updateDateTime": "2025-12-18T14:02:40", "desc": null}, {"code": "019", "path": "/carpicture09/pic4119/41192737_019.jpg", "type": "OPTION", "updateDateTime": "2025-12-18T14:02:40", "desc": null}, {"code": "023", "path": "/carpicture09/pic4119/41192737_023.jpg", "type": "OPTION", "updateDateTime": "2025-12-18T14:02:40", "desc": null}, {"code": "022", "path": "/carpicture09/pic4119/41192737_022.jpg", "type": "OPTION", "updateDateTime": "2025-12-18T14:02:40", "desc": null}, {"code": "018", "path": "/carpicture09/pic4119/41192737_018.jpg", "type": "OPTION", "updateDateTime": "2025-12-18T14:02:40", "desc": null}, {"code": "021", "path": "/carpicture09/pic4119/41192737_021.jpg", "type": "OPTION", "updateDateTime": "2025-12-18T14:02:40", "desc": null}, {"code": "004", "path": "/carpicture09/pic4119/41192737_004.jpg", "type": "OUTER", "updateDateTime": "2025-12-18T14:02:40", "desc": null}, {"code": "003", "path": "/carpicture09/pic4119/41192737_003.jpg", "type": "OUTER", "updateDateTime": "2025-12-18T14:02:40", "desc": null}, {"code": "007", "path": "/carpicture09/pic4119/41192737_007.jpg", "type": "INNER", "updateDateTime": "2025-12-18T14:02:40", "desc": null}, {"code": "017", "path": "/carpicture09/pic4119/41192737_017.jpg", "type": "OPTION", "updateDateTime": "2025-12-18T14:02:40", "desc": null}, {"code": "010", "path": "/carpicture09/pic4119/41192737_010.jpg", "type": "INNER", "updateDateTime": "2025-12-18T14:02:40", "desc": null}, {"code": "009", "path": "/carpicture09/pic4119/41192737_009.jpg", "type": "INNER", "updateDateTime": "2025-12-18T14:02:40", "desc": null}]</t>
  </si>
  <si>
    <t>396주4188</t>
  </si>
  <si>
    <t>KMHS281BBLU293041</t>
  </si>
  <si>
    <t>경기 김포시 아라육로152번길 45</t>
  </si>
  <si>
    <t>05062315072</t>
  </si>
  <si>
    <t>　
안녕하세요 경기도 김포시 국민차 매매 단지 공항점에 위치한 공은모터스입니다.
타고 계신 차량 대차 시 구매하시는 차량 추가 할인해 드립니다.
또한 차량 판매를 원하시는 고객님은 전국 무료 출장 견적 가능합니다.
신용 문제로 차량 할부 구매 어려우신 분들 연락 주시면 도움드립니다.
▶차량정보
차량명 : 현대 싼타페 더 프라임 디젤 2.0 2WD 프리미엄
년식 : 2016년
색상 : 은색
유종 : 경유
주행거리 : 49,401km
사고내역 : 완전무사고
특이사항 : 1인신조, 
8인치 스마트 내비게이션 + 후방카메라, 
1열 전동시트, 루프랙, 
LED 주간 주행등(DRL), 버튼시동 &amp; 스마트키 시스템, 핸들열선, 전좌석 열선시트, 
오토라이트, 크루즈컨트롤
▶차량 구매 시
-신분증만 지참하셔서 오시면 됩니다.
-차량 시승 가능하시며 정비소에서 상태 확인 또한 가능합니다.
-홈 탁송 거래 가능합니다. (계신 곳으로 차량 보내드립니다.)
-원하시면 하부 사진, 엔진 구동 동영상 보내드립니다.
▶차량 판매 시
-차량 등록증과 차량 매도용 인감 가까운 주민센터에서 발급 가능합니다.
-차량 매도용 인감 발급하실 때 연락 주시면 매수인 인적 사항과 나머지 사항 안내해 드립니다.
▶오시는 길
경기도 김포시 고촌읍 아라육로 152번길 45, 국민차 매매 단지 공항점 A동 339호 공은모터스
김포 현대 프리미엄 아웃렛 근방
대중교통 이용 시 김포 골드라인 고촌역 오셔서 연락 주시면 모시러 나가겠습니다.
▶영업시간 : 09:00-21:00
********22:00 이전, 주말, 공휴일 모두 차량 출고 가능합니다.</t>
  </si>
  <si>
    <t>2025-12-18T10:56:24</t>
  </si>
  <si>
    <t>2026-01-21T14:56:03</t>
  </si>
  <si>
    <t>2025-12-18T08:51:13</t>
  </si>
  <si>
    <t>["1165"]</t>
  </si>
  <si>
    <t>["001", "003", "004", "005", "006", "007", "008", "014", "015", "017", "019", "020", "021", "022", "023", "024", "026", "027", "030", "031", "032", "033", "035", "055", "056", "057", "058", "062", "063", "068", "071", "072", "074", "082", "092", "096", "097"]</t>
  </si>
  <si>
    <t>4940</t>
  </si>
  <si>
    <t>[{"code": "146", "name": "엔카진단센터 김포 국민차2층", "major": true, "telephoneNumber": "031-8092-4342", "address": "경기 김포시 아라육로182번길 50 국민차 매매단지 공항점 A동 227호/스튜디오 B동 2층"}, {"code": "178", "name": "엔카진단센터 김포 국민차3층", "major": false, "telephoneNumber": "031-8092-4342", "address": "경기 김포시 아라육로182번길 50 국민차 매매단지 공항점 A동 227호/스튜디오 B동 3층"}]</t>
  </si>
  <si>
    <t>공은모터스</t>
  </si>
  <si>
    <t>서지민</t>
  </si>
  <si>
    <t>[{"code": "001", "path": "/carpicture08/pic4118/41189810_001.jpg", "type": "OUTER", "updateDateTime": "2025-12-18T10:55:48", "desc": null}, {"code": "010", "path": "/carpicture08/pic4118/41189810_010.jpg", "type": "INNER", "updateDateTime": "2025-12-18T10:55:48", "desc": null}, {"code": "006", "path": "/carpicture08/pic4118/41189810_006.jpg", "type": "INNER", "updateDateTime": "2025-12-18T10:55:48", "desc": null}, {"code": "017", "path": "/carpicture08/pic4118/41189810_017.jpg", "type": "OPTION", "updateDateTime": "2025-12-18T10:55:48", "desc": null}, {"code": "008", "path": "/carpicture08/pic4118/41189810_008.jpg", "type": "INNER", "updateDateTime": "2025-12-18T10:55:48", "desc": null}, {"code": "005", "path": "/carpicture08/pic4118/41189810_005.jpg", "type": "OUTER", "updateDateTime": "2025-12-18T10:55:48", "desc": null}, {"code": "015", "path": "/carpicture08/pic4118/41189810_015.jpg", "type": "OPTION", "updateDateTime": "2025-12-18T10:55:48", "desc": null}, {"code": "018", "path": "/carpicture08/pic4118/41189810_018.jpg", "type": "OPTION", "updateDateTime": "2025-12-18T10:55:48", "desc": null}, {"code": "019", "path": "/carpicture08/pic4118/41189810_019.jpg", "type": "OPTION", "updateDateTime": "2025-12-18T10:55:48", "desc": null}, {"code": "024", "path": "/carpicture08/pic4118/41189810_024.jpg", "type": "OPTION", "updateDateTime": "2025-12-18T10:55:48", "desc": null}, {"code": "003", "path": "/carpicture08/pic4118/41189810_003.jpg", "type": "OUTER", "updateDateTime": "2025-12-18T10:55:48", "desc": null}, {"code": "021", "path": "/carpicture08/pic4118/41189810_021.jpg", "type": "OPTION", "updateDateTime": "2025-12-18T10:55:48", "desc": null}, {"code": "004", "path": "/carpicture08/pic4118/41189810_004.jpg", "type": "OUTER", "updateDateTime": "2025-12-18T10:55:48", "desc": null}, {"code": "022", "path": "/carpicture08/pic4118/41189810_022.jpg", "type": "OPTION", "updateDateTime": "2025-12-18T10:55:48", "desc": null}, {"code": "023", "path": "/carpicture08/pic4118/41189810_023.jpg", "type": "OPTION", "updateDateTime": "2025-12-18T10:55:48", "desc": null}, {"code": "016", "path": "/carpicture08/pic4118/41189810_016.jpg", "type": "OPTION", "updateDateTime": "2025-12-18T10:55:48", "desc": null}, {"code": "020", "path": "/carpicture08/pic4118/41189810_020.jpg", "type": "OPTION", "updateDateTime": "2025-12-18T10:55:48", "desc": null}, {"code": "009", "path": "/carpicture08/pic4118/41189810_009.jpg", "type": "INNER", "updateDateTime": "2025-12-18T10:55:48", "desc": null}, {"code": "002", "path": "/carpicture08/pic4118/41189810_002.jpg", "type": "OUTER", "updateDateTime": "2025-12-18T10:55:48", "desc": null}, {"code": "007", "path": "/carpicture08/pic4118/41189810_007.jpg", "type": "INNER", "updateDateTime": "2025-12-18T10:55:48", "desc": null}]</t>
  </si>
  <si>
    <t>51두0105</t>
  </si>
  <si>
    <t>KMHSW81UBGU688835</t>
  </si>
  <si>
    <t>[9, 10, 24]</t>
  </si>
  <si>
    <t>*엔카 실촬영*1인소유*비흡연*썬루프*제조사AS*준신차급*특SSS급</t>
  </si>
  <si>
    <t>009</t>
  </si>
  <si>
    <t>The Essential</t>
  </si>
  <si>
    <t>202305</t>
  </si>
  <si>
    <t>경기 안산시 단원구 원포공원1로 16</t>
  </si>
  <si>
    <t>05062007461</t>
  </si>
  <si>
    <t>≫차 량 프 로 필≪
$$$$$ 보증차량으로 성능 및 주행거리는 법적고지 합니다. 실매물이 아닐시 형사처벌 대상임을 명시합니다 $$$$$
$$$$$ 궁굼하시거나 방문전 연락주시면 24시간 친절히 상담해 드리겠습니다 감사합니다 $$$$$ 
$$$$$ %%%%%필독: 침수차 및 전손차량은 취급하지 않습니다%%%%% $$$$$
※차량 종류: @@@@@ 캐스퍼 1.0 디 에센셜
※차량 년식: @@@@@ 2023년 5월 10일등록
※차량 옵션: @@@@@ *썬루프*네비*후방*가죽,열선,통풍시트*버튼시동*하이패스*블랙박스*비흡연*
※사고 유무: @@@@@ 완전무사고 (보험이력 무)
※주행 거리: @@@@@ 20.150km (실 주행거리) (년식대비 짧은 주행거리)
※옵션 추가 설명 : @@@@@ *1인소유*비흡연*여성운전자*제조사AS*준신차급*특SSS급*
≫구 매 방 법≪
현금 / 할부 / 카드 / 대차 (타고다니시는차량) 가능합니다
※ 할부 구매시
 ( 현대캐피탈 최저금리 다이렉트 진행가능합니다 )
SI 모터스 호길수 팀장 (안산시 단원구 초지동 745-3 경기자동차매매단지 215호)</t>
  </si>
  <si>
    <t>2025-12-16T10:56:19</t>
  </si>
  <si>
    <t>2026-01-12T11:56:02</t>
  </si>
  <si>
    <t>2025-12-15T14:04:31</t>
  </si>
  <si>
    <t>["1001", "1003"]</t>
  </si>
  <si>
    <t>["001", "004", "005", "006", "007", "008", "010", "014", "015", "019", "020", "022", "023", "024", "026", "027", "031", "032", "033", "034", "055", "056", "057", "058", "062", "068", "072", "074", "082", "088", "096", "097"]</t>
  </si>
  <si>
    <t>0478</t>
  </si>
  <si>
    <t>[{"code": "142", "name": "엔카진단센터 안산점", "major": true, "telephoneNumber": "031-481-9064", "address": "경기 안산시 단원구 원포공원1로 16 경기매매단지 118호"}]</t>
  </si>
  <si>
    <t>에쓰아이모터스</t>
  </si>
  <si>
    <t>호길수</t>
  </si>
  <si>
    <t>[{"code": "006", "path": "/carpicture06/pic4116/41169630_006.jpg", "type": "INNER", "updateDateTime": "2025-12-16T10:45:00", "desc": null}, {"code": "009", "path": "/carpicture06/pic4116/41169630_009.jpg", "type": "INNER", "updateDateTime": "2025-12-16T10:45:00", "desc": null}, {"code": "023", "path": "/carpicture06/pic4116/41169630_023.jpg", "type": "OPTION", "updateDateTime": "2025-12-16T10:45:00", "desc": null}, {"code": "017", "path": "/carpicture06/pic4116/41169630_017.jpg", "type": "OPTION", "updateDateTime": "2025-12-16T10:45:00", "desc": null}, {"code": "021", "path": "/carpicture06/pic4116/41169630_021.jpg", "type": "OPTION", "updateDateTime": "2025-12-16T10:45:00", "desc": null}, {"code": "024", "path": "/carpicture06/pic4116/41169630_024.jpg", "type": "OPTION", "updateDateTime": "2025-12-16T10:45:00", "desc": null}, {"code": "002", "path": "/carpicture06/pic4116/41169630_002.jpg", "type": "OUTER", "updateDateTime": "2025-12-16T10:45:00", "desc": null}, {"code": "019", "path": "/carpicture06/pic4116/41169630_019.jpg", "type": "OPTION", "updateDateTime": "2025-12-16T10:45:00", "desc": null}, {"code": "003", "path": "/carpicture06/pic4116/41169630_003.jpg", "type": "OUTER", "updateDateTime": "2025-12-16T10:45:00", "desc": null}, {"code": "020", "path": "/carpicture06/pic4116/41169630_020.jpg", "type": "OPTION", "updateDateTime": "2025-12-16T10:45:00", "desc": null}, {"code": "016", "path": "/carpicture06/pic4116/41169630_016.jpg", "type": "OPTION", "updateDateTime": "2025-12-16T10:45:00", "desc": null}, {"code": "007", "path": "/carpicture06/pic4116/41169630_007.jpg", "type": "INNER", "updateDateTime": "2025-12-16T10:45:00", "desc": null}, {"code": "004", "path": "/carpicture06/pic4116/41169630_004.jpg", "type": "OUTER", "updateDateTime": "2025-12-16T10:45:00", "desc": null}, {"code": "010", "path": "/carpicture06/pic4116/41169630_010.jpg", "type": "INNER", "updateDateTime": "2025-12-16T10:45:00", "desc": null}, {"code": "001", "path": "/carpicture06/pic4116/41169630_001.jpg", "type": "OUTER", "updateDateTime": "2025-12-16T10:45:00", "desc": null}, {"code": "008", "path": "/carpicture06/pic4116/41169630_008.jpg", "type": "INNER", "updateDateTime": "2025-12-16T10:45:00", "desc": null}, {"code": "015", "path": "/carpicture06/pic4116/41169630_015.jpg", "type": "OPTION", "updateDateTime": "2025-12-16T10:45:00", "desc": null}, {"code": "005", "path": "/carpicture06/pic4116/41169630_005.jpg", "type": "OUTER", "updateDateTime": "2025-12-16T10:45:00", "desc": null}, {"code": "022", "path": "/carpicture06/pic4116/41169630_022.jpg", "type": "OPTION", "updateDateTime": "2025-12-16T10:45:00", "desc": null}, {"code": "018", "path": "/carpicture06/pic4116/41169630_018.jpg", "type": "OPTION", "updateDateTime": "2025-12-16T10:45:00", "desc": null}]</t>
  </si>
  <si>
    <t>녹색</t>
  </si>
  <si>
    <t>카키색</t>
  </si>
  <si>
    <t>139러5374</t>
  </si>
  <si>
    <t>KMHB3518BPW066972</t>
  </si>
  <si>
    <t>3.0 Exclusive</t>
  </si>
  <si>
    <t>경북 포항시 남구 희망대로 480</t>
  </si>
  <si>
    <t>05062032643</t>
  </si>
  <si>
    <t>★ 〓〓〓〓〓〓〓〓〓〓〓〓〓〓〓〓〓〓★
◈ 믿음을 사고 신뢰를 파는 부릉부릉닷컴 중고차 대표 안용운입니다.◈                                         
 23년 신차 중고차 판매 경력으로 지역에서 가장 신뢰하는 매장으로 자리매김하고 있습니다.
▒▒▒▒▒▒▒   경      력    ▒▒▒▒▒▒▒     
▶  현대 자동차 신차 판매 
▶  르노 삼성 신차 판매
▶  부릉부릉 닷컴 중고차 대표
★ 〓〓〓〓〓〓〓〓〓〓〓〓〓〓〓〓〓〓 ★
◈◈◈  셀 링 포 인 트 ◈◈◈ 
  안녕하세요 ! 
  부릉부릉닷컴 중고차 대표 안용운입니다. 
  차량에 관심을 가져 주셔서 대단히 감사드립니다.
▶ 외관, 실내 상태
      (제가 판매하는 모든 차량은 실내,외관 전기 광택 및 실내 향균 크링닝 완료된 향기나는 차량입니다.)
▶ 추가옵션 : JBL 사운드 패키지
▶ 사고 여부 : 교환 차량입니다. 
▶ 차       종 : 그랜저 IG 3.0 익스클루시브 스페셜 차량입니다.
▶ 연       식 : 2018년 10월 01일 최초 등록
▶ 색       상 : 검정색 색상  입니다.
▶ 주행 거리 : 113,584 Km 입니다.
※  더 많은 정보를 원하시는 고객께서는  검색창에 부릉부릉닷컴 검색해 주세요 ※ 
▣ 부릉부릉닷컴 금융 서비스  
▶ 전국 당일 출고, 배송 서비스 가능 (제주도, 울릉도 제외)
▶ 할부 금리 비교 서비스 
▶ 초기 비용 없이 전액 할부 서비스 지원 ( 차량 대금 + 이전 등록 + 차량 보험 + 부대 비용 )
▶ 만 20세 이상 누구나 "돈" 한푼 없이 " 전액 할부 " 지원
▶ 주요 보험사 자동차 보험료 비교 서비스 ( 동일 조건 보험 가입 서비스 제공 )
▣ 문의 방법   
- 부담없이 연락주시면 친절하고 상세하게 설명을 드리도록 노력하겠습니다. 
전화 부재중일 시 문자를 남겨주시면 확인 후 연락드리겠습니다.
- 차량은 포항 이동 【 부릉부릉닷컴 】중고차 매장에서 보실 수 있습니다.
- 차량 상태나 문의 사항 궁금하신 부분은 사진으로 고객님이 직접 받아 보실 수 있습니다.
   ★ 오시는 길 : 포항 KTX 역에서 5분 거리. 고속버스 터미널에서 10분 거리
   ★ 주       소 : 경상북도 포항시 남구 희망대로 480 ( 이동 )
   ♣ 오실 때 연락 주시면 고객님 픽업이 가능합니다 ^ ^ *
☞ 사람과 사람과의 만남 ..... 소중히 여기겠습니다.  부담 느끼지 마시고 편하게 문의 하세요 ^ ^</t>
  </si>
  <si>
    <t>2025-12-16T15:56:26</t>
  </si>
  <si>
    <t>2025-12-17T09:56:02</t>
  </si>
  <si>
    <t>2025-12-16T15:42:08</t>
  </si>
  <si>
    <t>["1030"]</t>
  </si>
  <si>
    <t>["001", "003", "004", "005", "006", "007", "008", "014", "015", "017", "019", "020", "021", "022", "023", "024", "026", "027", "030", "031", "032", "033", "034", "035", "051", "055", "056", "057", "058", "059", "063", "068", "071", "072", "074", "075", "077", "081", "082", "083", "085", "086", "087", "092", "093", "094", "096", "097"]</t>
  </si>
  <si>
    <t>3689</t>
  </si>
  <si>
    <t>[{"code": "198", "name": "엔카진단센터 포항점", "major": true, "telephoneNumber": "054-261-2159", "address": "경북 포항시 북구 삼흥로 445 포항중고차일번지 매매단지 D동"}, {"code": "147", "name": "엔카진단센터 대구 동구점", "major": false, "telephoneNumber": "053-965-8746", "address": "대구 동구 반야월로 257"}, {"code": "193", "name": "엔카진단센터 대구 동촌점", "major": false, "telephoneNumber": "053-983-5455", "address": "대구 동구 방촌로 64 1층"}]</t>
  </si>
  <si>
    <t>부릉부릉닷컴(주)</t>
  </si>
  <si>
    <t>안용운</t>
  </si>
  <si>
    <t>[{"code": "021", "path": "/carpicture07/pic4117/41179282_021.jpg", "type": "OPTION", "updateDateTime": "2025-12-16T15:54:03", "desc": null}, {"code": "018", "path": "/carpicture07/pic4117/41179282_018.jpg", "type": "OPTION", "updateDateTime": "2025-12-16T15:54:03", "desc": null}, {"code": "020", "path": "/carpicture07/pic4117/41179282_020.jpg", "type": "OPTION", "updateDateTime": "2025-12-16T15:54:03", "desc": null}, {"code": "022", "path": "/carpicture07/pic4117/41179282_022.jpg", "type": "OPTION", "updateDateTime": "2025-12-16T15:54:03", "desc": null}, {"code": "024", "path": "/carpicture07/pic4117/41179282_024.jpg", "type": "OPTION", "updateDateTime": "2025-12-16T15:54:03", "desc": null}, {"code": "001", "path": "/carpicture07/pic4117/41179282_001.jpg", "type": "OUTER", "updateDateTime": "2025-12-16T15:54:03", "desc": null}, {"code": "002", "path": "/carpicture07/pic4117/41179282_002.jpg", "type": "OUTER", "updateDateTime": "2025-12-16T15:54:03", "desc": null}, {"code": "003", "path": "/carpicture07/pic4117/41179282_003.jpg", "type": "OUTER", "updateDateTime": "2025-12-16T15:54:03", "desc": null}, {"code": "017", "path": "/carpicture07/pic4117/41179282_017.jpg", "type": "OPTION", "updateDateTime": "2025-12-16T15:54:03", "desc": null}, {"code": "005", "path": "/carpicture07/pic4117/41179282_005.jpg", "type": "OUTER", "updateDateTime": "2025-12-16T15:54:03", "desc": null}, {"code": "007", "path": "/carpicture07/pic4117/41179282_007.jpg", "type": "INNER", "updateDateTime": "2025-12-16T15:54:03", "desc": null}, {"code": "023", "path": "/carpicture07/pic4117/41179282_023.jpg", "type": "OPTION", "updateDateTime": "2025-12-16T15:54:03", "desc": null}, {"code": "009", "path": "/carpicture07/pic4117/41179282_009.jpg", "type": "INNER", "updateDateTime": "2025-12-16T15:54:03", "desc": null}, {"code": "016", "path": "/carpicture07/pic4117/41179282_016.jpg", "type": "OPTION", "updateDateTime": "2025-12-16T15:54:03", "desc": null}, {"code": "008", "path": "/carpicture07/pic4117/41179282_008.jpg", "type": "INNER", "updateDateTime": "2025-12-16T15:54:03", "desc": null}, {"code": "019", "path": "/carpicture07/pic4117/41179282_019.jpg", "type": "OPTION", "updateDateTime": "2025-12-16T15:54:03", "desc": null}, {"code": "004", "path": "/carpicture07/pic4117/41179282_004.jpg", "type": "OUTER", "updateDateTime": "2025-12-16T15:54:03", "desc": null}, {"code": "006", "path": "/carpicture07/pic4117/41179282_006.jpg", "type": "INNER", "updateDateTime": "2025-12-16T15:54:03", "desc": null}, {"code": "010", "path": "/carpicture07/pic4117/41179282_010.jpg", "type": "INNER", "updateDateTime": "2025-12-16T15:54:03", "desc": null}, {"code": "015", "path": "/carpicture07/pic4117/41179282_015.jpg", "type": "OPTION", "updateDateTime": "2025-12-16T15:54:03", "desc": null}]</t>
  </si>
  <si>
    <t>188소8205</t>
  </si>
  <si>
    <t>KMHF341EBKA210420</t>
  </si>
  <si>
    <t>Premium Plus</t>
  </si>
  <si>
    <t>202207</t>
  </si>
  <si>
    <t>경기 동두천시 평화로 2120</t>
  </si>
  <si>
    <t>05062330935</t>
  </si>
  <si>
    <t>안녕하세요. 중고차 차마이카 대표 차승건입니다.
Encar/KB차차차 인증 딜러로 현재 고객님께서 보시는 차량은 100% 실매물임을 약속드립니다.
당사는 전국자동차진단보증협회에서 발행 하는 공인 인증 성능점검기록부를 지급합니다.
차량 출고 후 혹여나 문제 발생시 원활한 사후 관리를 약속드리겠습니다.
※ 무사고 운행[엔카진단] + 용도이력 無 + 프리미엄 플러스+ 크리미화이트펄/블랙시트
※ 엔카진단보증차량 + 최상 컨디션 + 1인신조 + 여성운전자 + 비흡연
▶▶▶ 쏘나타(DN8) 2.0 프리미엄플러스 모델 ◀◀◀
※ 추가옵션 434만원 상당
- 크리미화이트펄 + 클러스터 + 컴포트1 + 현대스마트센스2 + 파노라마선루프 + 플래티넘
※ 차량설명
- 무사고 운행[엔카진단]
- 용도이력 無
- 크리미화이트펄+블랙시트
- 신차AS보증 잔존
- 엔카진단보증차량
- 풍부한 옵션
※ 차량위치
- 경기도 동두천시 평화로 2120 차마이카 입니다.
- 방문전 연락 부탁드리겠습니다.</t>
  </si>
  <si>
    <t>2025-12-12T16:56:20</t>
  </si>
  <si>
    <t>2026-01-21T12:56:03</t>
  </si>
  <si>
    <t>2025-12-12T16:11:36</t>
  </si>
  <si>
    <t>["10009", "10004", "10006", "10003", "10001", "10005"]</t>
  </si>
  <si>
    <t>["001", "004", "005", "006", "007", "008", "010", "014", "015", "017", "019", "020", "021", "022", "023", "024", "026", "027", "030", "031", "032", "033", "034", "035", "051", "055", "056", "057", "058", "072", "074", "075", "077", "079", "081", "082", "084", "085", "086", "087", "088", "094", "095", "096", "097"]</t>
  </si>
  <si>
    <t>7100</t>
  </si>
  <si>
    <t>[{"code": "183", "name": "엔카진단센터 양주 타이거오토몰", "major": true, "telephoneNumber": "", "address": "경기 양주시 부흥로1907번길 7"}]</t>
  </si>
  <si>
    <t>차마이카</t>
  </si>
  <si>
    <t>차승건</t>
  </si>
  <si>
    <t>[{"code": "018", "path": "/carpicture06/pic4116/41161416_018.jpg", "type": "OPTION", "updateDateTime": "2025-12-12T16:55:14", "desc": null}, {"code": "005", "path": "/carpicture06/pic4116/41161416_005.jpg", "type": "OUTER", "updateDateTime": "2025-12-12T16:55:14", "desc": null}, {"code": "002", "path": "/carpicture06/pic4116/41161416_002.jpg", "type": "OUTER", "updateDateTime": "2025-12-12T16:55:14", "desc": null}, {"code": "016", "path": "/carpicture06/pic4116/41161416_016.jpg", "type": "OPTION", "updateDateTime": "2025-12-12T16:55:14", "desc": null}, {"code": "024", "path": "/carpicture06/pic4116/41161416_024.jpg", "type": "OPTION", "updateDateTime": "2025-12-12T16:55:14", "desc": null}, {"code": "008", "path": "/carpicture06/pic4116/41161416_008.jpg", "type": "INNER", "updateDateTime": "2025-12-12T16:55:14", "desc": null}, {"code": "019", "path": "/carpicture06/pic4116/41161416_019.jpg", "type": "OPTION", "updateDateTime": "2025-12-12T16:55:14", "desc": null}, {"code": "021", "path": "/carpicture06/pic4116/41161416_021.jpg", "type": "OPTION", "updateDateTime": "2025-12-12T16:55:14", "desc": null}, {"code": "001", "path": "/carpicture06/pic4116/41161416_001.jpg", "type": "OUTER", "updateDateTime": "2025-12-12T16:55:14", "desc": null}, {"code": "015", "path": "/carpicture06/pic4116/41161416_015.jpg", "type": "OPTION", "updateDateTime": "2025-12-12T16:55:14", "desc": null}, {"code": "010", "path": "/carpicture06/pic4116/41161416_010.jpg", "type": "INNER", "updateDateTime": "2025-12-12T16:55:14", "desc": null}, {"code": "023", "path": "/carpicture06/pic4116/41161416_023.jpg", "type": "OPTION", "updateDateTime": "2025-12-12T16:55:14", "desc": null}, {"code": "017", "path": "/carpicture06/pic4116/41161416_017.jpg", "type": "OPTION", "updateDateTime": "2025-12-12T16:55:14", "desc": null}, {"code": "006", "path": "/carpicture06/pic4116/41161416_006.jpg", "type": "INNER", "updateDateTime": "2025-12-12T16:55:14", "desc": null}, {"code": "009", "path": "/carpicture06/pic4116/41161416_009.jpg", "type": "INNER", "updateDateTime": "2025-12-12T16:55:14", "desc": null}, {"code": "007", "path": "/carpicture06/pic4116/41161416_007.jpg", "type": "INNER", "updateDateTime": "2025-12-12T16:55:14", "desc": null}, {"code": "020", "path": "/carpicture06/pic4116/41161416_020.jpg", "type": "OPTION", "updateDateTime": "2025-12-12T16:55:14", "desc": null}, {"code": "004", "path": "/carpicture06/pic4116/41161416_004.jpg", "type": "OUTER", "updateDateTime": "2025-12-12T16:55:14", "desc": null}, {"code": "022", "path": "/carpicture06/pic4116/41161416_022.jpg", "type": "OPTION", "updateDateTime": "2025-12-12T16:55:14", "desc": null}, {"code": "003", "path": "/carpicture06/pic4116/41161416_003.jpg", "type": "OUTER", "updateDateTime": "2025-12-12T16:55:14", "desc": null}]</t>
  </si>
  <si>
    <t>174무5547</t>
  </si>
  <si>
    <t>KMHL141EBNA249679</t>
  </si>
  <si>
    <t>[13, 14, 15]</t>
  </si>
  <si>
    <t>롯데렌탈T카/6개월 무상보증/7일 책임 환불제/홈서비스OK/수출OK</t>
  </si>
  <si>
    <t>202202</t>
  </si>
  <si>
    <t>05062311560</t>
  </si>
  <si>
    <t xml:space="preserve">안녕하십니까!!
롯데렌탈 인증 중고차 T car 용인매매센터 강예찬 매니저 입니다.
누구보다 정직하고 친절한 상담 약속드립니다.
♣롯데렌탈 인증중고차 T Car 추천♣
- 전국 협력업체를 통한 T Car 케어 180일 1만km 무상 프로모션
- 무상 보증기간 부족시 추가 180일 연장구매 가능!!
- 법인 &amp; 개인 장기렌트로 이용된 차량이며 이력관리가 확실한 차량
- 구매 확정시 엔진오일 무상교체 쿠폰 1회 제공(단,쌍용,르노,전기차,GV80,G90 제외)
▶ 사고유무
- 성능점검 확인결과 단순 판금도장 및 교환 작업내용 확인됩니다.
- 판금도색은 차량보유 중 누구에게나 발생하는 스크레치 보수를 위한 단순도장 작업이며, 운행 안전 성능에는 전혀 지장이 없습니다
- 도어.휀더.후드,트렁크 는 볼트체결로 간단하게 탈부착이 가능한 외부패널 부품으로 주행성능과 안전에는 전혀 지장이 없는 수리 내용입니다.
 ※ T카에서는 국가에서 지정된 성능점검업체에서 엄격한 사고판단 기준을 통해 주행/안전상 문제없는 차량만 선별하여 판매하고 있습니다
▶추가옵션 : 총 450만원 상당의 추가 옵션 추가로 보다 많은 편의사항 누리실 수 있습니다. 
+ 인포테인먼트 내비 I - 10.25인치 내비게이션(블루링크, 폰 프로젝션, 현대 이), 내비게이션 무선 업데이트, 듀얼 풀오토 에어컨(오토 디포그/미세먼지 센서/공기청정모드 포함), 후방모니터
+ 하이패스+ECM룸미러
+ 인조가죽시트
+ 오토
▶차량 진단 결과
- 차량 입고 후 리프트 띄워 하부 진단결과, 누유/누수 없이 깔끔한 상태 유지중
- 시운전 결과 특이사항 전혀 없는 상태 유지 중 입니다.
- 자사 오토케어에서 엄격한 프로세스를 거쳐 입·출고 시 검수 확인 후 출고됩니다.
▶매니저 한줄 평
- 실내외 상태 우수한 아반떼 1.6 스마트 차량입니다.
- 실생활에서 유용한 알짜배기 옵션구성으로 가격과 편리함을 모두 챙긴 차량입니다.
- 실내 불쾌한 냄새 없이 깨끗한 컨디션 유지 중 입니다. 
- 스마트 키 1개 보유 중 입니다.
- 25년 10월 엔진오일 / 워셔액 / 에어컨필터 등 각종 소모품 교환된 차량입니다.
- 주기적으로 관리받은 차량으로 안심하고 구입 가능합니다.
- 차량에 대해 궁금하신 점 있으시면 언제든 편하게 연락 부탁드리겠습니다.
※ 중고차 특성상 운행상 지장 없는 내/외관 및 휠 생활 스크래치가 있을 수 있습니다.
▶ 홈서비스
- 원하시는 장소로 배송받고 7일동안 편안하게 타보시고 결정하세요!!
▶차량구입 할부
# 신한카드 
# 롯데캐피탈 
# KB캐피탈  
찾아오시는길 
 # 경기도 용인시 기흥구 어정로 36 용인오토갤러리 1층 Tcar 용인매매센터
 # 대중교통 이용시 에버라인 [지석역] 1번출구 도보 1분
 # 인터넷 검색창에 [용인오토갤러리] 검색
</t>
  </si>
  <si>
    <t>2025-12-12T10:56:58</t>
  </si>
  <si>
    <t>2025-12-11T15:31:18</t>
  </si>
  <si>
    <t>["1160", "10001", "1162"]</t>
  </si>
  <si>
    <t>["001", "004", "005", "006", "007", "008", "014", "015", "019", "020", "023", "024", "026", "027", "030", "031", "032", "033", "055", "056", "057", "058", "068", "072", "074", "088", "096", "097"]</t>
  </si>
  <si>
    <t>[{"code": "008", "path": "/carpicture05/pic4115/41151139_008.jpg", "type": "INNER", "updateDateTime": "2025-12-12T10:55:42", "desc": null}, {"code": "015", "path": "/carpicture05/pic4115/41151139_015.jpg", "type": "OPTION", "updateDateTime": "2025-12-12T10:55:42", "desc": null}, {"code": "017", "path": "/carpicture05/pic4115/41151139_017.jpg", "type": "OPTION", "updateDateTime": "2025-12-12T10:55:42", "desc": null}, {"code": "004", "path": "/carpicture05/pic4115/41151139_004.jpg", "type": "OUTER", "updateDateTime": "2025-12-12T10:55:42", "desc": null}, {"code": "007", "path": "/carpicture05/pic4115/41151139_007.jpg", "type": "INNER", "updateDateTime": "2025-12-12T10:55:42", "desc": null}, {"code": "022", "path": "/carpicture05/pic4115/41151139_022.jpg", "type": "OPTION", "updateDateTime": "2025-12-12T10:55:42", "desc": null}, {"code": "018", "path": "/carpicture05/pic4115/41151139_018.jpg", "type": "OPTION", "updateDateTime": "2025-12-12T10:55:42", "desc": null}, {"code": "005", "path": "/carpicture05/pic4115/41151139_005.jpg", "type": "OUTER", "updateDateTime": "2025-12-12T10:55:42", "desc": null}, {"code": "023", "path": "/carpicture05/pic4115/41151139_023.jpg", "type": "OPTION", "updateDateTime": "2025-12-12T10:55:42", "desc": null}, {"code": "002", "path": "/carpicture05/pic4115/41151139_002.jpg", "type": "OUTER", "updateDateTime": "2025-12-12T10:55:42", "desc": null}, {"code": "006", "path": "/carpicture05/pic4115/41151139_006.jpg", "type": "INNER", "updateDateTime": "2025-12-12T10:55:42", "desc": null}, {"code": "009", "path": "/carpicture05/pic4115/41151139_009.jpg", "type": "INNER", "updateDateTime": "2025-12-12T10:55:42", "desc": null}, {"code": "019", "path": "/carpicture05/pic4115/41151139_019.jpg", "type": "OPTION", "updateDateTime": "2025-12-12T10:55:42", "desc": null}, {"code": "010", "path": "/carpicture05/pic4115/41151139_010.jpg", "type": "INNER", "updateDateTime": "2025-12-12T10:55:42", "desc": null}, {"code": "003", "path": "/carpicture05/pic4115/41151139_003.jpg", "type": "OUTER", "updateDateTime": "2025-12-12T10:55:42", "desc": null}, {"code": "021", "path": "/carpicture05/pic4115/41151139_021.jpg", "type": "OPTION", "updateDateTime": "2025-12-12T10:55:42", "desc": null}, {"code": "016", "path": "/carpicture05/pic4115/41151139_016.jpg", "type": "OPTION", "updateDateTime": "2025-12-12T10:55:42", "desc": null}, {"code": "020", "path": "/carpicture05/pic4115/41151139_020.jpg", "type": "OPTION", "updateDateTime": "2025-12-12T10:55:42", "desc": null}, {"code": "001", "path": "/carpicture05/pic4115/41151139_001.jpg", "type": "OUTER", "updateDateTime": "2025-12-12T10:55:42", "desc": null}, {"code": "024", "path": "/carpicture05/pic4115/41151139_024.jpg", "type": "OPTION", "updateDateTime": "2025-12-12T10:55:42", "desc": null}]</t>
  </si>
  <si>
    <t>275누2825</t>
  </si>
  <si>
    <t>KMHLL41EENU322580</t>
  </si>
  <si>
    <t>Standard</t>
  </si>
  <si>
    <t>1.5 DOHC Deluxe</t>
  </si>
  <si>
    <t>037</t>
  </si>
  <si>
    <t>200107</t>
  </si>
  <si>
    <t>05062139815</t>
  </si>
  <si>
    <t>----------------------인사말--------------------------------- 
안녕하세요. 중고차 전문 딜러 지니 모터스 이준호 실장입니다. 
차량에 관심을 가져주셔서 대단히 감사합니다. 
현재 고객님께서 보시고있는 차량은 100% 실매물 임을 이름을 걸고 약속 드립니다. 
----------------------차량 설명--------------------------------- 
▶차량설명 
-사고여부 : 무사고 차랑 입니다.
-차    종 :  현대 아반떼 XD DOHC 디럭스 
-연    식 : 2001년 07월 
-색    상 : 인기있는 스노우 화이트 색상 입니다. 
-주행거리 : 72,994km
-내 / 외관 :  최상의 컨디션 입니다.
-관리상태 : 모든 경 정비 소모품 교환,성능 검사를 마친 상태입니다. 
▶옵션사항 
-외관사양 : 알로이 휠
-내장사양 : 가죽 시트
-안전사양 :ABS,에어백 등등 ~
-편의사양 :
-튜닝정보 :  
▶차량의 특징 
-  대구 개인 자녀 등하교용 차량 운행 
- 중고차 성능 보험 가입 차량
- 전 차주 분이 차에 대한 관리가 훌륭합니다,~~~~지하 주차장 주차 보관 
- 역동적인 바디라인을 강조한 디자인입니다. 
----------------------차주정보--------------------------------- 
▶차주정보 
-운행자정보 :  비흡자  여성
-운행용도 : 등하교 용도로 사용하였습니다. 
-구입방법 :  현금 / 할부/ 기존 차량 대차 모두 이용 가능 합니다.
-판매이유 : 
----------------------기타--------------------------------- 
▶문의방법 
-연락주시면 친절하고 상세하게 설명을 드리도록 하겠습니다. 전화가 부재중일시 문자를 남겨주시면 확인후 전화드리겠습니다. 
-차량은 대구의료원 국화원 지나서 언덕 행단보도 대로변에 자동차 상사빌딩 4층 지니 모터스 입니다.  보실 수 있어요. 
-가격은 절충이 가능합니다. 
-차량 시승도 가능하며 정비업소에서 차량상태 확인도 가능합니다.  
-현재 타고 계신 차량과 교환도 가능하며, 대출을 통한 차량구매도 가능합니다. 
----------------------판매자 소개--------------------------------- 
-오시는 길 : 대구 서구 와룡로 332  4층 지니모터스</t>
  </si>
  <si>
    <t>2025-12-11T16:56:13</t>
  </si>
  <si>
    <t>2025-12-11T14:01:17</t>
  </si>
  <si>
    <t>["007", "008", "014", "017", "023", "024", "026"]</t>
  </si>
  <si>
    <t>6188</t>
  </si>
  <si>
    <t>[{"code": "137", "name": "엔카진단센터 대구 엠월드", "major": true, "telephoneNumber": "053-562-5455", "address": "대구 서구 문화로 37 엠월드 4층 407호(사진실 2층 204호)"}, {"code": "156", "name": "엔카진단센터 남대구점", "major": false, "telephoneNumber": "053-581-5455", "address": "대구 달서구 월곡로99길 9"}]</t>
  </si>
  <si>
    <t>지니모터스</t>
  </si>
  <si>
    <t>이준호</t>
  </si>
  <si>
    <t>[{"code": "002", "path": "/carpicture04/pic4114/41149660_002.jpg", "type": "OUTER", "updateDateTime": "2025-12-11T16:02:41", "desc": null}, {"code": "017", "path": "/carpicture04/pic4114/41149660_017.jpg", "type": "OPTION", "updateDateTime": "2025-12-11T16:02:41", "desc": null}, {"code": "004", "path": "/carpicture04/pic4114/41149660_004.jpg", "type": "OUTER", "updateDateTime": "2025-12-11T16:02:41", "desc": null}, {"code": "018", "path": "/carpicture04/pic4114/41149660_018.jpg", "type": "OPTION", "updateDateTime": "2025-12-11T16:02:41", "desc": null}, {"code": "024", "path": "/carpicture04/pic4114/41149660_024.jpg", "type": "OPTION", "updateDateTime": "2025-12-11T16:02:41", "desc": null}, {"code": "006", "path": "/carpicture04/pic4114/41149660_006.jpg", "type": "INNER", "updateDateTime": "2025-12-11T16:02:41", "desc": null}, {"code": "009", "path": "/carpicture04/pic4114/41149660_009.jpg", "type": "INNER", "updateDateTime": "2025-12-11T16:02:41", "desc": null}, {"code": "008", "path": "/carpicture04/pic4114/41149660_008.jpg", "type": "INNER", "updateDateTime": "2025-12-11T16:02:41", "desc": null}, {"code": "010", "path": "/carpicture04/pic4114/41149660_010.jpg", "type": "INNER", "updateDateTime": "2025-12-11T16:02:41", "desc": null}, {"code": "023", "path": "/carpicture04/pic4114/41149660_023.jpg", "type": "OPTION", "updateDateTime": "2025-12-11T16:02:41", "desc": null}, {"code": "015", "path": "/carpicture04/pic4114/41149660_015.jpg", "type": "OPTION", "updateDateTime": "2025-12-11T16:02:41", "desc": null}, {"code": "019", "path": "/carpicture04/pic4114/41149660_019.jpg", "type": "OPTION", "updateDateTime": "2025-12-11T16:02:41", "desc": null}, {"code": "020", "path": "/carpicture04/pic4114/41149660_020.jpg", "type": "OPTION", "updateDateTime": "2025-12-11T16:02:41", "desc": null}, {"code": "016", "path": "/carpicture04/pic4114/41149660_016.jpg", "type": "OPTION", "updateDateTime": "2025-12-11T16:02:41", "desc": null}, {"code": "003", "path": "/carpicture04/pic4114/41149660_003.jpg", "type": "OUTER", "updateDateTime": "2025-12-11T16:02:41", "desc": null}, {"code": "022", "path": "/carpicture04/pic4114/41149660_022.jpg", "type": "OPTION", "updateDateTime": "2025-12-11T16:02:41", "desc": null}, {"code": "001", "path": "/carpicture04/pic4114/41149660_001.jpg", "type": "OUTER", "updateDateTime": "2025-12-11T16:02:41", "desc": null}, {"code": "007", "path": "/carpicture04/pic4114/41149660_007.jpg", "type": "INNER", "updateDateTime": "2025-12-11T16:02:41", "desc": null}, {"code": "021", "path": "/carpicture04/pic4114/41149660_021.jpg", "type": "OPTION", "updateDateTime": "2025-12-11T16:02:41", "desc": null}, {"code": "005", "path": "/carpicture04/pic4114/41149660_005.jpg", "type": "OUTER", "updateDateTime": "2025-12-11T16:02:41", "desc": null}]</t>
  </si>
  <si>
    <t>11고9428</t>
  </si>
  <si>
    <t>KMHDN41AP1U249180</t>
  </si>
  <si>
    <t>Gasoline 2.5T 2WD</t>
  </si>
  <si>
    <t>202103</t>
  </si>
  <si>
    <t>서울 강남구</t>
  </si>
  <si>
    <t>05062048715</t>
  </si>
  <si>
    <t xml:space="preserve">  안녕하십니까 
  서울 강남 자동차 매매단지 
  주.뉴카뱅크  이상근입니다 
  제차량에 대해 관심을 가져 주셔서 감사합니다 
  고객님이 지금 보시는 차량은 
  *엔카 진단보증 *
  차량으로   믿고 구입 하실수 있습니다 
  더뉴싼타페  캘리그래피  휘발유 
  2021년 3월  등록 
  무사고 (단순교환 없습니다)
  성능점검 사진 참고 해주세요 
  용도이력 (렌트이력)  없습니다 
  1인사용. 비흡연  으로  실. 내외  차량상태 최상급입니다 
  옵션사양이  아주 좋습니다 
  타이어 4개 . 휠 상태 최상급   입니다 . 
  스마트키 2개, 
  블랙박스   있습니다 
  보험이력은  범퍼수리. 도색.   정도  입니다 
  * 차량 대차시  고객님의  차량  성심 성의것 매입해 드리겠습니다 
  *할부이용시  가장좋은 금융회사  안내해 드리겠습니다 
  *오시는길 *
  서울 강남구 헌릉로745길25 자동차 매매단지 A동220호
   주. 뉴카뱅크    이상근입니다 
   지하철 8호선 복정역 3번 출구에서 10분 입니다.
   감사합니다.
  </t>
  </si>
  <si>
    <t>2025-12-11T14:56:25</t>
  </si>
  <si>
    <t>2026-01-24T15:56:02</t>
  </si>
  <si>
    <t>2025-12-11T12:50:11</t>
  </si>
  <si>
    <t>["10002", "1063", "10001"]</t>
  </si>
  <si>
    <t>["001", "004", "005", "006", "007", "008", "010", "014", "015", "017", "019", "020", "021", "022", "023", "024", "026", "027", "030", "031", "032", "033", "034", "035", "051", "055", "056", "057", "058", "059", "062", "063", "072", "074", "075", "077", "079", "081", "082", "084", "085", "086", "087", "088", "094", "095", "096", "097"]</t>
  </si>
  <si>
    <t>3856</t>
  </si>
  <si>
    <t>[{"code": "027", "name": "엔카진단센터 강남점", "major": true, "telephoneNumber": "02-3412-5455", "address": "서울 강남구 헌릉로745길 25 A동 105호"}]</t>
  </si>
  <si>
    <t>뉴카뱅크</t>
  </si>
  <si>
    <t>이상근</t>
  </si>
  <si>
    <t>[{"code": "002", "path": "/carpicture04/pic4114/41148444_002.jpg", "type": "OUTER", "updateDateTime": "2025-12-11T14:56:00", "desc": null}, {"code": "005", "path": "/carpicture04/pic4114/41148444_005.jpg", "type": "OUTER", "updateDateTime": "2025-12-11T14:56:00", "desc": null}, {"code": "009", "path": "/carpicture04/pic4114/41148444_009.jpg", "type": "INNER", "updateDateTime": "2025-12-11T14:56:00", "desc": null}, {"code": "006", "path": "/carpicture04/pic4114/41148444_006.jpg", "type": "INNER", "updateDateTime": "2025-12-11T14:56:00", "desc": null}, {"code": "015", "path": "/carpicture04/pic4114/41148444_015.jpg", "type": "OPTION", "updateDateTime": "2025-12-11T14:56:00", "desc": null}, {"code": "024", "path": "/carpicture04/pic4114/41148444_024.jpg", "type": "OPTION", "updateDateTime": "2025-12-11T14:56:00", "desc": null}, {"code": "021", "path": "/carpicture04/pic4114/41148444_021.jpg", "type": "OPTION", "updateDateTime": "2025-12-11T14:56:00", "desc": null}, {"code": "016", "path": "/carpicture04/pic4114/41148444_016.jpg", "type": "OPTION", "updateDateTime": "2025-12-11T14:56:00", "desc": null}, {"code": "008", "path": "/carpicture04/pic4114/41148444_008.jpg", "type": "INNER", "updateDateTime": "2025-12-11T14:56:00", "desc": null}, {"code": "023", "path": "/carpicture04/pic4114/41148444_023.jpg", "type": "OPTION", "updateDateTime": "2025-12-11T14:56:00", "desc": null}, {"code": "004", "path": "/carpicture04/pic4114/41148444_004.jpg", "type": "OUTER", "updateDateTime": "2025-12-11T14:56:00", "desc": null}, {"code": "001", "path": "/carpicture04/pic4114/41148444_001.jpg", "type": "OUTER", "updateDateTime": "2025-12-11T14:56:00", "desc": null}, {"code": "018", "path": "/carpicture04/pic4114/41148444_018.jpg", "type": "OPTION", "updateDateTime": "2025-12-11T14:56:00", "desc": null}, {"code": "007", "path": "/carpicture04/pic4114/41148444_007.jpg", "type": "INNER", "updateDateTime": "2025-12-11T14:56:00", "desc": null}, {"code": "019", "path": "/carpicture04/pic4114/41148444_019.jpg", "type": "OPTION", "updateDateTime": "2025-12-11T14:56:00", "desc": null}, {"code": "003", "path": "/carpicture04/pic4114/41148444_003.jpg", "type": "OUTER", "updateDateTime": "2025-12-11T14:56:00", "desc": null}, {"code": "022", "path": "/carpicture04/pic4114/41148444_022.jpg", "type": "OPTION", "updateDateTime": "2025-12-11T14:56:00", "desc": null}, {"code": "020", "path": "/carpicture04/pic4114/41148444_020.jpg", "type": "OPTION", "updateDateTime": "2025-12-11T14:56:00", "desc": null}, {"code": "010", "path": "/carpicture04/pic4114/41148444_010.jpg", "type": "INNER", "updateDateTime": "2025-12-11T14:56:00", "desc": null}, {"code": "017", "path": "/carpicture04/pic4114/41148444_017.jpg", "type": "OPTION", "updateDateTime": "2025-12-11T14:56:00", "desc": null}]</t>
  </si>
  <si>
    <t>139저1277</t>
  </si>
  <si>
    <t>KMHS581LGMU375598</t>
  </si>
  <si>
    <t>[12, 22, 24]</t>
  </si>
  <si>
    <t>엔카 실촬영/무사고/시운전 및 리프트가능</t>
  </si>
  <si>
    <t>대구 동구 안심로69길 35</t>
  </si>
  <si>
    <t>05062188819</t>
  </si>
  <si>
    <t>대구 중고차 전문딜러 모던모터스 대표 이경준입니다.
저희 차량은 헤이딜러를 통해 매입해서 판매하고 있습니다.
제가 직접 차량을 확인하고 운전해서 가지고 오는 차량입니다.
판매하기 전에 정비 및 수리해야 할 부분이 있으면 무조건 수리하고 판매하는게 저의 원칙입니다.
판매 후 A/S 또한 분명히 해드릴 것을 약속합니다.
# 차량에 관련하여 궁금하신 부분이 있으시면 언제든 전화 주세요.
   목소리만 들어도 분명 저에 대한 신뢰가 느껴진다고 확신합니다. 
▶ 신한마이카(신한은행 중고차할부)제휴 업체
▶ 저신용자를 위한 캐피탈 및 저축은행을 통해 할부진행
    (우리은행캐피탈,현대캐피탈,HK저축은행 업무협약)
▶ 최근 10년간 민원, 소비자분쟁, 허위매물 없는 안심거래 업체
▶ 차량 출고 이후 1개월 2,000KM 보증(최대 6개월 10,000km보증)
▶ 사고유무가 성능기록부와 다를 시 전액환불
▶ 차량 영상통화/시운전/리프트 가능
▶ 차량 탁송거래 가능(고객님 집앞까지 차량을 배달해드립니다)
▶ 1년 365일 연중무휴 24시간 출고 가능합니다(밤늦게 새벽에도 출고가능합니다)
2018년식 현대 그랜저 IG 3.0 익스클루시브 스페셜 모델을 판매합니다.
》 비흡연차량
》 경정비완료(최근 솔레노이드벨브, 토크컨버터 수리완료)
》 타이어4짝70%이상잔존
》 내,외관 깔끔합니다
》 하체 잡소리 없습니다
》 세금계산서 100%발행
▶ 전액할부 가능합니다 
▶ 전지역 탁송 가능합니다 
▶ 타시던 차와 대차 가능합니다
▶ 차량확인및 대차관련
- 차량시승 가능하며 1급정비공장 및 차량제조사에서 차량상태 확인해드립니다.
- 1급정비공장에서 100%신뢰 할 수 있는 성능점검표를 고지해드립니다.
- 타시던 차량 전국 최고가에 매입드립니다.(대차관련문의는 오시기전에 미리 전화통화로 차량의 스펙을 알려주시기바랍니다.)
▶ 구입시 준비서류
- 현금구입시: 본인신분증
- 카드구입시: 본인신분증,카드
- 할부구입시: 본인신분증, 본인명의 핸드폰
▶오시는 길
-지하철이용시 :대구 1호선 지하철 (각산역)에서 도보로 5분거리
-승용차이용시 : 동대구 IC 에서 내리시어 영천방면으로 10분거리
-대구광역시 동구 안심로69길 35(신서동 ,반야월3단지)모던모터스  
▶ 판매자: 이경준  ☎ (언제라도 상담 가능합니다.)</t>
  </si>
  <si>
    <t>2025-12-12T16:56:56</t>
  </si>
  <si>
    <t>2026-01-23T13:56:02</t>
  </si>
  <si>
    <t>2025-12-11T09:19:15</t>
  </si>
  <si>
    <t>["001", "004", "005", "006", "007", "008", "014", "015", "017", "019", "020", "021", "022", "023", "024", "026", "027", "030", "031", "032", "033", "034", "035", "051", "055", "056", "057", "058", "059", "063", "068", "071", "072", "074", "075", "077", "081", "082", "083", "085", "086", "087", "092", "093", "094", "096", "097"]</t>
  </si>
  <si>
    <t>6606</t>
  </si>
  <si>
    <t>모 던 모 터 스</t>
  </si>
  <si>
    <t>이경준</t>
  </si>
  <si>
    <t>[{"code": "010", "path": "/carpicture04/pic4114/41146024_010.jpg", "type": "INNER", "updateDateTime": "2025-12-12T17:03:27", "desc": null}, {"code": "014", "path": "/carpicture04/pic4114/41146024_007.jpg", "type": "THUMBNAIL", "updateDateTime": "2025-12-12T17:03:27", "desc": null}, {"code": "013", "path": "/carpicture04/pic4114/41146024_001.jpg", "type": "THUMBNAIL", "updateDateTime": "2025-12-12T17:03:27", "desc": null}, {"code": "023", "path": "/carpicture04/pic4114/41146024_023.jpg", "type": "OPTION", "updateDateTime": "2025-12-12T17:03:27", "desc": null}, {"code": "004", "path": "/carpicture04/pic4114/41146024_004.jpg", "type": "OUTER", "updateDateTime": "2025-12-12T17:03:27", "desc": null}, {"code": "021", "path": "/carpicture04/pic4114/41146024_021.jpg", "type": "OPTION", "updateDateTime": "2025-12-12T17:03:27", "desc": null}, {"code": "019", "path": "/carpicture04/pic4114/41146024_019.jpg", "type": "OPTION", "updateDateTime": "2025-12-12T17:03:27", "desc": null}, {"code": "003", "path": "/carpicture04/pic4114/41146024_003.jpg", "type": "OUTER", "updateDateTime": "2025-12-12T17:03:27", "desc": null}, {"code": "022", "path": "/carpicture04/pic4114/41146024_022.jpg", "type": "OPTION", "updateDateTime": "2025-12-12T17:03:27", "desc": null}, {"code": "008", "path": "/carpicture04/pic4114/41146024_008.jpg", "type": "INNER", "updateDateTime": "2025-12-12T17:03:27", "desc": null}, {"code": "018", "path": "/carpicture04/pic4114/41146024_018.jpg", "type": "OPTION", "updateDateTime": "2025-12-12T17:03:27", "desc": null}, {"code": "009", "path": "/carpicture04/pic4114/41146024_009.jpg", "type": "INNER", "updateDateTime": "2025-12-12T17:03:27", "desc": null}, {"code": "001", "path": "/carpicture04/pic4114/41146024_001.jpg", "type": "OUTER", "updateDateTime": "2025-12-12T17:03:27", "desc": null}, {"code": "006", "path": "/carpicture04/pic4114/41146024_006.jpg", "type": "INNER", "updateDateTime": "2025-12-12T17:03:27", "desc": null}, {"code": "011", "path": "/carpicture04/pic4114/41146024_001.jpg", "type": "THUMBNAIL", "updateDateTime": "2025-12-12T17:03:27", "desc": null}, {"code": "012", "path": "/carpicture04/pic4114/41146024_001.jpg", "type": "THUMBNAIL", "updateDateTime": "2025-12-12T17:03:27", "desc": null}, {"code": "002", "path": "/carpicture04/pic4114/41146024_002.jpg", "type": "OUTER", "updateDateTime": "2025-12-12T17:03:27", "desc": null}, {"code": "020", "path": "/carpicture04/pic4114/41146024_020.jpg", "type": "OPTION", "updateDateTime": "2025-12-12T17:03:27", "desc": null}, {"code": "015", "path": "/carpicture04/pic4114/41146024_015.jpg", "type": "OPTION", "updateDateTime": "2025-12-12T17:03:27", "desc": null}, {"code": "025", "path": "/carpicture04/pic4114/41146024_001.jpg", "type": "THUMBNAIL", "updateDateTime": "2025-12-12T17:03:27", "desc": null}, {"code": "016", "path": "/carpicture04/pic4114/41146024_016.jpg", "type": "OPTION", "updateDateTime": "2025-12-12T17:03:27", "desc": null}, {"code": "007", "path": "/carpicture04/pic4114/41146024_007.jpg", "type": "INNER", "updateDateTime": "2025-12-12T17:03:27", "desc": null}, {"code": "026", "path": "/carpicture04/pic4114/41146024_001.jpg", "type": "THUMBNAIL", "updateDateTime": "2025-12-12T17:03:27", "desc": null}, {"code": "005", "path": "/carpicture04/pic4114/41146024_005.jpg", "type": "OUTER", "updateDateTime": "2025-12-12T17:03:27", "desc": null}, {"code": "017", "path": "/carpicture04/pic4114/41146024_017.jpg", "type": "OPTION", "updateDateTime": "2025-12-12T17:03:27", "desc": null}]</t>
  </si>
  <si>
    <t>397모4744</t>
  </si>
  <si>
    <t>KMHF341EBJA159724</t>
  </si>
  <si>
    <t>["HomeService", "ExtendWarranty", "Warranty"]</t>
  </si>
  <si>
    <t>202306</t>
  </si>
  <si>
    <t>충남 천안시 동남구 유량로 108</t>
  </si>
  <si>
    <t>05062326300</t>
  </si>
  <si>
    <t>안녕하세요, (주) 태양 모터스 간건우 대표  입니다.
본 차량은 에서 등록된 안심 차량입니다.
※※※※※※  비대면 서비스 진행 합니다  ※※※※※※
※※※※※※  비대면 서비스 진행 합니다  ※※※※※※
※※※※※※  비대면 서비스 진행 합니다  ※※※※※※
차량은 마음에 드시는대 시간적 여유가 없거나, 
다른 지역에 있어서 헛걸음할까 걱정하시는분들께 추천드립니다
또는 허위 매물은 아닌지 걱정하시는분들께 
차량을 먼저 보내드립니다. (*허위매물일시 전액환불보장*) 
※※※자세한 사항은  밑에 담당 딜러에게 전화 부탁드립니다 ※※※
※※※ (주) 태양 모터스 만의 특별한 혜택 ※※※
① 사업자,법인,구매시 세금계산서 100% 무료 발급해드립니다.
② 소득공제대상 현금영수증 전액 무료 발급해드립니다.
③ 카드 결제시 최저수수료 3%로 해드립니다.
★ 완전 무사고 차량입니다.( 진단보증 완료)
★ 신차구매후 1인 소유로 철절한 관리
★ 블루투스오디오,알루미늄휠, 블랙박스 포함!
★ 스마트키,전동시트,통풍시트,ABS,TPMS
★ 네비게이션,후방카메라,후방감지센서 장착등등
▶차량 안내
 - 차량등급 : 현대 투싼 (NX4) 가솔린 1.6 터보 2WD 프리미엄  등급
 - 차량연식 : 2023 형식 / 2023 년 06 월 최초등록
 - 차량색상 : 검정색 
 - 사고내역 : 완전 무사고 ( 진단보증 완료) 
 - 주행거리 : 58,901 Km
▶특징 설명
 - 신차 구매후 1인이 소유하였습니다. 
 - 전 차주의 꼼꼼한 관리로 연식대비 사용감이 적어 실내 상태 쾌적합니다.
 - 에어컨 시원하게 잘나오고 히터도 문제 없습니다. 
 - 모든 옵션 일일히 눌러가며 상품화 했고 정상임을 확인했습니다.
 - 내/외관 광택 및 실내크리닝완료 신차느낌으로 만나보실수 있습니다.
 - 도로주행테스트결과 하부잡소리는 없었으며, 경정비 완료하였습니다.
 - 타이어 점검 완료하였으며 상태는 양호합니다.
▶기타 안내
 - 성능기록부 교부 및 사고이력 확인해드립니다.
 - 1개월 / 2,000km 법적 보증해드립니다
 - 실주행거리,침수유무가 거짓일경우 전액 환불해드립니다.
 - 정비소 확인 가능합니다.
▶문의 안내
 - 050 안심번호 연락주시면 성심 성의껏 상담해 드립니다. 
 - 타시던 차와 교환도 가능하며 최고가로 매입진행해 드립니다.
 - 할부이용시 최저 금리로 진행해 드립니다. 
▶찾아오시는길
충남 천안시 동남구 유량로 108  A 동 12,13 호  유량매매단지   내 ,
(주) 태양모터스 간건우 대표입니다.</t>
  </si>
  <si>
    <t>2025-12-30T10:56:03</t>
  </si>
  <si>
    <t>2026-01-22T18:56:02</t>
  </si>
  <si>
    <t>2025-08-28T15:08:29</t>
  </si>
  <si>
    <t>["001", "004", "005", "006", "007", "008", "014", "015", "017", "019", "020", "022", "023", "024", "026", "027", "030", "031", "032", "033", "034", "055", "056", "057", "058", "062", "068", "072", "074", "077", "081", "082", "084", "085", "088", "094", "096", "097"]</t>
  </si>
  <si>
    <t>5245</t>
  </si>
  <si>
    <t>[{"code": "149", "name": "엔카진단센터 유량점", "major": true, "telephoneNumber": "041-566-5455", "address": "충남 천안시 동남구 유량로 108 유량매매단지 B동 ENCAR"}]</t>
  </si>
  <si>
    <t>태양모터스</t>
  </si>
  <si>
    <t>간건우</t>
  </si>
  <si>
    <t>[{"code": "009", "path": "/carpicture10/pic4040/40403035_009.jpg", "type": "INNER", "updateDateTime": "2025-08-28T16:42:54", "desc": null}, {"code": "015", "path": "/carpicture10/pic4040/40403035_015.jpg", "type": "OPTION", "updateDateTime": "2025-08-28T16:42:54", "desc": null}, {"code": "008", "path": "/carpicture10/pic4040/40403035_008.jpg", "type": "INNER", "updateDateTime": "2025-08-28T16:42:54", "desc": null}, {"code": "020", "path": "/carpicture10/pic4040/40403035_020.jpg", "type": "OPTION", "updateDateTime": "2025-08-28T16:42:54", "desc": null}, {"code": "010", "path": "/carpicture10/pic4040/40403035_010.jpg", "type": "INNER", "updateDateTime": "2025-08-28T16:42:54", "desc": null}, {"code": "003", "path": "/carpicture10/pic4040/40403035_003.jpg", "type": "OUTER", "updateDateTime": "2025-08-28T16:42:54", "desc": null}, {"code": "018", "path": "/carpicture10/pic4040/40403035_018.jpg", "type": "OPTION", "updateDateTime": "2025-08-28T16:42:54", "desc": null}, {"code": "004", "path": "/carpicture10/pic4040/40403035_004.jpg", "type": "OUTER", "updateDateTime": "2025-08-28T16:42:54", "desc": null}, {"code": "016", "path": "/carpicture10/pic4040/40403035_016.jpg", "type": "OPTION", "updateDateTime": "2025-08-28T16:42:54", "desc": null}, {"code": "022", "path": "/carpicture10/pic4040/40403035_022.jpg", "type": "OPTION", "updateDateTime": "2025-08-28T16:42:54", "desc": null}, {"code": "021", "path": "/carpicture10/pic4040/40403035_021.jpg", "type": "OPTION", "updateDateTime": "2025-08-28T16:42:54", "desc": null}, {"code": "002", "path": "/carpicture10/pic4040/40403035_002.jpg", "type": "OUTER", "updateDateTime": "2025-08-28T16:42:54", "desc": null}, {"code": "005", "path": "/carpicture10/pic4040/40403035_005.jpg", "type": "OUTER", "updateDateTime": "2025-08-28T16:42:54", "desc": null}, {"code": "006", "path": "/carpicture10/pic4040/40403035_006.jpg", "type": "INNER", "updateDateTime": "2025-08-28T16:42:54", "desc": null}, {"code": "019", "path": "/carpicture10/pic4040/40403035_019.jpg", "type": "OPTION", "updateDateTime": "2025-08-28T16:42:54", "desc": null}, {"code": "023", "path": "/carpicture10/pic4040/40403035_023.jpg", "type": "OPTION", "updateDateTime": "2025-08-28T16:42:54", "desc": null}, {"code": "017", "path": "/carpicture10/pic4040/40403035_017.jpg", "type": "OPTION", "updateDateTime": "2025-08-28T16:42:54", "desc": null}, {"code": "001", "path": "/carpicture10/pic4040/40403035_001.jpg", "type": "OUTER", "updateDateTime": "2025-08-28T16:42:54", "desc": null}, {"code": "024", "path": "/carpicture10/pic4040/40403035_024.jpg", "type": "OPTION", "updateDateTime": "2025-08-28T16:42:54", "desc": null}, {"code": "007", "path": "/carpicture10/pic4040/40403035_007.jpg", "type": "INNER", "updateDateTime": "2025-08-28T16:42:54", "desc": null}]</t>
  </si>
  <si>
    <t>201모8157</t>
  </si>
  <si>
    <t>KMHJC81BGPU265496</t>
  </si>
  <si>
    <t>[9, 10, 26]</t>
  </si>
  <si>
    <t>교환1EA#올양호#신조#신차AS#서라운드뷰#7인#2023/04제작증#</t>
  </si>
  <si>
    <t>175</t>
  </si>
  <si>
    <t>202304</t>
  </si>
  <si>
    <t>05062061950</t>
  </si>
  <si>
    <t>안녕하십니까
주식회사 시우자동차 권영인  팀장입니다.
(주)시우자동차 Encar와 제휴하고있는 업체로
보시는 차량은 
 Encar에서 촬영한 차량 입니다. 
차량문의는 전화 / 문자 / 채팅 등 편하게 연락주시면
상세한 설명 도움드리겠습니다.
 # 소모품 교환 이력은 사고에 포함되지 않습니다.
▣ 이 차량만의 설명글
- 신조차량
- 넉넉한 신차 AS
- 교환1개#올양호#신조#신차AS#서라운드뷰#7인#2023/04제작증#
차종명	팰리세이드 LX2 F/L 디젤 2.2 2WD 7인승 익스클루시브 인조가죽(블랙)
차량 가격	43,590,000
포함 옵션	에센셜플러스
▣ 판매자 의견
차량 전체적인 컨디션은 매우 우수하며 , 고객님께서 직접  느낄수 있는 부분 입니다.
방문 전 연락 주시거나 비대면 거래를 희망 하시면 최대한 적극적으로 상태를 전달 하기위해 노력 하겠습니다.
모든 차량은 차주분의 만족감이 기본이라고 생각하고 있습니다. 
☞ 주행 테스트 결과 엔진소음 없이 미션 상태도 준수합니다. 매입 현장에서 결함이 발견되면 매입을 안합니다!
▣ 이 글을 읽어주시는 고객님께 드리는 말씀
- 전체광택 / 발수코팅 / 실내세차 / 엔진룸 세차 / 완료되어 있습니다. 
- 실제로 보시면 훨씬 고급스러운 색상 차량입니다. 
- 가격 절충 관련해서도 편하게 문의 주세요~~^^
- 직접 매입한 차량만 광고하는 차량입니다. 가장현명한 차량 구매방식이라고 말씀드릴수 있습니다.
- 성능점검 당시 1차 점검을 실시하며, 공업사로 이동후 2차 점검을 항상 실시합니다. 정비가 필요한 항목은 항시 점검합니다.
- 영상통화 환영합니다. 차량등록증, 성능기록부, 제시신고서 보내드립니다.
- 방문 판매도 가능하니 부담없이 연락 주세요~^^
★★★★★★★★★★★★★★★★★★★★★★★★★★★★★★★★★★★★★★★★★★★★★★★★★★★★★
부담없이 오셔서 시운전및 다른차도 구경하신다는 가벼운 마음으로 연락주시고 방문해주시면 감사하겠습니다~^^
━━━━━━━━━━━━━━━━━━━━━━━━━━━━━━━━━━━━━━━━━━━━━━━━━━━━━━
두 아이의 아버지로서 한 여자의 남편으로서 부모님의 한 자식으로서 이름걸고 약속드립니다 . 
"소인은 장사를 통해 이문을 남기지만 대인은 거래를 통해 사람을 남긴다"라는 명언처럼 제 이름 석자 권.영.인 걸고 양심을 거래하겠습니다
저역시 딜러이기 이전에 소비자 입장으로 더 오랜시간을 보냈기에 고객님들의 노고를 누구보다 더 잘알고있습니다. 
허위매물, 미끼매물 기타등등..ㅠ 이런설명글역시 거짓이라고 생각하시는분들 계시는것 알고있습니다.
요즘은 인터넷상으로 보신 차량을 보시고 연락주셔서 의심먼저하시는 고객님들이 늘었습니다.
그만큼 차량구매에있어 피해 경험이 있는 고객님들이 늘고있다는 내용이 아닐수없습니다.
참 안타까운 현실에 마음이 안좋습니다. 인터넷상으로 차량구매하기 너무 힘드실거라 생각합니다
군대전역후에 정확한 시세가 없을시기부터 이 중고차 업을 시작하여 지금까지 평생직업으로 삼고 열심히 일하고있습니다.
시대에 따라서 영업방식도 많이 달라졌습니다 예전에는 허위 매물 미끼매물 등 손님들을 기만하는행위로 수입을 올린적도 있습니다.
허위 매물등 기타 안좋은 행위는 중고차 영업방식의 오래된 썩은 환부입니다. 
기하급수적으로 늘어나는 중고차딜러들 그리고 딜러들만큼이나 손님들의 지식이 늘어난현실 사이에서 살아남기위한 필요악으로 자리잡은 방식입니다.
완벽히 도려낼수는 없지만 이런상황에 발맞춰서 양심적으로 일하고 투명하게 장사하는 딜러들또한 많이 늘었습니다.
그런이유로 고객님들 포함 정직하게 일하는 딜러들도 피해를 많이보고있는 실정이죠...ㅠ
결론은 가격이 터무니 없이 싸고 성능좋은차는 없습니다. (정만 흔한 얘기죠^^)
믿어보신다면 최고의 차량과 만족감으로 보답드리겠습니다.
중고차량은 변수가 많이 있습니다.
허위매물, 미끼매물, 사고차, 전손차, 렌트이력 기타등등!!
꼭 제가 광고하고있는차량이 아니더라도 마음에 드시는 차량 발견하시면
전화번호와 이름 저장하시고 문자한통 살포시 넣어주시면 상세확인후 바로 연락드리겠습니다.
ex)쏘나타 11어 1111 차량 봤습니다 내용확인 부탁^^
소중한 고객님의 안전한 '돌다리' 가 되어드리겠습니다.
확실한 매물이라면 제가아니라도 다른 정직한 딜러님과 거래하시면 되겠습니다^^ 
이몇글자로 얼마만큼의 믿음을 드릴수있는지 가늠할수는 없지만 조금이나마 진심이 전해지길바라는 마음에서 적습니다.
좋은차량으로 보답드리겠습니다 - 감사합니다 - 
 ━━━━━━━━━━━━━━━━━━━━━━━━━━━━━━━━━━━
  ◆차량구입 방법안내◆
- 48개월 무보증 할부 및 신용카드로도 구입 가능합니다.
- 타시고 계신 차량을 최고가로 매입해 드립니다.
- 차량 시승도 가능하며 정비업소에서 차량상태 확인도 가능합니다.
- 현재 타고 계신 차량과 교환도 가능하며, 할부를통한 전액할부 차량구매도 가능합니다.
 ━━━━━━━━━━━━━━━━━━━━━━━━━━━━━━━━━━━
 ◆차량구입시 준비서류◆
+현금구입: 신분증(운전면허증) 
+신용할부: 간소화 모바일인증으로 무서류진행
+카드구입: 신분증, 카드
상담전화 주신다면 최대한 성심성의것 답변드리겠습니다.
다른차량을 구입하신다고 하셔도 필요한 서류 문의 주시면 답변 드리겠습니다.
 ━━━━━━━━━━━━━━━━━━━━━━━━━━━━━━━━━━━
 ◆엠파크허브 찾아오시는길◆
▶ 자가이용시: 명칭검색 "엠파크허브"(인천 서구 가좌동 소재) 
주소지 검색  : 인천광역시 서구 염곡로 52(가좌동,엠파크허브)
▶ 지하철:1호선 인천방향 주안역, 간석역 → 전화주시면 모시러 가겠습니다.^^ 
▶ 택시이용시 : 주안역하차 → 엠파크허브  
▶ 지방에서 오시는분 : 인천시외터미널 하차 전화주시면 모시러 가겠습니다 ^^ 
*자가용이용시 : 경인고속도로 인천방향 가좌IC 동인천 방향 출구
                네비게이션 검색시 "엠파크 허브"로 검색 부탁 드립니다.</t>
  </si>
  <si>
    <t>2025-12-24T08:56:03</t>
  </si>
  <si>
    <t>2026-01-22T20:56:02</t>
  </si>
  <si>
    <t>2025-10-23T09:44:53</t>
  </si>
  <si>
    <t>["1063"]</t>
  </si>
  <si>
    <t>["001", "004", "005", "006", "007", "008", "014", "015", "017", "019", "020", "021", "022", "023", "024", "026", "027", "030", "031", "032", "033", "034", "051", "055", "056", "057", "058", "062", "063", "072", "074", "075", "077", "079", "082", "083", "084", "085", "086", "087", "088", "094", "096", "097"]</t>
  </si>
  <si>
    <t>2347</t>
  </si>
  <si>
    <t>(주)시우자동차[1]</t>
  </si>
  <si>
    <t>권영인</t>
  </si>
  <si>
    <t>[{"code": "001", "path": "/carpicture08/pic4078/40788412_001.jpg", "type": "OUTER", "updateDateTime": "2025-10-23T09:50:36", "desc": null}, {"code": "007", "path": "/carpicture08/pic4078/40788412_007.jpg", "type": "INNER", "updateDateTime": "2025-10-23T09:50:36", "desc": null}, {"code": "022", "path": "/carpicture08/pic4078/40788412_022.jpg", "type": "OPTION", "updateDateTime": "2025-10-23T09:50:36", "desc": null}, {"code": "021", "path": "/carpicture08/pic4078/40788412_021.jpg", "type": "OPTION", "updateDateTime": "2025-10-23T09:50:36", "desc": null}, {"code": "009", "path": "/carpicture08/pic4078/40788412_009.jpg", "type": "INNER", "updateDateTime": "2025-10-23T09:50:36", "desc": null}, {"code": "005", "path": "/carpicture08/pic4078/40788412_005.jpg", "type": "OUTER", "updateDateTime": "2025-10-23T09:50:36", "desc": null}, {"code": "016", "path": "/carpicture08/pic4078/40788412_016.jpg", "type": "OPTION", "updateDateTime": "2025-10-23T09:50:36", "desc": null}, {"code": "004", "path": "/carpicture08/pic4078/40788412_004.jpg", "type": "OUTER", "updateDateTime": "2025-10-23T09:50:36", "desc": null}, {"code": "008", "path": "/carpicture08/pic4078/40788412_008.jpg", "type": "INNER", "updateDateTime": "2025-10-23T09:50:36", "desc": null}, {"code": "003", "path": "/carpicture08/pic4078/40788412_003.jpg", "type": "OUTER", "updateDateTime": "2025-10-23T09:50:36", "desc": null}, {"code": "024", "path": "/carpicture08/pic4078/40788412_024.jpg", "type": "OPTION", "updateDateTime": "2025-10-23T09:50:36", "desc": null}, {"code": "002", "path": "/carpicture08/pic4078/40788412_002.jpg", "type": "OUTER", "updateDateTime": "2025-10-23T09:50:36", "desc": null}, {"code": "015", "path": "/carpicture08/pic4078/40788412_015.jpg", "type": "OPTION", "updateDateTime": "2025-10-23T09:50:36", "desc": null}, {"code": "018", "path": "/carpicture08/pic4078/40788412_018.jpg", "type": "OPTION", "updateDateTime": "2025-10-23T09:50:36", "desc": null}, {"code": "017", "path": "/carpicture08/pic4078/40788412_017.jpg", "type": "OPTION", "updateDateTime": "2025-10-23T09:50:36", "desc": null}, {"code": "020", "path": "/carpicture08/pic4078/40788412_020.jpg", "type": "OPTION", "updateDateTime": "2025-10-23T09:50:36", "desc": null}, {"code": "006", "path": "/carpicture08/pic4078/40788412_006.jpg", "type": "INNER", "updateDateTime": "2025-10-23T09:50:36", "desc": null}, {"code": "019", "path": "/carpicture08/pic4078/40788412_019.jpg", "type": "OPTION", "updateDateTime": "2025-10-23T09:50:36", "desc": null}, {"code": "010", "path": "/carpicture08/pic4078/40788412_010.jpg", "type": "INNER", "updateDateTime": "2025-10-23T09:50:36", "desc": null}, {"code": "023", "path": "/carpicture08/pic4078/40788412_023.jpg", "type": "OPTION", "updateDateTime": "2025-10-23T09:50:36", "desc": null}]</t>
  </si>
  <si>
    <t>269라2787</t>
  </si>
  <si>
    <t>KMHR281ABPU624522</t>
  </si>
  <si>
    <t>["Compensate", "ExtendWarranty", "Warranty"]</t>
  </si>
  <si>
    <t>202403</t>
  </si>
  <si>
    <t>05062434182</t>
  </si>
  <si>
    <t xml:space="preserve">
현대 싼타페 (MX5) 가솔린 2.5 T 4WD 캘리그래피 판매합니다.
-차량설명-
★ 엔카진단보증차량!!
★ 무사고!!
★ 내차보험이력없음!!
★ 키로수 19,480km
★ 제조사보증 ☞차체 및 일반부품 3년6만km
                            엔진 및 동력전달 부품 5년10만km
★ 색상 흰색!!
-추가옵션-
▶ 빌트인 캠 2, 증강현실 내비게이션 450,000
▶ 6인승 1,040,000  2열 전동 독립시트(원터치 릴렉스, 윙타입 헤드레스트), 2열 원터치 워크인, 3열 시트(리클라이닝, 유아용 시트 고정 장치, USB C타입 충전 단자, 퍼스널 램프, 에어컨)
▶ 듀얼 와이드 선루프 890,000 
▶ BOSE 프리미엄 사운드(12스피커, 외장 앰프) 640,000  
▶ 파킹 어시스트 플러스Ⅱ 790,000 
▶ 현대 스마트센스 790,000 
▶ 블랙잉크 
※ 추가금액 없음
▶ 크리미 화이트 펄(WW2) 외장 컬러 80,000
-오시는 길-
대구 동구 반야월로395
신서오토월드B동2층카보스
</t>
  </si>
  <si>
    <t>2025-12-03T09:56:05</t>
  </si>
  <si>
    <t>2026-01-15T12:56:03</t>
  </si>
  <si>
    <t>2025-07-31T13:49:04</t>
  </si>
  <si>
    <t>["10008", "10005", "1118", "10003", "10002", "10004", "10001", "1120"]</t>
  </si>
  <si>
    <t>["001", "004", "005", "006", "007", "008", "010", "014", "015", "017", "019", "020", "021", "022", "023", "024", "026", "027", "030", "031", "032", "033", "034", "035", "051", "055", "056", "057", "058", "059", "062", "063", "072", "074", "075", "077", "079", "081", "082", "083", "084", "085", "086", "087", "088", "089", "091", "092", "094", "095", "096", "097"]</t>
  </si>
  <si>
    <t>3111</t>
  </si>
  <si>
    <t>카보스</t>
  </si>
  <si>
    <t>서민호</t>
  </si>
  <si>
    <t>[{"code": "008", "path": "/carpicture01/pic4021/40211340_008.jpg", "type": "INNER", "updateDateTime": "2025-08-01T16:38:12", "desc": null}, {"code": "005", "path": "/carpicture01/pic4021/40211340_005.jpg", "type": "OUTER", "updateDateTime": "2025-08-01T16:38:12", "desc": null}, {"code": "004", "path": "/carpicture01/pic4021/40211340_004.jpg", "type": "OUTER", "updateDateTime": "2025-08-01T16:38:12", "desc": null}, {"code": "007", "path": "/carpicture01/pic4021/40211340_007.jpg", "type": "INNER", "updateDateTime": "2025-08-01T16:38:12", "desc": null}, {"code": "015", "path": "/carpicture01/pic4021/40211340_015.jpg", "type": "OPTION", "updateDateTime": "2025-08-01T16:38:12", "desc": null}, {"code": "016", "path": "/carpicture01/pic4021/40211340_016.jpg", "type": "OPTION", "updateDateTime": "2025-08-01T16:38:12", "desc": null}, {"code": "001", "path": "/carpicture01/pic4021/40211340_001.jpg", "type": "OUTER", "updateDateTime": "2025-08-01T16:38:12", "desc": null}, {"code": "006", "path": "/carpicture01/pic4021/40211340_006.jpg", "type": "INNER", "updateDateTime": "2025-08-01T16:38:12", "desc": null}, {"code": "009", "path": "/carpicture01/pic4021/40211340_009.jpg", "type": "INNER", "updateDateTime": "2025-08-01T16:38:12", "desc": null}, {"code": "020", "path": "/carpicture01/pic4021/40211340_020.jpg", "type": "OPTION", "updateDateTime": "2025-08-01T16:38:12", "desc": null}, {"code": "021", "path": "/carpicture01/pic4021/40211340_021.jpg", "type": "OPTION", "updateDateTime": "2025-08-01T16:38:12", "desc": null}, {"code": "010", "path": "/carpicture01/pic4021/40211340_010.jpg", "type": "INNER", "updateDateTime": "2025-08-01T16:38:12", "desc": null}, {"code": "022", "path": "/carpicture01/pic4021/40211340_022.jpg", "type": "OPTION", "updateDateTime": "2025-08-01T16:38:12", "desc": null}, {"code": "024", "path": "/carpicture01/pic4021/40211340_024.jpg", "type": "OPTION", "updateDateTime": "2025-08-01T16:38:12", "desc": null}, {"code": "017", "path": "/carpicture01/pic4021/40211340_017.jpg", "type": "OPTION", "updateDateTime": "2025-08-01T16:38:12", "desc": null}, {"code": "018", "path": "/carpicture01/pic4021/40211340_018.jpg", "type": "OPTION", "updateDateTime": "2025-08-01T16:38:12", "desc": null}, {"code": "023", "path": "/carpicture01/pic4021/40211340_023.jpg", "type": "OPTION", "updateDateTime": "2025-08-01T16:38:12", "desc": null}, {"code": "019", "path": "/carpicture01/pic4021/40211340_019.jpg", "type": "OPTION", "updateDateTime": "2025-08-01T16:38:12", "desc": null}, {"code": "002", "path": "/carpicture01/pic4021/40211340_002.jpg", "type": "OUTER", "updateDateTime": "2025-08-01T16:38:12", "desc": null}, {"code": "003", "path": "/carpicture01/pic4021/40211340_003.jpg", "type": "OUTER", "updateDateTime": "2025-08-01T16:38:12", "desc": null}]</t>
  </si>
  <si>
    <t>236모7370</t>
  </si>
  <si>
    <t>KMHP581LHRU025111</t>
  </si>
  <si>
    <t>[10, 14, 19]</t>
  </si>
  <si>
    <t>후측방 모니터/서라운드뷰/스마트 크루즈/1인소유 /단순 교환//</t>
  </si>
  <si>
    <t>경기 평택시</t>
  </si>
  <si>
    <t>05062283946</t>
  </si>
  <si>
    <t>안녕하세요 ^.^ 베스트 자동차 대표 서송원 입니다.  
본 차량 구매를 선택함에 있어 후회없는선택 ! 약속드립니다. 
-현금영수증 또는 세금 계산서 발행 해드립니다
■ 차량정보  
→ 색상: 검 정 색 
→ 주행거리:  60,089 km 
→ 연식:  2020년  6월 출고 /   2020년 형식  
■ 차량설명 
→ 엔카에서 직접 촬영한 차량입니다.  
→ 모든 옵션 정상 작동하며 일일이 눌러가며 확인했습니다. 이상 無 !! 
→ 엔진.밋션성능 완전 GOOD ! 최상급 보증합니다. 누유, 잔 떨림 일체없습니다. 
→ 기본적인 경정비는 완벽히 마쳤고 광택, 크리닝 완료! 바로 타시면 됩니다.
→ 문의주시면 친절상담^.^ 약속드립니다. 
■ 성능점검 
→ 엔카에서 직접 촬영한 실매물 차량으로 안심 구매가 가능합니다.
→ 직접 시운전해본 결과 엔진/미션 떨림 일절 없었습니다. 직접 시운전 충분히 하실 수 있습니다.
→ 성능점검시 하부 및 엔진룸 확인 결과 누유 없었습니다. (원하시면 가까운 성능장에서 확인 가능합니다) 
※ 엔카 차량의 특징  
① 엔카 광고 차량은 허위매물과 미끼광고가 있을 수 없습니다. 
② 엔카 광고 차량은 차량에 대한 정보를 속이지 않습니다. (본사직원 직접 등록)  
■ 구매방법 
→ 차대차 교환 . 현금 . 전액할부 + 생활자금 !
→ 할부 : 차값 + 등록비 + 보험료 등 
→ 탁송 : 방문이 어려우신 고객님 ! 자택까지 안전하게 당일 인도해드립니다.
■ 찾아오시는 길 
→ 연락처: 050 엔카 안심번호로 전화 또는 문자 주세요.
→ 대중교통 이용시: 미리 연락 주시면 터미널 or 평택역으로 픽업 나갑니다. 
감사합니다. 
-베스트자동차 대표, 서송원 올림-</t>
  </si>
  <si>
    <t>2026-01-07T12:56:42</t>
  </si>
  <si>
    <t>2026-01-07T13:56:03</t>
  </si>
  <si>
    <t>2025-08-21T13:57:55</t>
  </si>
  <si>
    <t>["1042", "1040"]</t>
  </si>
  <si>
    <t>["001", "004", "005", "006", "007", "008", "014", "015", "017", "019", "020", "021", "022", "023", "024", "026", "027", "030", "031", "032", "033", "034", "035", "055", "056", "057", "058", "059", "063", "072", "074", "075", "077", "079", "081", "082", "084", "085", "086", "087", "088", "094", "096", "097"]</t>
  </si>
  <si>
    <t>1110</t>
  </si>
  <si>
    <t>[{"code": "194", "name": "엔카진단센터 평택점", "major": true, "telephoneNumber": "031-658-5455", "address": "경기 평택시 신평로 26"}]</t>
  </si>
  <si>
    <t>베스트자동차</t>
  </si>
  <si>
    <t>서송원</t>
  </si>
  <si>
    <t>[{"code": "002", "path": "/carpicture04/pic4034/40349454_002.jpg", "type": "OUTER", "updateDateTime": "2025-08-21T14:06:53", "desc": null}, {"code": "019", "path": "/carpicture04/pic4034/40349454_019.jpg", "type": "OPTION", "updateDateTime": "2025-08-21T14:06:53", "desc": null}, {"code": "021", "path": "/carpicture04/pic4034/40349454_021.jpg", "type": "OPTION", "updateDateTime": "2025-08-21T14:06:53", "desc": null}, {"code": "001", "path": "/carpicture04/pic4034/40349454_001.jpg", "type": "OUTER", "updateDateTime": "2025-08-21T14:06:53", "desc": null}, {"code": "004", "path": "/carpicture04/pic4034/40349454_004.jpg", "type": "OUTER", "updateDateTime": "2025-08-21T14:06:53", "desc": null}, {"code": "018", "path": "/carpicture04/pic4034/40349454_018.jpg", "type": "OPTION", "updateDateTime": "2025-08-21T14:06:53", "desc": null}, {"code": "003", "path": "/carpicture04/pic4034/40349454_003.jpg", "type": "OUTER", "updateDateTime": "2025-08-21T14:06:53", "desc": null}, {"code": "005", "path": "/carpicture04/pic4034/40349454_005.jpg", "type": "OUTER", "updateDateTime": "2025-08-21T14:06:53", "desc": null}, {"code": "020", "path": "/carpicture04/pic4034/40349454_020.jpg", "type": "OPTION", "updateDateTime": "2025-08-21T14:06:53", "desc": null}, {"code": "024", "path": "/carpicture04/pic4034/40349454_024.jpg", "type": "OPTION", "updateDateTime": "2025-08-21T14:06:53", "desc": null}, {"code": "009", "path": "/carpicture04/pic4034/40349454_009.jpg", "type": "INNER", "updateDateTime": "2025-08-21T14:06:53", "desc": null}, {"code": "010", "path": "/carpicture04/pic4034/40349454_010.jpg", "type": "INNER", "updateDateTime": "2025-08-21T14:06:53", "desc": null}, {"code": "015", "path": "/carpicture04/pic4034/40349454_015.jpg", "type": "OPTION", "updateDateTime": "2025-08-21T14:06:53", "desc": null}, {"code": "016", "path": "/carpicture04/pic4034/40349454_016.jpg", "type": "OPTION", "updateDateTime": "2025-08-21T14:06:53", "desc": null}, {"code": "007", "path": "/carpicture04/pic4034/40349454_007.jpg", "type": "INNER", "updateDateTime": "2025-08-21T14:06:53", "desc": null}, {"code": "008", "path": "/carpicture04/pic4034/40349454_008.jpg", "type": "INNER", "updateDateTime": "2025-08-21T14:06:53", "desc": null}, {"code": "022", "path": "/carpicture04/pic4034/40349454_022.jpg", "type": "OPTION", "updateDateTime": "2025-08-21T14:06:53", "desc": null}, {"code": "023", "path": "/carpicture04/pic4034/40349454_023.jpg", "type": "OPTION", "updateDateTime": "2025-08-21T14:06:53", "desc": null}, {"code": "006", "path": "/carpicture04/pic4034/40349454_006.jpg", "type": "INNER", "updateDateTime": "2025-08-21T14:06:53", "desc": null}, {"code": "017", "path": "/carpicture04/pic4034/40349454_017.jpg", "type": "OPTION", "updateDateTime": "2025-08-21T14:06:53", "desc": null}]</t>
  </si>
  <si>
    <t>145어6438</t>
  </si>
  <si>
    <t>KMHF141DBLA363712</t>
  </si>
  <si>
    <t>RENT_CAR</t>
  </si>
  <si>
    <t>3.0 LPi Modern (Rental Car)</t>
  </si>
  <si>
    <t>201805</t>
  </si>
  <si>
    <t>05062403015</t>
  </si>
  <si>
    <t>REPEAT</t>
  </si>
  <si>
    <t>안녕하세요 고객의 편안하고 안전한 이동을 최우선으로 생각하는      
경기도 차량 보유 대수 1위 아이카입니다.      
저신용자도 부담없이 신차/중고 차량을 이용할 수 있는      
무심사렌트 서비스를 제공하고 있습니다.      
복잡한 서류 제출 없이 전화나 온라인으로 상담 가능하고      
출고는 1~3일 안에 완료될 만큼 절차가 간편합니다.      
▷ 보험 조건      
     - 대인 : 무제한      
     - 대물 : 2,000만원      
     - 자손한도 : 1,500만원      
     - 자차 처리한도 : 500만원      
     - 대인/대물/자손 면책금 : 각각 50만원      
     - 자차 면책금 : 국산차 50만원 / 외제차 200만원
▷ 업체 정보      
     아이카렌터카      
     - 경기도 수원시 권선구 효탑로 16번길, 26</t>
  </si>
  <si>
    <t>2026-01-02T10:56:26</t>
  </si>
  <si>
    <t>2025-10-27T12:43:56</t>
  </si>
  <si>
    <t>["001", "004", "005", "006", "007", "008", "014", "015", "017", "019", "020", "021", "022", "023", "024", "026", "027", "030", "031", "032", "033", "034", "035", "055", "056", "057", "058", "063", "068", "071", "072", "074", "077", "082", "085", "096", "097"]</t>
  </si>
  <si>
    <t>[{"code": "007", "path": "/carpicture01/pic4081/40815620_007.jpg", "type": "INNER", "updateDateTime": "2025-10-31T13:30:14", "desc": null}, {"code": "013", "path": "/carpicture01/pic4081/40815620_001.jpg", "type": "THUMBNAIL", "updateDateTime": "2025-10-31T13:30:14", "desc": null}, {"code": "008", "path": "/carpicture01/pic4081/40815620_008.jpg", "type": "INNER", "updateDateTime": "2025-10-31T13:30:14", "desc": null}, {"code": "003", "path": "/carpicture01/pic4081/40815620_003.jpg", "type": "OUTER", "updateDateTime": "2025-10-31T13:30:14", "desc": null}, {"code": "011", "path": "/carpicture01/pic4081/40815620_001.jpg", "type": "THUMBNAIL", "updateDateTime": "2025-10-31T13:30:14", "desc": null}, {"code": "004", "path": "/carpicture01/pic4081/40815620_004.jpg", "type": "OUTER", "updateDateTime": "2025-10-31T13:30:14", "desc": null}, {"code": "026", "path": "/carpicture01/pic4081/40815620_001.jpg", "type": "THUMBNAIL", "updateDateTime": "2025-10-31T13:30:14", "desc": null}, {"code": "014", "path": "/carpicture01/pic4081/40815620_007.jpg", "type": "THUMBNAIL", "updateDateTime": "2025-10-31T13:30:14", "desc": null}, {"code": "002", "path": "/carpicture01/pic4081/40815620_002.jpg", "type": "OUTER", "updateDateTime": "2025-10-31T13:30:14", "desc": null}, {"code": "001", "path": "/carpicture01/pic4081/40815620_001.jpg", "type": "OUTER", "updateDateTime": "2025-10-31T13:30:14", "desc": null}, {"code": "012", "path": "/carpicture01/pic4081/40815620_001.jpg", "type": "THUMBNAIL", "updateDateTime": "2025-10-31T13:30:14", "desc": null}, {"code": "025", "path": "/carpicture01/pic4081/40815620_001.jpg", "type": "THUMBNAIL", "updateDateTime": "2025-10-31T13:30:14", "desc": null}]</t>
  </si>
  <si>
    <t>57하7482</t>
  </si>
  <si>
    <t>201906</t>
  </si>
  <si>
    <t>05062187307</t>
  </si>
  <si>
    <t>안녕하세요 고객의 편안하고 안전한 이동을 최우선으로 생각하는      
경기도 차량 보유 대수 1위, 아이카입니다.      
저신용자도 부담없이 신차/중고 차량을 이용할 수 있는      
무심사렌트 서비스를 제공하고 있습니다.      
복잡한 서류 제출 없이 전화나 온라인으로 상담 가능하고      
출고는 1~3일 안에 완료될 만큼 절차가 간편합니다.      
▷ 보험 조건      
     - 대인 : 무제한      
     - 대물 : 2,000만원      
     - 자손한도 : 1,500만원      
     - 자차 처리한도 : 500만원      
     - 대인/대물/자손 면책금 : 각각 50만원      
     - 자차 면책금 : 국산차 50만원 / 외제차 200만원
▷ 업체 정보      
     아이카렌터카      
     - 경기도 수원시 권선구 효탑로 16번길, 26</t>
  </si>
  <si>
    <t>2025-10-27T12:57:49</t>
  </si>
  <si>
    <t>["001", "004", "005", "006", "007", "008", "014", "015", "017", "019", "020", "021", "022", "023", "024", "026", "027", "030", "031", "032", "033", "034", "035", "055", "056", "057", "058", "063", "068", "071", "072", "074", "077", "082", "085", "094", "096", "097"]</t>
  </si>
  <si>
    <t>[{"code": "001", "path": "/carpicture01/pic4081/40815862_001.jpg", "type": "OUTER", "updateDateTime": "2025-10-31T13:37:14", "desc": null}, {"code": "007", "path": "/carpicture01/pic4081/40815862_007.jpg", "type": "INNER", "updateDateTime": "2025-10-31T13:37:14", "desc": null}, {"code": "014", "path": "/carpicture01/pic4081/40815862_007.jpg", "type": "THUMBNAIL", "updateDateTime": "2025-10-31T13:37:14", "desc": null}, {"code": "006", "path": "/carpicture01/pic4081/40815862_006.jpg", "type": "INNER", "updateDateTime": "2025-10-31T13:37:14", "desc": null}, {"code": "002", "path": "/carpicture01/pic4081/40815862_002.jpg", "type": "OUTER", "updateDateTime": "2025-10-31T13:37:14", "desc": null}, {"code": "025", "path": "/carpicture01/pic4081/40815862_001.jpg", "type": "THUMBNAIL", "updateDateTime": "2025-10-31T13:37:14", "desc": null}, {"code": "004", "path": "/carpicture01/pic4081/40815862_004.jpg", "type": "OUTER", "updateDateTime": "2025-10-31T13:37:14", "desc": null}, {"code": "005", "path": "/carpicture01/pic4081/40815862_005.jpg", "type": "OUTER", "updateDateTime": "2025-10-31T13:37:14", "desc": null}, {"code": "013", "path": "/carpicture01/pic4081/40815862_001.jpg", "type": "THUMBNAIL", "updateDateTime": "2025-10-31T13:37:14", "desc": null}, {"code": "011", "path": "/carpicture01/pic4081/40815862_001.jpg", "type": "THUMBNAIL", "updateDateTime": "2025-10-31T13:37:14", "desc": null}, {"code": "012", "path": "/carpicture01/pic4081/40815862_001.jpg", "type": "THUMBNAIL", "updateDateTime": "2025-10-31T13:37:14", "desc": null}, {"code": "003", "path": "/carpicture01/pic4081/40815862_003.jpg", "type": "OUTER", "updateDateTime": "2025-10-31T13:37:14", "desc": null}, {"code": "026", "path": "/carpicture01/pic4081/40815862_001.jpg", "type": "THUMBNAIL", "updateDateTime": "2025-10-31T13:37:14", "desc": null}]</t>
  </si>
  <si>
    <t>10호0563</t>
  </si>
  <si>
    <t>대구 달서구</t>
  </si>
  <si>
    <t>05062299171</t>
  </si>
  <si>
    <t>고려자동차
45년의 정직함, 고객과 함께 쌓아온 신뢰
1979년, 한 작은 정비공장에서 시작한 고려자동차는
오직 정직한 자동차 거래만을 고집하며,
오늘까지 45년간 중고차 전문 기업으로 성장해왔습니다.
★ 1996년, 대구자동차경매장 설립 및 운영
★ 2017년, 현대캐피탈 인증중고차 공식 제휴점
★정비부터 경매, 소매까지 중고차 전 과정 직접 운영
중고차의 진정한 가치는,
정확한 정보, 투명한 가격, 그리고 신뢰할 수 있는 사람에게서 나옵니다.
고려자동차는 고객 한 분 한 분께, 그런 거래를 약속드립니다.
★ 판매 차량 안내
아반떼 (CN7) 1.6 모던
( 2020년 10월 등록 / 2021년형 )
주행거리: 58,676km
색상: 인기색상 화이트에 베이지시트!!
옵션: 하이패스 시스템+ECM 룸미러 , 인포테이먼트 통합 디스플레이 , 컴포트1 , 인포테이먼트 네비2
사고이력: 무사고 차량 / 교환 이력 없음
내외관 상태: 깔끔하게 관리, 광택 및 실내 클리닝 완료
★ 동급 대비 합리적인 가격
★ 실매물 100% 보장
★ 믿을 수 있는 서비스
★ 자체 운영 경매장 보유
→ 시세에 맞는 정확하고 투명한 매입가 제시
→ 차량 구매 후, 기존 차량도 공정한 가격에 매입해드립니다.
★ 대차 및 캐피탈 할부 가능
→ 고객 맞춤형 금융 서비스로 부담 없이 차량 구매 가능
★ 오시는 길 &amp; 연락 안내
★ 주소: 대구 달서구 성서공단로54길 8
★ 영업시간:
평일 09:00 ~ 18:00
토요일 09:00 ~ 16:00
★ KTX/SRT 이용 시
서대구역 하차 → 택시 약 15분 (약 9,000원)
동대구역 하차 → 택시 약 30분 (약 20,000원)
★ 방문 전에는 꼭 연락 부탁드립니다
더 편안하고 정확한 상담을 위해 사전 예약 방문을 권장드립니다.
진심을 담은 약속
고려자동차는
고객님의 입장에서 생각하고,
마음으로 응대하는 자동차 전문가가 되고자 합니다.
차량만 판매하는 것이 아니라,
믿음과 안심까지 함께 드리겠습니다.
감사합니다.</t>
  </si>
  <si>
    <t>2026-01-13T09:56:40</t>
  </si>
  <si>
    <t>2025-11-12T09:19:48</t>
  </si>
  <si>
    <t>["10001", "10003", "10008", "10002"]</t>
  </si>
  <si>
    <t>["001", "004", "005", "006", "007", "008", "014", "015", "017", "019", "020", "021", "022", "023", "024", "026", "027", "030", "031", "032", "033", "034", "051", "055", "056", "057", "058", "068", "072", "074", "077", "082", "085", "088", "096", "097"]</t>
  </si>
  <si>
    <t>4886</t>
  </si>
  <si>
    <t>[{"code": "156", "name": "엔카진단센터 남대구점", "major": true, "telephoneNumber": "053-581-5455", "address": "대구 달서구 월곡로99길 9"}]</t>
  </si>
  <si>
    <t>(주)고려자동차</t>
  </si>
  <si>
    <t>권지환</t>
  </si>
  <si>
    <t>[{"code": "024", "path": "/carpicture04/pic4094/40941213_024.jpg", "type": "OPTION", "updateDateTime": "2025-11-12T15:35:00", "desc": null}, {"code": "005", "path": "/carpicture04/pic4094/40941213_005.jpg", "type": "OUTER", "updateDateTime": "2025-11-12T15:35:00", "desc": null}, {"code": "009", "path": "/carpicture04/pic4094/40941213_009.jpg", "type": "INNER", "updateDateTime": "2025-11-12T15:35:00", "desc": null}, {"code": "020", "path": "/carpicture04/pic4094/40941213_020.jpg", "type": "OPTION", "updateDateTime": "2025-11-12T15:35:00", "desc": null}, {"code": "007", "path": "/carpicture04/pic4094/40941213_007.jpg", "type": "INNER", "updateDateTime": "2025-11-12T15:35:00", "desc": null}, {"code": "001", "path": "/carpicture04/pic4094/40941213_001.jpg", "type": "OUTER", "updateDateTime": "2025-11-12T15:35:00", "desc": null}, {"code": "015", "path": "/carpicture04/pic4094/40941213_015.jpg", "type": "OPTION", "updateDateTime": "2025-11-12T15:35:00", "desc": null}, {"code": "016", "path": "/carpicture04/pic4094/40941213_016.jpg", "type": "OPTION", "updateDateTime": "2025-11-12T15:35:00", "desc": null}, {"code": "021", "path": "/carpicture04/pic4094/40941213_021.jpg", "type": "OPTION", "updateDateTime": "2025-11-12T15:35:00", "desc": null}, {"code": "002", "path": "/carpicture04/pic4094/40941213_002.jpg", "type": "OUTER", "updateDateTime": "2025-11-12T15:35:00", "desc": null}, {"code": "017", "path": "/carpicture04/pic4094/40941213_017.jpg", "type": "OPTION", "updateDateTime": "2025-11-12T15:35:00", "desc": null}, {"code": "018", "path": "/carpicture04/pic4094/40941213_018.jpg", "type": "OPTION", "updateDateTime": "2025-11-12T15:35:00", "desc": null}, {"code": "006", "path": "/carpicture04/pic4094/40941213_006.jpg", "type": "INNER", "updateDateTime": "2025-11-12T15:35:00", "desc": null}, {"code": "003", "path": "/carpicture04/pic4094/40941213_003.jpg", "type": "OUTER", "updateDateTime": "2025-11-12T15:35:00", "desc": null}, {"code": "010", "path": "/carpicture04/pic4094/40941213_010.jpg", "type": "INNER", "updateDateTime": "2025-11-12T15:35:00", "desc": null}, {"code": "023", "path": "/carpicture04/pic4094/40941213_023.jpg", "type": "OPTION", "updateDateTime": "2025-11-12T15:35:00", "desc": null}, {"code": "022", "path": "/carpicture04/pic4094/40941213_022.jpg", "type": "OPTION", "updateDateTime": "2025-11-12T15:35:00", "desc": null}, {"code": "004", "path": "/carpicture04/pic4094/40941213_004.jpg", "type": "OUTER", "updateDateTime": "2025-11-12T15:35:00", "desc": null}, {"code": "019", "path": "/carpicture04/pic4094/40941213_019.jpg", "type": "OPTION", "updateDateTime": "2025-11-12T15:35:00", "desc": null}, {"code": "008", "path": "/carpicture04/pic4094/40941213_008.jpg", "type": "INNER", "updateDateTime": "2025-11-12T15:35:00", "desc": null}]</t>
  </si>
  <si>
    <t>369주9506</t>
  </si>
  <si>
    <t>KMHLM41EEMU072597</t>
  </si>
  <si>
    <t>024</t>
  </si>
  <si>
    <t>2.0 Smart Spicial</t>
  </si>
  <si>
    <t>201806</t>
  </si>
  <si>
    <t>05062411013</t>
  </si>
  <si>
    <t>▶인사말◀
안녕하세요 (주)투게더카 성항현팀장입니다.
제 차량을 관심갖고,봐주셔서 감사합니다.
고객님들께 언제나 좋은차량,착한가격으로
보답드리고자 최선을 다하고 있습니다.
지금 보고 계신 차량은 제가 직접 1:1로 인수해온 차량입니다.
100%실매물이며
엔카에서 촬영한 실제 매물임을 알려드립니다.
▶구매방법◀
1.현금구매시 신분증 또는 운전면허증 지참하시면 됩니다.
2.할부or리스 구매시 협약되어있는 파이낸셜과 캐피탈로 최저가 금리로 안내해드립니다.
(금리는 개인의 신용도에 따라서 이율이 측정됩니다.)내방시 신분증 또는 운전명허증 지참하시면됩니다.
3.저신용or신용회복중이신 고객님들도 한도 협의가 가능한 대출 상품이 있습니다.
(4대보험or사업자 증빙이 가능하신분),(재직증빙이 어렵지만,급여를 통장으로 3개월이상 수령하신분)
▶찾아오시는 길◀
1.인천광역시 서구 봉수대로158 엠파크다워 F203호 (주)투게더카 입니다.
2.지하철 이용시 인천2호선 인천가좌역2번출구, 도보20분내 거리
3.버스이용시 22번,72번(간선):엠파크 정류장 하차</t>
  </si>
  <si>
    <t>2026-01-15T08:56:20</t>
  </si>
  <si>
    <t>2026-01-21T17:56:02</t>
  </si>
  <si>
    <t>2025-11-12T11:50:51</t>
  </si>
  <si>
    <t>["1119", "1108"]</t>
  </si>
  <si>
    <t>["001", "004", "005", "006", "007", "008", "010", "014", "015", "017", "019", "020", "022", "023", "024", "026", "027", "031", "032", "033", "034", "055", "056", "057", "058", "068", "071", "072", "074", "077", "082", "096", "097"]</t>
  </si>
  <si>
    <t>3633</t>
  </si>
  <si>
    <t>투게더카</t>
  </si>
  <si>
    <t>성항현</t>
  </si>
  <si>
    <t>[{"code": "021", "path": "/carpicture04/pic4094/40943677_021.jpg", "type": "OPTION", "updateDateTime": "2025-11-13T15:40:04", "desc": null}, {"code": "006", "path": "/carpicture04/pic4094/40943677_006.jpg", "type": "INNER", "updateDateTime": "2025-11-13T15:40:04", "desc": null}, {"code": "009", "path": "/carpicture04/pic4094/40943677_009.jpg", "type": "INNER", "updateDateTime": "2025-11-13T15:40:04", "desc": null}, {"code": "018", "path": "/carpicture04/pic4094/40943677_018.jpg", "type": "OPTION", "updateDateTime": "2025-11-13T15:40:04", "desc": null}, {"code": "001", "path": "/carpicture04/pic4094/40943677_001.jpg", "type": "OUTER", "updateDateTime": "2025-11-13T15:40:04", "desc": null}, {"code": "020", "path": "/carpicture04/pic4094/40943677_020.jpg", "type": "OPTION", "updateDateTime": "2025-11-13T15:40:04", "desc": null}, {"code": "016", "path": "/carpicture04/pic4094/40943677_016.jpg", "type": "OPTION", "updateDateTime": "2025-11-13T15:40:04", "desc": null}, {"code": "003", "path": "/carpicture04/pic4094/40943677_003.jpg", "type": "OUTER", "updateDateTime": "2025-11-13T15:40:04", "desc": null}, {"code": "008", "path": "/carpicture04/pic4094/40943677_008.jpg", "type": "INNER", "updateDateTime": "2025-11-13T15:40:04", "desc": null}, {"code": "007", "path": "/carpicture04/pic4094/40943677_007.jpg", "type": "INNER", "updateDateTime": "2025-11-13T15:40:04", "desc": null}, {"code": "022", "path": "/carpicture04/pic4094/40943677_022.jpg", "type": "OPTION", "updateDateTime": "2025-11-13T15:40:04", "desc": null}, {"code": "023", "path": "/carpicture04/pic4094/40943677_023.jpg", "type": "OPTION", "updateDateTime": "2025-11-13T15:40:04", "desc": null}, {"code": "010", "path": "/carpicture04/pic4094/40943677_010.jpg", "type": "INNER", "updateDateTime": "2025-11-13T15:40:04", "desc": null}, {"code": "004", "path": "/carpicture04/pic4094/40943677_004.jpg", "type": "OUTER", "updateDateTime": "2025-11-13T15:40:04", "desc": null}, {"code": "019", "path": "/carpicture04/pic4094/40943677_019.jpg", "type": "OPTION", "updateDateTime": "2025-11-13T15:40:04", "desc": null}, {"code": "017", "path": "/carpicture04/pic4094/40943677_017.jpg", "type": "OPTION", "updateDateTime": "2025-11-13T15:40:04", "desc": null}, {"code": "015", "path": "/carpicture04/pic4094/40943677_015.jpg", "type": "OPTION", "updateDateTime": "2025-11-13T15:40:04", "desc": null}, {"code": "005", "path": "/carpicture04/pic4094/40943677_005.jpg", "type": "OUTER", "updateDateTime": "2025-11-13T15:40:04", "desc": null}, {"code": "002", "path": "/carpicture04/pic4094/40943677_002.jpg", "type": "OUTER", "updateDateTime": "2025-11-13T15:40:04", "desc": null}, {"code": "024", "path": "/carpicture04/pic4094/40943677_024.jpg", "type": "OPTION", "updateDateTime": "2025-11-13T15:40:04", "desc": null}]</t>
  </si>
  <si>
    <t>23러7004</t>
  </si>
  <si>
    <t>KMHE241CBKA499037</t>
  </si>
  <si>
    <t>Turbo Inspiration</t>
  </si>
  <si>
    <t>대구 동구 안심로 327</t>
  </si>
  <si>
    <t>05062136102</t>
  </si>
  <si>
    <t>안녕하세요. 중고차 전문딜러 케이모터스 김정재 이사입니다. 
차량에 관심을 가져주셔서 대단히 감사합니다. 
현재 고객님께서 보시고있는 차량은 100% 실매물임을 이름을 걸고 약속드립니다. 
▶차량설명 
-사고여부 : 완전 무사고 (보험이력 0건) 차량입니다 . 
-차    종 :  캐스퍼 터보 인스퍼레이션 (23년형)
-색    상 :  인기색상 톰보이 카키
-주행거리 : 109,945km
-내 / 외관 : 실내와 실외가 깨끗합니다.  
-관리상태 : 모든 정비를 마친 상태입니다. 
▶옵션사항  
*선루프 (40만원)
*액티브 플러스 (50만원)
▶차량의 특징 
-역동적인 바디라인을 강조한 디자인입니다. 
-경차에서 볼수 없던 편의사양 및 승차감 
-스포티한 주행이 가능 
-최근 타이어 교체 및 정밀 안전진단 완료
-합리적인 가격
-최강연비(실용성 최강)
-미세누유없고 성능보험 품목 100프로 가능합니다
-전국 최저가 
▶차주정보
-운행자정보 :  1인신조  (운전습관 매우 좋음)
-운행용도 :   완전 무사고차량</t>
  </si>
  <si>
    <t>2026-01-15T09:56:06</t>
  </si>
  <si>
    <t>2026-01-25T21:56:02</t>
  </si>
  <si>
    <t>2025-11-13T08:02:59</t>
  </si>
  <si>
    <t>["1005", "10001"]</t>
  </si>
  <si>
    <t>["001", "004", "005", "006", "007", "008", "010", "014", "015", "017", "019", "020", "022", "023", "024", "026", "027", "031", "032", "033", "034", "055", "056", "057", "058", "062", "072", "074", "079", "082", "086", "088", "096", "097"]</t>
  </si>
  <si>
    <t>7037</t>
  </si>
  <si>
    <t>봉모터스</t>
  </si>
  <si>
    <t>김정재</t>
  </si>
  <si>
    <t>[{"code": "007", "path": "/carpicture05/pic4095/40951140_007.jpg", "type": "INNER", "updateDateTime": "2025-11-14T13:39:10", "desc": null}, {"code": "020", "path": "/carpicture05/pic4095/40951140_020.jpg", "type": "OPTION", "updateDateTime": "2025-11-14T13:39:10", "desc": null}, {"code": "019", "path": "/carpicture05/pic4095/40951140_019.jpg", "type": "OPTION", "updateDateTime": "2025-11-14T13:39:10", "desc": null}, {"code": "010", "path": "/carpicture05/pic4095/40951140_010.jpg", "type": "INNER", "updateDateTime": "2025-11-14T13:39:10", "desc": null}, {"code": "015", "path": "/carpicture05/pic4095/40951140_015.jpg", "type": "OPTION", "updateDateTime": "2025-11-14T13:39:10", "desc": null}, {"code": "004", "path": "/carpicture05/pic4095/40951140_004.jpg", "type": "OUTER", "updateDateTime": "2025-11-14T13:39:10", "desc": null}, {"code": "005", "path": "/carpicture05/pic4095/40951140_005.jpg", "type": "OUTER", "updateDateTime": "2025-11-14T13:39:10", "desc": null}, {"code": "021", "path": "/carpicture05/pic4095/40951140_021.jpg", "type": "OPTION", "updateDateTime": "2025-11-14T13:39:10", "desc": null}, {"code": "002", "path": "/carpicture05/pic4095/40951140_002.jpg", "type": "OUTER", "updateDateTime": "2025-11-14T13:39:10", "desc": null}, {"code": "003", "path": "/carpicture05/pic4095/40951140_003.jpg", "type": "OUTER", "updateDateTime": "2025-11-14T13:39:10", "desc": null}, {"code": "008", "path": "/carpicture05/pic4095/40951140_008.jpg", "type": "INNER", "updateDateTime": "2025-11-14T13:39:10", "desc": null}, {"code": "023", "path": "/carpicture05/pic4095/40951140_023.jpg", "type": "OPTION", "updateDateTime": "2025-11-14T13:39:10", "desc": null}, {"code": "017", "path": "/carpicture05/pic4095/40951140_017.jpg", "type": "OPTION", "updateDateTime": "2025-11-14T13:39:10", "desc": null}, {"code": "006", "path": "/carpicture05/pic4095/40951140_006.jpg", "type": "INNER", "updateDateTime": "2025-11-14T13:39:10", "desc": null}, {"code": "024", "path": "/carpicture05/pic4095/40951140_024.jpg", "type": "OPTION", "updateDateTime": "2025-11-14T13:39:10", "desc": null}, {"code": "001", "path": "/carpicture05/pic4095/40951140_001.jpg", "type": "OUTER", "updateDateTime": "2025-11-14T13:39:10", "desc": null}, {"code": "018", "path": "/carpicture05/pic4095/40951140_018.jpg", "type": "OPTION", "updateDateTime": "2025-11-14T13:39:10", "desc": null}, {"code": "022", "path": "/carpicture05/pic4095/40951140_022.jpg", "type": "OPTION", "updateDateTime": "2025-11-14T13:39:10", "desc": null}, {"code": "009", "path": "/carpicture05/pic4095/40951140_009.jpg", "type": "INNER", "updateDateTime": "2025-11-14T13:39:10", "desc": null}, {"code": "016", "path": "/carpicture05/pic4095/40951140_016.jpg", "type": "OPTION", "updateDateTime": "2025-11-14T13:39:10", "desc": null}]</t>
  </si>
  <si>
    <t>담녹색</t>
  </si>
  <si>
    <t>324도9561</t>
  </si>
  <si>
    <t>KMHB5516BPW016652</t>
  </si>
  <si>
    <t>[2, 11, 17]</t>
  </si>
  <si>
    <t>#신형모델#무사고#썬루프#정품네비#저신용할부가능#주말출고가능</t>
  </si>
  <si>
    <t>BH 330 Luxury</t>
  </si>
  <si>
    <t>088</t>
  </si>
  <si>
    <t>025</t>
  </si>
  <si>
    <t>Genesis</t>
  </si>
  <si>
    <t>201107</t>
  </si>
  <si>
    <t>경기 수원시 권선구 권선로 343</t>
  </si>
  <si>
    <t>05062075241</t>
  </si>
  <si>
    <t>🏆 [신형/무사고] 현대 제네시스 BH330 럭셔리 기본형 (실매물 49루7514)
"고객님의 소중한 자산, 내 가족이 탈 차라는 마음으로 정직하게 소개합니다."
안녕하세요. 주식회사 국민중고차 임여신 팀장입니다. 
단순히 차를 파는 이윤보다, 고객님의 삶에 중요한 도구가 될 차량을 꼼꼼하게 선별하여 소개하는 것에 보람을 느낍니다. 
최상품의 차량을 위해 수고스러움을 마다하지 않으며, 신뢰와 안전을 최우선으로 최선의 선택을 돕겠습니다.
━━━━━━━━━━━━━━━━━━━━━━━━━
📍 [차량 정보 및 상세 스펙]
차량명: 현대 제네시스 BH330 럭셔리 기본형 (페이스리프트 신형 모델)
차량번호: 49루7514 (실매물 인증)
연식: 2011년 7월 등록 (2012년형)
주행거리: 125,368 km
연료/변속기: 가솔린(휘발유) / 8단 자동변속기
색상: 품격 있는 검정색
공인연비: 복합 9.6 km/ℓ (인터넷 정보 기준)
사고유무: 완전 무사고 (판금 및 교환 없음)
단 한 건의 교환도 없는 깨끗한 바디 상태를 유지 중입니다.
✨ 주요 옵션 및 특징
핵심 옵션: 썬루프, 정품 내비게이션, 후방 카메라
신형 모델: 8단 미션과 LED 포지셔닝 램프가 적용된 페이스리프트 버전
편의 사양: 앞좌석 열선/통풍 시트, 버튼 시동 스마트키, HID 헤드램프, 하이패스 ECM 룸미러
구매 혜택: 저신용 할부 가능 / 주말 출고 가능 / 전국 최저가 도전
━━━━━━━━━━━━━━━━━━━━━━━━━
🏦 할부 구매 및 특수 할부 안내 "조회만으로 신용도가 하락하지 않는 안전한 가조회 시스템!"
개인 할부: 신용도 하락 없는 안전한 조회 / 저신용 할부 상담 가능
외국인 할부: 비자 종류 불문! 맞춤형 할부 솔루션 제공
승인 가능 비자: F2, F4, F5, F6 (우대) 및 D2(유학생), E7(특정활동), H2(방문취업) 등
준비물: 외국인등록증, 거소사실확인서 (최근 2주 이내 발급분)
법인 할부: 풍부한 법인 승인 노하우로 최적의 금리를 찾아드립니다.
준비물(최근 2주 이내): 법인 인감(3통), 등본, 사업자사본, 법인통장사본, 재무제표(2년), 대표자 신분증/인감
💳 결제 및 구비서류 안내 (최근 2주 이내 발급분 필수)
개인(현금/카드): 신분증 또는 운전면허증
개인사업자: 신분증, 사업자등록증 사본, 인감증명서 (세금계산서 발행용)
법인사업자: 사업자등록증 사본, 법인 인감증명서, 법인 등기부등본, 법인 인감도장
내 차 팔기(매각): 자동차 등록증 원본, 신분증, 자동차 매도용 인감(또는 본인서명사실확인서) 1통
매수자 정보(상사 정보)는 문의 주시면 바로 전송해 드립니다.
━━━━━━━━━━━━━━━━━━━━━━━━━
🌐 전국 등록대수 20만대 시대! 원스톱 토탈 솔루션
전국구 맞춤 비교: 국토부 기준 등록대수 20만대 중 고객님께 딱 맞는 최적의 차량을 현시점 평균 시세에 맞춰 한 번에 비교해 드립니다.
원스톱 서비스: 판매/매입은 물론 폐차, 수출, 보험, 사후 관리(판금, 광택, 도색 연결)까지 한곳에서 모두 해결해 드립니다.
🛡️ 투명한 관리 및 보증 내용
의무 보증: 1개월 / 2,000km 엔진 및 미션 주요 부품 의무 보증서 발행
서비스: 24시간 친절 상담 / 헛걸음 보상제 실시
차량 컨디션 안내: 현재 성능 기록부상 일부 점검 소견이 있습니다. 내방 시 성능지 원본과 함께 상세히 안내해 드리겠습니다.
━━━━━━━━━━━━━━━━━━━━━━━━━
🤝 국민중고차 임여신 팀장의 약속
100% 실매물: 직접 관리하는 상사 소유 차량만 투명하게 판매합니다.
정보 공개: 성능기록부 원본 및 차량 상태를 숨김없이 정확하게 고지합니다.
법적 보호: 한국자동차진단보증협회 공식 인증 차량으로 법적 보호를 보장합니다.
방문 권장: 직접 내방하시어 시운전 후 구매하시기를 강력히 권장합니다.
📋 안내 및 오시는 길
소속: 주식회사 국민중고차 (종사원증번호: GC25-03077 임여신)
주소: 경기도 수원시 권선구 권선로 343, 303호 (수원모터파크)
LPG충전소 옆 흰색건물 차단기 안으로 들어오시면 됩니다. (무료 주차)
대중교통: 1호선 수원역 2번 출구에서 도보 10분 (수원역 픽업 가능)
💡 방문 전 유의사항: 외근이 잦으므로 방문 전 미리 예약 부탁드립니다. 
**"광고에서 (49루7514) 봤다"**고 말씀해 주시면 24시간 언제든 신속하게 안내해 드리겠습니다.</t>
  </si>
  <si>
    <t>2026-01-06T15:01:25</t>
  </si>
  <si>
    <t>2026-01-23T15:46:03</t>
  </si>
  <si>
    <t>2026-01-06T14:45:37</t>
  </si>
  <si>
    <t>["1082", "1112"]</t>
  </si>
  <si>
    <t>["001", "003", "005", "006", "007", "008", "010", "014", "015", "017", "019", "020", "021", "022", "023", "024", "026", "027", "029", "030", "031", "032", "034", "035", "051", "055", "056", "057", "058", "063", "068", "071", "072", "074", "077", "081", "082", "083", "085", "096", "097"]</t>
  </si>
  <si>
    <t>6793</t>
  </si>
  <si>
    <t>[{"code": "164", "name": "엔카진단센터 수원 서둔점", "major": true, "telephoneNumber": "010-4522-7026", "address": "경기 수원시 권선구 권선로 309 수원오토콜렉션2(SAC) 1층"}]</t>
  </si>
  <si>
    <t>주식회사 국민중고차</t>
  </si>
  <si>
    <t>임여신</t>
  </si>
  <si>
    <t>[{"code": "015", "path": "/carpicture08/pic4128/41289569_015.jpg", "type": "OPTION", "updateDateTime": "2026-01-23T15:03:00", "desc": "#무사고차량 #100%실매물보증 #주말정상영업#당일출고 #저신용자할부가능"}, {"code": "017", "path": "/carpicture08/pic4128/41289569_017.jpg", "type": "OPTION", "updateDateTime": "2026-01-23T15:03:00", "desc": "#무사고차량 #100%실매물보증 #주말정상영업#당일출고 #저신용자할부가능"}, {"code": "003", "path": "/carpicture08/pic4128/41289569_003.jpg", "type": "OUTER", "updateDateTime": "2026-01-23T15:03:00", "desc": "#무사고차량 #100%실매물보증 #주말정상영업#당일출고 #저신용자할부가능"}, {"code": "004", "path": "/carpicture08/pic4128/41289569_004.jpg", "type": "OUTER", "updateDateTime": "2026-01-23T15:03:00", "desc": "#무사고차량 #100%실매물보증 #주말정상영업#당일출고 #저신용자할부가능"}, {"code": "010", "path": "/carpicture08/pic4128/41289569_010.jpg", "type": "INNER", "updateDateTime": "2026-01-23T15:03:00", "desc": "#무사고차량 #100%실매물보증 #주말정상영업#당일출고 #저신용자할부가능"}, {"code": "011", "path": "/carpicture08/pic4128/41289569_001.jpg", "type": "THUMBNAIL", "updateDateTime": "2026-01-23T15:03:00", "desc": null}, {"code": "009", "path": "/carpicture08/pic4128/41289569_009.jpg", "type": "INNER", "updateDateTime": "2026-01-23T15:03:00", "desc": "#무사고차량 #100%실매물보증 #주말정상영업#당일출고 #저신용자할부가능"}, {"code": "002", "path": "/carpicture08/pic4128/41289569_002.jpg", "type": "OUTER", "updateDateTime": "2026-01-23T15:03:00", "desc": "#무사고차량 #100%실매물보증 #주말정상영업#당일출고 #저신용자할부가능"}, {"code": "005", "path": "/carpicture08/pic4128/41289569_005.jpg", "type": "OUTER", "updateDateTime": "2026-01-23T15:03:00", "desc": "#무사고차량 #100%실매물보증 #주말정상영업#당일출고 #저신용자할부가능"}, {"code": "025", "path": "/carpicture08/pic4128/41289569_001.jpg", "type": "THUMBNAIL", "updateDateTime": "2026-01-23T15:03:00", "desc": null}, {"code": "008", "path": "/carpicture08/pic4128/41289569_008.jpg", "type": "INNER", "updateDateTime": "2026-01-23T15:03:00", "desc": "#무사고차량 #100%실매물보증 #주말정상영업#당일출고 #저신용자할부가능"}, {"code": "019", "path": "/carpicture08/pic4128/41289569_019.jpg", "type": "OPTION", "updateDateTime": "2026-01-23T15:03:00", "desc": "#무사고차량 #100%실매물보증 #주말정상영업#당일출고 #저신용자할부가능"}, {"code": "006", "path": "/carpicture08/pic4128/41289569_006.jpg", "type": "INNER", "updateDateTime": "2026-01-23T15:03:00", "desc": "#무사고차량 #100%실매물보증 #주말정상영업#당일출고 #저신용자할부가능"}, {"code": "001", "path": "/carpicture08/pic4128/41289569_001.jpg", "type": "OUTER", "updateDateTime": "2026-01-23T15:03:00", "desc": "#무사고차량 #100%실매물보증 #주말정상영업#당일출고 #저신용자할부가능"}, {"code": "007", "path": "/carpicture08/pic4128/41289569_007.jpg", "type": "INNER", "updateDateTime": "2026-01-23T15:03:00", "desc": "#무사고차량 #100%실매물보증 #주말정상영업#당일출고 #저신용자할부가능"}, {"code": "020", "path": "/carpicture08/pic4128/41289569_020.jpg", "type": "OPTION", "updateDateTime": "2026-01-23T15:03:00", "desc": "#무사고차량 #100%실매물보증 #주말정상영업#당일출고 #저신용자할부가능"}, {"code": "026", "path": "/carpicture08/pic4128/41289569_001.jpg", "type": "THUMBNAIL", "updateDateTime": "2026-01-23T15:03:00", "desc": null}, {"code": "021", "path": "/carpicture08/pic4128/41289569_021.jpg", "type": "OPTION", "updateDateTime": "2026-01-23T15:03:00", "desc": "#무사고차량 #100%실매물보증 #주말정상영업#당일출고 #저신용자할부가능"}, {"code": "023", "path": "/carpicture08/pic4128/41289569_023.jpg", "type": "OPTION", "updateDateTime": "2026-01-23T15:03:00", "desc": "#무사고차량 #100%실매물보증 #주말정상영업#당일출고 #저신용자할부가능"}, {"code": "013", "path": "/carpicture08/pic4128/41289569_001.jpg", "type": "THUMBNAIL", "updateDateTime": "2026-01-23T15:03:00", "desc": null}, {"code": "012", "path": "/carpicture08/pic4128/41289569_001.jpg", "type": "THUMBNAIL", "updateDateTime": "2026-01-23T15:03:00", "desc": null}, {"code": "024", "path": "/carpicture08/pic4128/41289569_024.jpg", "type": "OPTION", "updateDateTime": "2026-01-23T15:03:00", "desc": "#무사고차량 #100%실매물보증 #주말정상영업#당일출고 #저신용자할부가능"}, {"code": "018", "path": "/carpicture08/pic4128/41289569_018.jpg", "type": "OPTION", "updateDateTime": "2026-01-23T15:03:00", "desc": "#무사고차량 #100%실매물보증 #주말정상영업#당일출고 #저신용자할부가능"}, {"code": "022", "path": "/carpicture08/pic4128/41289569_022.jpg", "type": "OPTION", "updateDateTime": "2026-01-23T15:03:00", "desc": "#무사고차량 #100%실매물보증 #주말정상영업#당일출고 #저신용자할부가능"}, {"code": "014", "path": "/carpicture08/pic4128/41289569_007.jpg", "type": "THUMBNAIL", "updateDateTime": "2026-01-23T15:03:00", "desc": null}, {"code": "016", "path": "/carpicture08/pic4128/41289569_016.jpg", "type": "OPTION", "updateDateTime": "2026-01-23T15:03:00", "desc": "#무사고차량 #100%실매물보증 #주말정상영업#당일출고 #저신용자할부가능"}]</t>
  </si>
  <si>
    <t>49루7514</t>
  </si>
  <si>
    <t>G380 Prestige AWD</t>
  </si>
  <si>
    <t>124</t>
  </si>
  <si>
    <t>201402</t>
  </si>
  <si>
    <t>05062359278</t>
  </si>
  <si>
    <t>▷▶안녕 하세요. 대구 준 모터스  [이 정 규] 실장 입니다.◀◁
▷▶허위 매물 일체 취급 하지 않으며 보증및 법적 책임을 지겠습니다.!!◀◁
▷▶침수 차량 일체 취급 하지 않으며 보증및 법적 책임을 지겠습니다.!!◀◁
▷▶주행 거리 조작 일체 취급하지 않으며 보증및 법적 책임을 지겠습니다.!!◀◁
본 업체는 정식 허가 업체 이며 종사원증및 사업자 사본등록증,성능기록부 교부
등 차량판매를 위한 모든 준비가 되어 있습니다.!!정말 믿고 찾아주시면 되겠습니다.!!
전국 어디서나 계약금 입금시 달려 갈수 있도록 최선을 다하여 노력 하겠습니다. !!
우선 제차에 관심을 가져 주셔서 대단히 감사합니다.!!차를 팔기전 양심은 절대 팔지
않는다는 사훈아래 가족이 차량을 구매한다는 마음으로 고객님을 응대 하겠습니다.!!
▷▶━━━━실매물을 직접촬영 하였으며 100% 실매물만을 소개 합니다 .             ━━━━◀◁
▷▶━━━━필요하시면 성능점검 기록부와 등록증 팩스로 받아보실수있으 십니다 ━━━━◀◁
※ 차 량 내 역 ※
▩  차 량  명 :    제네시스 DHG380 프레스티지 AWD 
▩  연     식 :   2014
▩  색     상 :   깔끔한 실버컬러
▩ 판매자의견 :    이번에 소개해드릴 차량은 제네시스 DHG380 프레스티지 AWD 모델입니다 !! 
 윗사진과 동일한 100%실매물! 용도이력없는 순수자가차량임을 강조 !!
 엔진밋션상태 최상급 !!  밋셔팅김없으며 부조 떨림 이음 엔진노킹 잡소리조차 없습니다 !!  시운전강력추천 !!
 차량상태가 너무나좋아서 제차량보시면 100%계약하실거라 자신있게 말씀드립니다 !!  
 옵션으로는 // 파노라마선루프 // 360도어라운드뷰내비게이션  // HID헤드램프 // 2채널블랙박스 // 압축도어 // 전동트렁크 // ASCC크루즈컨트롤 // 풀오토에어컨 // 
 // 전.후.측방감지센서 // 차선이탈센서 // 전자파킹 // 버튼스마트키 // 전동시트 // 열선시트 // 통풍시트 // 메모리시트 // 가죽시트 // 하이패스룸미러 // 등등옵션 빵빵 !!
 타이어트레이드90%이상급 ! 스마트카드키보유! 
 *** 고스트크롬 휠컬러 ***  휠기스조차없음!!
 드라이빙 어시스트 패키지 II 및 파노라마선루프 옵션추가 !! 
 ( 어드밴스드 스마트 크루즈 컨트롤(고속도로 과속위험지역 자동 감속 기능 포함), 자동 긴급제동 시스템, 차선이탈 경보 시스템, 스마트 하이빔 ) 
 구매후 뒷돈0원 !! 주유만하시고 운행하시면되겠습니다. 
 백번의 말씀보다 눈으로 직접보심이 빠를듯하구요~ 실내크리닝 및 광택. 모든경정비까지 완료하였습니다 !!
 끝으로 좋은차는 오래기다리지 않습니다. 현대의 자존심 !!  제네시스 DHG380 프레스티지 AWD의 매력을 느껴보시길 바랍니다 !!  
 내고가능하오니 서둘러 전화주세요~ 감사합니다 (__)V  !!   필요시 성능기록부 및 차량등록증 보내드립니다 !! 
★ 구 매 방 법 ☆
▩현금 구매시 당일 출고및 전국 탁송 가능하십니다.!!
★ 구비서류 신분증 ☆
▩캐피탈 신용할부로( 현대// 신한 // 삼성 ) 등 최장 36개월 까지 저이율로 할부가 가능하십니다.!!
저희 준 모터스는 ★신용 8등급☆       ★대학생☆      ★만20세이상여성☆    ★신용회복중이신분☆
모두 개인 할부 가능하십니다.!!(현대 캐피탈 신차수준 최저금리!!!!!)
▩국내 모든 신용카드 결제가 가능하십니다.!!
▩고객님이 운행하시던 소중한 차량 대차//폐차//말소대행 전국 최고가 매입가능하십니다.!!
★ 오 시 는 길 ☆
▩네비게이션 이용시                      ☞ 대구광역시 달서구 성서공단로 54길 8  (도로명 주소) ☜
                                                       ☞ 대구광역시 달서구 월암동 1013  (지번 주소) ☜
▩고속 도로 이용시        ☞ 남대구 IC 내리신후 대구경매장방향  입니다.            ☜</t>
  </si>
  <si>
    <t>2026-01-08T15:56:58</t>
  </si>
  <si>
    <t>2026-01-21T11:56:03</t>
  </si>
  <si>
    <t>2026-01-07T11:54:33</t>
  </si>
  <si>
    <t>["1001", "1002"]</t>
  </si>
  <si>
    <t>["001", "003", "004", "005", "006", "007", "008", "010", "014", "015", "017", "019", "020", "021", "022", "023", "024", "026", "027", "029", "030", "031", "032", "033", "034", "035", "051", "055", "056", "057", "058", "059", "063", "071", "072", "074", "077", "079", "080", "081", "082", "083", "084", "085", "086", "087", "088", "092", "093", "094", "096", "097"]</t>
  </si>
  <si>
    <t>6320</t>
  </si>
  <si>
    <t>준모터스</t>
  </si>
  <si>
    <t>이정규</t>
  </si>
  <si>
    <t>[{"code": "021", "path": "/carpicture09/pic4129/41296449_021.jpg", "type": "OPTION", "updateDateTime": "2026-01-13T14:47:07", "desc": null}, {"code": "001", "path": "/carpicture09/pic4129/41296449_001.jpg", "type": "OUTER", "updateDateTime": "2026-01-13T14:47:07", "desc": null}, {"code": "024", "path": "/carpicture09/pic4129/41296449_024.jpg", "type": "OPTION", "updateDateTime": "2026-01-13T14:47:07", "desc": null}, {"code": "004", "path": "/carpicture09/pic4129/41296449_004.jpg", "type": "OUTER", "updateDateTime": "2026-01-13T14:47:07", "desc": null}, {"code": "005", "path": "/carpicture09/pic4129/41296449_005.jpg", "type": "OUTER", "updateDateTime": "2026-01-13T14:47:07", "desc": null}, {"code": "008", "path": "/carpicture09/pic4129/41296449_008.jpg", "type": "INNER", "updateDateTime": "2026-01-13T14:47:07", "desc": null}, {"code": "023", "path": "/carpicture09/pic4129/41296449_023.jpg", "type": "OPTION", "updateDateTime": "2026-01-13T14:47:07", "desc": null}, {"code": "010", "path": "/carpicture09/pic4129/41296449_010.jpg", "type": "INNER", "updateDateTime": "2026-01-13T14:47:07", "desc": null}, {"code": "018", "path": "/carpicture09/pic4129/41296449_018.jpg", "type": "OPTION", "updateDateTime": "2026-01-13T14:47:07", "desc": null}, {"code": "020", "path": "/carpicture09/pic4129/41296449_020.jpg", "type": "OPTION", "updateDateTime": "2026-01-13T14:47:07", "desc": null}, {"code": "009", "path": "/carpicture09/pic4129/41296449_009.jpg", "type": "INNER", "updateDateTime": "2026-01-13T14:47:07", "desc": null}, {"code": "006", "path": "/carpicture09/pic4129/41296449_006.jpg", "type": "INNER", "updateDateTime": "2026-01-13T14:47:07", "desc": null}, {"code": "002", "path": "/carpicture09/pic4129/41296449_002.jpg", "type": "OUTER", "updateDateTime": "2026-01-13T14:47:07", "desc": null}, {"code": "003", "path": "/carpicture09/pic4129/41296449_003.jpg", "type": "OUTER", "updateDateTime": "2026-01-13T14:47:07", "desc": null}, {"code": "007", "path": "/carpicture09/pic4129/41296449_007.jpg", "type": "INNER", "updateDateTime": "2026-01-13T14:47:07", "desc": null}, {"code": "016", "path": "/carpicture09/pic4129/41296449_016.jpg", "type": "OPTION", "updateDateTime": "2026-01-13T14:47:07", "desc": null}, {"code": "015", "path": "/carpicture09/pic4129/41296449_015.jpg", "type": "OPTION", "updateDateTime": "2026-01-13T14:47:07", "desc": null}, {"code": "022", "path": "/carpicture09/pic4129/41296449_022.jpg", "type": "OPTION", "updateDateTime": "2026-01-13T14:47:07", "desc": null}, {"code": "017", "path": "/carpicture09/pic4129/41296449_017.jpg", "type": "OPTION", "updateDateTime": "2026-01-13T14:47:07", "desc": null}, {"code": "019", "path": "/carpicture09/pic4129/41296449_019.jpg", "type": "OPTION", "updateDateTime": "2026-01-13T14:47:07", "desc": null}]</t>
  </si>
  <si>
    <t>136라7028</t>
  </si>
  <si>
    <t>KMHGN41EDEU010317</t>
  </si>
  <si>
    <t>163</t>
  </si>
  <si>
    <t>경기 부천시 오정구</t>
  </si>
  <si>
    <t>05062314336</t>
  </si>
  <si>
    <t>안녕하세요!
롯데렌탈 인증 중고차 T Car 부천매매센터 김태환 매니저입니다.
▶ 롯데렌탈 인증중고차 T Car 추천 ◀
- 전국 협력업체를 통한 T Car 케어 180일 1만km 무상 프로모션
- 무상 보증기간 부족시 추가 180일 연장구매 가능!!
- 법인 &amp; 개인 장기렌트로 이용된 차량이며 이력관리가 확실한 차량
- 구매 확정시 엔진오일 무상교체 쿠폰 1회 제공(단,쌍용,르노,전기차제외)
▶ 사고유무
- 무사고(부분적인 판금도색은 있을 수 있습니다) 
▶ 차량명
- THE NEW GRANDEUR (H) 2.4 프리미엄
▶ 차량 추가 옵션
- 프리미엄초이스
★ 판매자 한 줄 평!
- 성공한 아빠의 자동차!!
- 완전 무사고 차량!!
- 대한민국 대표 대형 세단!!
▶ 차량 진단 결과
- 차량 입고 후 리프트 띄워 하부 진단 결과, 누유/누수 없이 깔끔한 상태 유지 중입니다.
- 시운전 결과 특이사항 전혀 없는 상태 유지 중입니다.
- 차량 입고 후 광택, 세차 등 작업 완료되어 깔끔한 상태 유지하고 있습니다.
▶ 오시는 길
- 주소 : 경기도 부천시 송내대로 450, 국민차매매단지 1층 1104호 롯데렌탈 T카</t>
  </si>
  <si>
    <t>2026-01-07T17:56:25</t>
  </si>
  <si>
    <t>2026-01-07T11:11:42</t>
  </si>
  <si>
    <t>["001", "004", "005", "006", "007", "008", "014", "015", "017", "019", "020", "021", "022", "023", "024", "026", "027", "030", "031", "032", "033", "034", "035", "055", "056", "057", "058", "059", "063", "068", "072", "074", "075", "077", "081", "082", "084", "085", "088", "094", "096", "097"]</t>
  </si>
  <si>
    <t>6799</t>
  </si>
  <si>
    <t>[{"code": "148", "name": "엔카진단센터 부천 서운점", "major": true, "telephoneNumber": "032-250-7380", "address": "경기 부천시 송내대로 450 국민차매매단지 부천점 3301호"}]</t>
  </si>
  <si>
    <t>롯데렌탈(주)부천점</t>
  </si>
  <si>
    <t>T카 부천매매센터</t>
  </si>
  <si>
    <t>[{"code": "008", "path": "/carpicture09/pic4129/41295732_008.jpg", "type": "INNER", "updateDateTime": "2026-01-07T17:55:42", "desc": null}, {"code": "009", "path": "/carpicture09/pic4129/41295732_009.jpg", "type": "INNER", "updateDateTime": "2026-01-07T17:55:42", "desc": null}, {"code": "010", "path": "/carpicture09/pic4129/41295732_010.jpg", "type": "INNER", "updateDateTime": "2026-01-07T17:55:42", "desc": null}, {"code": "016", "path": "/carpicture09/pic4129/41295732_016.jpg", "type": "OPTION", "updateDateTime": "2026-01-07T17:55:42", "desc": null}, {"code": "018", "path": "/carpicture09/pic4129/41295732_018.jpg", "type": "OPTION", "updateDateTime": "2026-01-07T17:55:42", "desc": null}, {"code": "003", "path": "/carpicture09/pic4129/41295732_003.jpg", "type": "OUTER", "updateDateTime": "2026-01-07T17:55:42", "desc": null}, {"code": "021", "path": "/carpicture09/pic4129/41295732_021.jpg", "type": "OPTION", "updateDateTime": "2026-01-07T17:55:42", "desc": null}, {"code": "002", "path": "/carpicture09/pic4129/41295732_002.jpg", "type": "OUTER", "updateDateTime": "2026-01-07T17:55:42", "desc": null}, {"code": "005", "path": "/carpicture09/pic4129/41295732_005.jpg", "type": "OUTER", "updateDateTime": "2026-01-07T17:55:42", "desc": null}, {"code": "019", "path": "/carpicture09/pic4129/41295732_019.jpg", "type": "OPTION", "updateDateTime": "2026-01-07T17:55:42", "desc": null}, {"code": "024", "path": "/carpicture09/pic4129/41295732_024.jpg", "type": "OPTION", "updateDateTime": "2026-01-07T17:55:42", "desc": null}, {"code": "004", "path": "/carpicture09/pic4129/41295732_004.jpg", "type": "OUTER", "updateDateTime": "2026-01-07T17:55:42", "desc": null}, {"code": "006", "path": "/carpicture09/pic4129/41295732_006.jpg", "type": "INNER", "updateDateTime": "2026-01-07T17:55:42", "desc": null}, {"code": "017", "path": "/carpicture09/pic4129/41295732_017.jpg", "type": "OPTION", "updateDateTime": "2026-01-07T17:55:42", "desc": null}, {"code": "020", "path": "/carpicture09/pic4129/41295732_020.jpg", "type": "OPTION", "updateDateTime": "2026-01-07T17:55:42", "desc": null}, {"code": "022", "path": "/carpicture09/pic4129/41295732_022.jpg", "type": "OPTION", "updateDateTime": "2026-01-07T17:55:42", "desc": null}, {"code": "023", "path": "/carpicture09/pic4129/41295732_023.jpg", "type": "OPTION", "updateDateTime": "2026-01-07T17:55:42", "desc": null}, {"code": "015", "path": "/carpicture09/pic4129/41295732_015.jpg", "type": "OPTION", "updateDateTime": "2026-01-07T17:55:42", "desc": null}, {"code": "001", "path": "/carpicture09/pic4129/41295732_001.jpg", "type": "OUTER", "updateDateTime": "2026-01-07T17:55:42", "desc": null}, {"code": "007", "path": "/carpicture09/pic4129/41295732_007.jpg", "type": "INNER", "updateDateTime": "2026-01-07T17:55:42", "desc": null}]</t>
  </si>
  <si>
    <t>239가1233</t>
  </si>
  <si>
    <t>KMHF1413BNA146363</t>
  </si>
  <si>
    <t>Diesel 1.7 2WD</t>
  </si>
  <si>
    <t>05062319911</t>
  </si>
  <si>
    <t xml:space="preserve">----------------------------------------차량설명-------------------------------------------
      ▶사 고 유 무:  성능기록부참조.
      ▶차 명/등 급: 현대 올뉴투싼 1.7 2륜 스마트
      ▶연         식: 2018년식(17년12월등록)
      ▶색         상: 검 정 색
      ▶주 행 거 리: 117,038Km
      ▶내 /  외 관: 실내크리닝 및 광택완료
      ▶옵 션 사 항 : ★무사고(단순)!비흡연!네비매립!블랙박스!하이패스!새타이어4본장착!용도무!상태최상!올양호!★
차량에 관심을 가져주셔서 대단히 감사합니다. 
현재 고객님께서 보시고있는 차량은 저와 저희 사무실에서 현재 보유하고 있는 
100% 실매물임을 이름을 걸고 약속드립니다. 
저는 제가 매입한 차량만 광고하고 판매합니다!
★세원자동차매매상사 성능점검보증내역!!!★
1.중고자동차성능상태점검기록부
  공인된 엠파크타워&amp;허브 자체 성능점검.상태점검장에서 점검완료.
(성능.상태 점검의 보증에 대한 근거 - 
 [자동차 관리법] 제80조제4호의2내지 제80조제4호의3에 근거] 
★2개월 / 4,000Km 성능보증!엔카제휴진단보증!★
 -----------------------------------------기타문의-------------------------------------------
      ▶성능점검 외 본인이 직접 매입 후 시운전 및 센터에서 차량점검을 실시한 바 믿을수 있으며,
        전시장에 전시되어 있는 차량으로 방문해 주시면 언제든 시운전 가능하시고,
        공업사에서  점검도 가능하십니다.
      ▶현금구매,할부,카드구매 모두 가능하시고, 지금 타고 계신차와도 대차 가능합니다.
      ▶언제든 전화주시면 친절하게 상담 가능하며, 성능기록부,등록증 기타등등  열람 및 팩스 발송 해드릴수 있습니다.
 ------------------------------------------별    첨-------------------------------------------
       주 소 :인천광역시 서구 봉수대로 158,지하1층 S083호(A02호),(가좌동,엠파크타워) 
      다시 한번 실차주임을 강조드리며, 요즘 허위매물이나,미끼매물이 많은데,
      현혹되지마시길 당부드립니다!고맙습니다~!
★인천광역시 엠파크타워 지하1층 지하1층 S083호(A02호) 세원자동차매매상사 황선재 입니다!★								</t>
  </si>
  <si>
    <t>2026-01-07T14:56:21</t>
  </si>
  <si>
    <t>2026-01-07T16:56:02</t>
  </si>
  <si>
    <t>2026-01-06T09:41:50</t>
  </si>
  <si>
    <t>["001", "003", "004", "005", "006", "007", "008", "014", "015", "017", "019", "020", "022", "024", "026", "027", "031", "032", "033", "055", "056", "057", "058", "071", "072", "096", "097"]</t>
  </si>
  <si>
    <t>6727</t>
  </si>
  <si>
    <t>[{"code": "185", "name": "엔카진단센터 인천 엠파크타워", "major": true, "telephoneNumber": "010-8653-0091", "address": "인천 서구 봉수대로 158 엠파크타워 J112호(스튜디오 : 지하1층 S066호, S067호)"}]</t>
  </si>
  <si>
    <t>세원자동차매매상사</t>
  </si>
  <si>
    <t>황선재</t>
  </si>
  <si>
    <t>[{"code": "001", "path": "/carpicture08/pic4128/41285870_001.jpg", "type": "OUTER", "updateDateTime": "2026-01-07T14:55:50", "desc": null}, {"code": "018", "path": "/carpicture08/pic4128/41285870_018.jpg", "type": "OPTION", "updateDateTime": "2026-01-07T14:55:50", "desc": null}, {"code": "009", "path": "/carpicture08/pic4128/41285870_009.jpg", "type": "INNER", "updateDateTime": "2026-01-07T14:55:50", "desc": null}, {"code": "010", "path": "/carpicture08/pic4128/41285870_010.jpg", "type": "INNER", "updateDateTime": "2026-01-07T14:55:50", "desc": null}, {"code": "016", "path": "/carpicture08/pic4128/41285870_016.jpg", "type": "OPTION", "updateDateTime": "2026-01-07T14:55:50", "desc": null}, {"code": "024", "path": "/carpicture08/pic4128/41285870_024.jpg", "type": "OPTION", "updateDateTime": "2026-01-07T14:55:50", "desc": null}, {"code": "007", "path": "/carpicture08/pic4128/41285870_007.jpg", "type": "INNER", "updateDateTime": "2026-01-07T14:55:50", "desc": null}, {"code": "015", "path": "/carpicture08/pic4128/41285870_015.jpg", "type": "OPTION", "updateDateTime": "2026-01-07T14:55:50", "desc": null}, {"code": "006", "path": "/carpicture08/pic4128/41285870_006.jpg", "type": "INNER", "updateDateTime": "2026-01-07T14:55:50", "desc": null}, {"code": "020", "path": "/carpicture08/pic4128/41285870_020.jpg", "type": "OPTION", "updateDateTime": "2026-01-07T14:55:50", "desc": null}, {"code": "005", "path": "/carpicture08/pic4128/41285870_005.jpg", "type": "OUTER", "updateDateTime": "2026-01-07T14:55:50", "desc": null}, {"code": "022", "path": "/carpicture08/pic4128/41285870_022.jpg", "type": "OPTION", "updateDateTime": "2026-01-07T14:55:50", "desc": null}, {"code": "008", "path": "/carpicture08/pic4128/41285870_008.jpg", "type": "INNER", "updateDateTime": "2026-01-07T14:55:50", "desc": null}, {"code": "023", "path": "/carpicture08/pic4128/41285870_023.jpg", "type": "OPTION", "updateDateTime": "2026-01-07T14:55:50", "desc": null}, {"code": "019", "path": "/carpicture08/pic4128/41285870_019.jpg", "type": "OPTION", "updateDateTime": "2026-01-07T14:55:50", "desc": null}, {"code": "002", "path": "/carpicture08/pic4128/41285870_002.jpg", "type": "OUTER", "updateDateTime": "2026-01-07T14:55:50", "desc": null}, {"code": "017", "path": "/carpicture08/pic4128/41285870_017.jpg", "type": "OPTION", "updateDateTime": "2026-01-07T14:55:50", "desc": null}, {"code": "004", "path": "/carpicture08/pic4128/41285870_004.jpg", "type": "OUTER", "updateDateTime": "2026-01-07T14:55:50", "desc": null}, {"code": "003", "path": "/carpicture08/pic4128/41285870_003.jpg", "type": "OUTER", "updateDateTime": "2026-01-07T14:55:50", "desc": null}, {"code": "021", "path": "/carpicture08/pic4128/41285870_021.jpg", "type": "OPTION", "updateDateTime": "2026-01-07T14:55:50", "desc": null}]</t>
  </si>
  <si>
    <t>240오6264</t>
  </si>
  <si>
    <t>KMHJ2815GJU616614</t>
  </si>
  <si>
    <t>완전무사고/선루프/현대스마트센스/익스테리어패키지</t>
  </si>
  <si>
    <t>05062258800</t>
  </si>
  <si>
    <t>―*―*―*―*―*―*―*―*―*―*―*―*―*―*―*―*―*―*―*―*―*―
▩ 엔카 제휴업체차량입니다.(100%보장 됩니다.)
▩ 본 차량은 엔카에서 직접 촬영하였습니다.
▩ 허위매물 걱정 없는 실 매물입니다.
▩ 편하게 문의주시고, 단지에서 시운전해보세요.
―*―*―*―*―*―*―*―*―*―*―*―*―*―*―*―*―*―*―*―*―*―
▦▦▦　차 량 설 명　▦▦▦
▷ 엔카 진단 보증 실 매물 차량입니다.
▶ 모델명 : 그랜저 IG2.4 프리미엄
▷ 연 식 : 17/07식 (18년형)
▶ 주행거리 : 177,496km
▷ 특 징 : 이 차를 추천드리는 이유는 존재 유/무의 차이가 큰 파노라마썬루프가 추가되어 뒷좌석까지 넓은 개방감은 느낄 수 있으며, 
                다양한 운전자 주행보조로 안전성까지 챙겼습니다!
             선택옵션 정보
             410만원 상당의 선택옵션이 장착 되어있습니다.
             파노라마 썬루프	                110만원
             현대 스마트 센스 패키지	150만원
             익스테리어 패키지 I	        150만원
▶ 사고유무 : 완전 무사고 차량입니다.
◈추가설명◈
본 차량은 엔카 전문평가사가 직접 진단하여 엄선한 무사고 차량이며, 평가사가 내린 진단에 대해서 100% 책임지는 실매물 엔카 진단차량입니다.
엔카에서 차량확인 후 직접 촬영을 하였으며, 차량의 사고유무, 등급, 옵션이 다를 시 엔카 규정으로 보증을 진행합니다.
- 차량 상태 정말 자신있습니다.
- 실내외 완전 깔끔합니다.
- 실내 크리닝 및 광택 작업 완료.             
◈압류및저당◈ 
상품용 차량으로 이전된 차량으로써 압류, 저당, 범칙금 등 일체 문제없는 정상 매물입니다.
본 차량은 성능진단/점검이 완료된 차량이며, 상사에서 직접 판매되고 있는 실매물 차량입니다.
허위매물이 아닌 실매물만을 판매 하고 있습니다.
▶문의방법 
-연락주시면 친절하고 상세하게 설명을 드리도록 하겠습니다. 전화가 부재중일시 문자를 남겨주시면 확인 후 전화 드리겠습니다. 
-차량은 안산 단원구 초지동에서 보실 수 있어요.   
▶ 차량구입 방법 
60개월 무보증 전액 할부 가능합니다.
현재 타고 계신 차량과 교환도 가능하며, 대출을 통한 차량구매도 가능합니다. 
▶ 구입하실 때 필요서류 
현금 구입 시 신분증(면허증) 지참하시면 됩니다.
카드 구입 시 신분증, 카드 지참해 오시면 됩니다.
할부 구매 시 신분증 지참해 오시면 됩니다.
▶ 오시는 길
지하철 이용 : 4호선 고잔역에서 택시로 기본요금 나옵니다.
자가용 이용 : ‘경기 자동차 매매단지’로 검색하시면 됩니다.</t>
  </si>
  <si>
    <t>2026-01-05T15:56:19</t>
  </si>
  <si>
    <t>2026-01-25T12:56:02</t>
  </si>
  <si>
    <t>2026-01-05T13:34:09</t>
  </si>
  <si>
    <t>["1009", "1012", "1013"]</t>
  </si>
  <si>
    <t>["001", "004", "005", "006", "007", "008", "010", "014", "015", "017", "019", "020", "021", "022", "023", "024", "026", "027", "030", "031", "032", "033", "034", "035", "055", "056", "057", "058", "063", "071", "072", "074", "075", "077", "079", "081", "082", "085", "086", "088", "094", "096", "097"]</t>
  </si>
  <si>
    <t>0098</t>
  </si>
  <si>
    <t>드림모터스</t>
  </si>
  <si>
    <t>전두석</t>
  </si>
  <si>
    <t>[{"code": "007", "path": "/carpicture07/pic4127/41279771_007.jpg", "type": "INNER", "updateDateTime": "2026-01-08T13:30:54", "desc": "완전무사고/선루프/현대스마트센스/익스테리어패키지"}, {"code": "024", "path": "/carpicture07/pic4127/41279771_024.jpg", "type": "OPTION", "updateDateTime": "2026-01-08T13:30:54", "desc": "완전무사고/선루프/현대스마트센스/익스테리어패키지"}, {"code": "005", "path": "/carpicture07/pic4127/41279771_005.jpg", "type": "OUTER", "updateDateTime": "2026-01-08T13:30:54", "desc": "완전무사고/선루프/현대스마트센스/익스테리어패키지"}, {"code": "014", "path": "/carpicture07/pic4127/41279771_007.jpg", "type": "THUMBNAIL", "updateDateTime": "2026-01-08T13:30:54", "desc": null}, {"code": "016", "path": "/carpicture07/pic4127/41279771_016.jpg", "type": "OPTION", "updateDateTime": "2026-01-08T13:30:54", "desc": "완전무사고/선루프/현대스마트센스/익스테리어패키지"}, {"code": "003", "path": "/carpicture07/pic4127/41279771_003.jpg", "type": "OUTER", "updateDateTime": "2026-01-08T13:30:54", "desc": "완전무사고/선루프/현대스마트센스/익스테리어패키지"}, {"code": "022", "path": "/carpicture07/pic4127/41279771_022.jpg", "type": "OPTION", "updateDateTime": "2026-01-08T13:30:54", "desc": "완전무사고/선루프/현대스마트센스/익스테리어패키지"}, {"code": "015", "path": "/carpicture07/pic4127/41279771_015.jpg", "type": "OPTION", "updateDateTime": "2026-01-08T13:30:54", "desc": "완전무사고/선루프/현대스마트센스/익스테리어패키지"}, {"code": "023", "path": "/carpicture07/pic4127/41279771_023.jpg", "type": "OPTION", "updateDateTime": "2026-01-08T13:30:54", "desc": "완전무사고/선루프/현대스마트센스/익스테리어패키지"}, {"code": "025", "path": "/carpicture07/pic4127/41279771_001.jpg", "type": "THUMBNAIL", "updateDateTime": "2026-01-08T13:30:54", "desc": null}, {"code": "001", "path": "/carpicture07/pic4127/41279771_001.jpg", "type": "OUTER", "updateDateTime": "2026-01-08T13:30:54", "desc": "완전무사고/선루프/현대스마트센스/익스테리어패키지"}, {"code": "009", "path": "/carpicture07/pic4127/41279771_009.jpg", "type": "INNER", "updateDateTime": "2026-01-08T13:30:54", "desc": "완전무사고/선루프/현대스마트센스/익스테리어패키지"}, {"code": "008", "path": "/carpicture07/pic4127/41279771_008.jpg", "type": "INNER", "updateDateTime": "2026-01-08T13:30:54", "desc": "완전무사고/선루프/현대스마트센스/익스테리어패키지"}, {"code": "018", "path": "/carpicture07/pic4127/41279771_018.jpg", "type": "OPTION", "updateDateTime": "2026-01-08T13:30:54", "desc": "완전무사고/선루프/현대스마트센스/익스테리어패키지"}, {"code": "013", "path": "/carpicture07/pic4127/41279771_001.jpg", "type": "THUMBNAIL", "updateDateTime": "2026-01-08T13:30:54", "desc": null}, {"code": "021", "path": "/carpicture07/pic4127/41279771_021.jpg", "type": "OPTION", "updateDateTime": "2026-01-08T13:30:54", "desc": "완전무사고/선루프/현대스마트센스/익스테리어패키지"}, {"code": "011", "path": "/carpicture07/pic4127/41279771_001.jpg", "type": "THUMBNAIL", "updateDateTime": "2026-01-08T13:30:54", "desc": null}, {"code": "006", "path": "/carpicture07/pic4127/41279771_006.jpg", "type": "INNER", "updateDateTime": "2026-01-08T13:30:54", "desc": "완전무사고/선루프/현대스마트센스/익스테리어패키지"}, {"code": "012", "path": "/carpicture07/pic4127/41279771_001.jpg", "type": "THUMBNAIL", "updateDateTime": "2026-01-08T13:30:54", "desc": null}, {"code": "004", "path": "/carpicture07/pic4127/41279771_004.jpg", "type": "OUTER", "updateDateTime": "2026-01-08T13:30:54", "desc": "완전무사고/선루프/현대스마트센스/익스테리어패키지"}, {"code": "010", "path": "/carpicture07/pic4127/41279771_010.jpg", "type": "INNER", "updateDateTime": "2026-01-08T13:30:54", "desc": "완전무사고/선루프/현대스마트센스/익스테리어패키지"}, {"code": "002", "path": "/carpicture07/pic4127/41279771_002.jpg", "type": "OUTER", "updateDateTime": "2026-01-08T13:30:54", "desc": "완전무사고/선루프/현대스마트센스/익스테리어패키지"}, {"code": "020", "path": "/carpicture07/pic4127/41279771_020.jpg", "type": "OPTION", "updateDateTime": "2026-01-08T13:30:54", "desc": "완전무사고/선루프/현대스마트센스/익스테리어패키지"}, {"code": "026", "path": "/carpicture07/pic4127/41279771_001.jpg", "type": "THUMBNAIL", "updateDateTime": "2026-01-08T13:30:54", "desc": null}, {"code": "017", "path": "/carpicture07/pic4127/41279771_017.jpg", "type": "OPTION", "updateDateTime": "2026-01-08T13:30:54", "desc": "완전무사고/선루프/현대스마트센스/익스테리어패키지"}, {"code": "019", "path": "/carpicture07/pic4127/41279771_019.jpg", "type": "OPTION", "updateDateTime": "2026-01-08T13:30:54", "desc": "완전무사고/선루프/현대스마트센스/익스테리어패키지"}]</t>
  </si>
  <si>
    <t>02로6875</t>
  </si>
  <si>
    <t>KMHF141CBJA089226</t>
  </si>
  <si>
    <t>031</t>
  </si>
  <si>
    <t>5-Seater VAN</t>
  </si>
  <si>
    <t>083</t>
  </si>
  <si>
    <t>경기 용인시 기흥구 중부대로 242</t>
  </si>
  <si>
    <t>05062401335</t>
  </si>
  <si>
    <t>이 차량은 성능 기록부와 같이 무사고 차량으로 단순 교환 조차도 없습니다.
침수 또는 주행거리의 조작이 발견되면 언제든 차량을 회수 환불 해드리겠습니다.
이 차량은 철저했던 관리와 무사고 운행 덕에 성능은 신차 출고 당시의 컨디션 그대로입니다.
엔진 부조없이 변속 충격없이 자갈길에서도 하등의 잡소리도 없습니다.
고속 주행에서도 흔들림 떨림 쏠림 풍절음 현상이 전혀 없습니다.
시동 한 번만 걸어 보면 바로 구매 충동을 느끼는 그러한 차량입니다.
꿈의 옵션들은 덤이며 모든 전기 옵션 장치들이 정상적으로 작동하고 있습니다.
특히나 착한 가격은 가성비 최고입니다.
더 나아가 이차 저차 비교해 볼 틈없이 얼른 가져 가야 할 특급 매물입니다.
무보증 할부 60개월 지원하므로 현금 한 푼 들이지 않고 살 수 잇습니다.
운행하던 차량과 바꾸어 살때는 우대해드립니다.
상담 시간은 24시간 언제나 입니다.
이 차량은 성능 기록부와 같이 무사고 차량으로 단순 교환 조차도 없습니다.
매장 방문이 번거로우시면 출장 요청을 하세요. 전국 어디든지 이 차량을 가져다 드립니다.
이 차량은 5일간 운행 해본 후 구매 결정을 해도 됩니다.
5일안에 성능에 대한 하자가 발견되면 차량을 회수 환불 해드립니다.
침수 또는 주행거리의 조작이 발견되면 언제든 차량을 회수 환불 해드리겠습니다.
이 차량은 
철저했던 관리와 무사고 운행 덕에 성능은 신차 출고 당시의 컨디션 그대로입니다.
엔진 부조없이 변속 충격없이 자갈길에서도 하등의 잡소리도 없습니다.
고속 주행에서도 흔들림 떨림 쏠림 풍정음 현상이 전혀 없습니다.
시동 한 번만 걸어 보면 바로 구매 충동을 느끼는 그러한 차량입니다.
꿈의 옵션들은 덤이며 모든 전기 옵션 장치들이 정상적으로 작동하고 있습니다.
특히나 착한 가격은 가성비 최고입니다.
더 나아가 이차 저차 비교해 볼 틈없이 얼른 가져 가야 할 특급 매물입니다.
48개월 무보증 할부 지원하므로 현금 한 푼 들이지 않고도 살 수 있습니다.
타고 있던 그 어떠한 차량이라도 바꿔 살 때는 우대해드립니다.
상담 시간은 24시간 언제나 입니다.
매장 방문이 번거로우시면 출장 요청을 하세요. 전국 어디든지 이 차량을 가져다 드립니다.
이 차량은 5일간 운행 해본 후 구매 결정을 해도 됩니다.
5일안에 성능에 대한 하자가 발견되면 차량을 회수 환불 해드립니다.
침수 또는 주행거리의 조작이 발견되면 언제든 차량을 회수 환불 해드리겠습니다.
이 차량은 성능 기록부와 같이 무사고 차량으로 단순 교환 조차도 없습니다.
철저했던 관리와  무사고 운행 덕에 성능은 신차 출고 당시의 컨디션 그대로입니다.
엔진 부조없이 변속 충격없이 자갈길에서도 하등의 잡소리도 없습니다.
시동 한 번만 걸어 보면 바로 구매 충동을 느끼는 그러한 차량입니다.
꿈의 옵션들은 덤이며 모든 전기 옵션 장치들이 정상적으로 작동하고 있습니다.
특히나 착한 가격은 가성비 최고입니다.
더 나아가 이차 저차 비교해 볼 틈없이 얼른 가져 가야 할 특급 매물입니다.
48개월 무보증 할부 지원하므로 현금 한 푼 들이지 않고도 살 수 있습니다.
타고 있던 그 어떠한 차량이라도 바꿔 살 때는 우대해드립니다.
상담 시간은 24시간 언제나 입니다.</t>
  </si>
  <si>
    <t>2026-01-12T10:09:29</t>
  </si>
  <si>
    <t>2025-09-10T13:14:42</t>
  </si>
  <si>
    <t>["001", "003", "006", "007", "008", "014", "015", "017", "019", "020", "022", "024", "026", "027", "032", "033", "055", "071", "072"]</t>
  </si>
  <si>
    <t>2612</t>
  </si>
  <si>
    <t>[{"code": "153", "name": "엔카진단센터 용인 오토허브", "major": true, "telephoneNumber": "031-5182-5907", "address": "경기 용인시 기흥구 중부대로 242 오토허브 C동 지하 2층 포토존ㅣ(컨설팅룸)A동 W255호"}]</t>
  </si>
  <si>
    <t>MK 모터스</t>
  </si>
  <si>
    <t>조권희</t>
  </si>
  <si>
    <t>[{"code": "020", "path": "/carpicture10/pic4050/40500959_020.jpg", "type": "OPTION", "updateDateTime": "2025-09-10T17:13:08", "desc": null}, {"code": "016", "path": "/carpicture10/pic4050/40500959_016.jpg", "type": "OPTION", "updateDateTime": "2025-09-10T17:13:08", "desc": null}, {"code": "017", "path": "/carpicture10/pic4050/40500959_017.jpg", "type": "OPTION", "updateDateTime": "2025-09-10T17:13:08", "desc": null}, {"code": "005", "path": "/carpicture10/pic4050/40500959_005.jpg", "type": "OUTER", "updateDateTime": "2025-09-10T17:13:08", "desc": null}, {"code": "019", "path": "/carpicture10/pic4050/40500959_019.jpg", "type": "OPTION", "updateDateTime": "2025-09-10T17:13:08", "desc": null}, {"code": "010", "path": "/carpicture10/pic4050/40500959_010.jpg", "type": "INNER", "updateDateTime": "2025-09-10T17:13:08", "desc": null}, {"code": "023", "path": "/carpicture10/pic4050/40500959_023.jpg", "type": "OPTION", "updateDateTime": "2025-09-10T17:13:08", "desc": null}, {"code": "009", "path": "/carpicture10/pic4050/40500959_009.jpg", "type": "INNER", "updateDateTime": "2025-09-10T17:13:08", "desc": null}, {"code": "024", "path": "/carpicture10/pic4050/40500959_024.jpg", "type": "OPTION", "updateDateTime": "2025-09-10T17:13:08", "desc": null}, {"code": "022", "path": "/carpicture10/pic4050/40500959_022.jpg", "type": "OPTION", "updateDateTime": "2025-09-10T17:13:08", "desc": null}, {"code": "002", "path": "/carpicture10/pic4050/40500959_002.jpg", "type": "OUTER", "updateDateTime": "2025-09-10T17:13:08", "desc": null}, {"code": "021", "path": "/carpicture10/pic4050/40500959_021.jpg", "type": "OPTION", "updateDateTime": "2025-09-10T17:13:08", "desc": null}, {"code": "001", "path": "/carpicture10/pic4050/40500959_001.jpg", "type": "OUTER", "updateDateTime": "2025-09-10T17:13:08", "desc": null}, {"code": "018", "path": "/carpicture10/pic4050/40500959_018.jpg", "type": "OPTION", "updateDateTime": "2025-09-10T17:13:08", "desc": null}, {"code": "008", "path": "/carpicture10/pic4050/40500959_008.jpg", "type": "INNER", "updateDateTime": "2025-09-10T17:13:08", "desc": null}, {"code": "006", "path": "/carpicture10/pic4050/40500959_006.jpg", "type": "INNER", "updateDateTime": "2025-09-10T17:13:08", "desc": null}, {"code": "015", "path": "/carpicture10/pic4050/40500959_015.jpg", "type": "OPTION", "updateDateTime": "2025-09-10T17:13:08", "desc": null}, {"code": "004", "path": "/carpicture10/pic4050/40500959_004.jpg", "type": "OUTER", "updateDateTime": "2025-09-10T17:13:08", "desc": null}, {"code": "007", "path": "/carpicture10/pic4050/40500959_007.jpg", "type": "INNER", "updateDateTime": "2025-09-10T17:13:08", "desc": null}, {"code": "003", "path": "/carpicture10/pic4050/40500959_003.jpg", "type": "OUTER", "updateDateTime": "2025-09-10T17:13:08", "desc": null}]</t>
  </si>
  <si>
    <t>96구7581</t>
  </si>
  <si>
    <t>KMFWBX7KBHU862899</t>
  </si>
  <si>
    <t>1.4 VVT Smart</t>
  </si>
  <si>
    <t>105</t>
  </si>
  <si>
    <t>022</t>
  </si>
  <si>
    <t>Accent</t>
  </si>
  <si>
    <t>엑센트</t>
  </si>
  <si>
    <t>201309</t>
  </si>
  <si>
    <t>충북 청주시 청원구 2순환로 292</t>
  </si>
  <si>
    <t>05062134549</t>
  </si>
  <si>
    <t>◈◈◈◈◈◈◈◈◈ 청주 (주)더챔 ◈◈◈◈◈◈◈◈◈
- 안녕하세요~^^
- 저희 (주)더챔을 클릭해주셔서 감사드립니다.
- 저는 청주자동차매매단지 (주)더챔에 소속되어 있는 김영춘 입니다.
- 현재 보시는 차량은 상품화 &amp; 성능점검 완료 된 차량입니다.
- 안심 번호로 연락주시면 차량에 대해 자세히 설명해드리겠습니다.
- 차량 시승도 가능하며 정비업소에서 차량상태 확인도 가능합니다.
- 현재 타고 계신 차량 최고가 매입 및 대차 가능합니다.
◈◈◈◈◈◈◈◈◈ 차량 정보 ◈◈◈◈◈◈◈◈◈
▶엑센트 1.4 스마트◀
★등급 : 스마트
★연식 : 13 년 09 월 등록
★색상 : 은색
★키로수 : 154,850 km 
★밋션 : A/T (자동)
★이전 : 상사 
★연료 : 가솔린
★사고 : 무사고(성능기록부 참고)
★옵션사항 : 
★특이사항 : 관리 잘된 차량
★용도이력 : 없음
★할부 : 전액할부가능
◈◈◈◈◈◈◈◈◈ 할부 진행 방법 ◈◈◈◈◈◈◈◈◈
 * 신한 마이카 대출
- 저렴한 금리 : 최저금리 4.0% ~
- 대출 조건 : 직장인 - 4대 보험이 6개월이상 납부 된 만19세 이상부터
                   사업자 - 사업자 등록증과 소득증명이 가능한분 
＊캐피탈 금융상품*
- 저렴한 금리 : 최저금리 5.5% ~
- 편리한 이용 : 금융 계약에서 차량 구매까지 One Stop 서비스
- 신속한 계약 : 당일 승인, 당일 출고 가능
*신용등급에 따라 금리가 다를 수 있음*
*할부로 구입하실 때 필요한 서류
-개인 : 인감도장, 인감증명서2통, 주민등록등본 1통 통장사본, 운전면허증
-사업자 : 인감도장, 인감증명서3통(사용인감계 첨부), 사업자등록증, 등기부등본, 최근 재무제표, 대표자 인감도장, 인감증명서, 등본
*신용에 따라 서류가 필요 여부가 다를 수 있습니다.*
◈◈◈◈◈◈◈◈◈ 차량 성능 점검 소견 ◈◈◈◈◈◈◈◈◈
(사) 한국자동차진단보증협회 에서 인증받은 국가기술자격증을 보유하고 계신 정종수 점검자분께서
직접 확인을 하셔서 성능 보증 및 A/S를 법적으로 보호 받으실 수 있습니다.
침수차량 &amp; 주행거리 조작 차량에 대해서 100% 환불 처리 됩니다.
※자세한 진단 결과는 "성능점검표 보기" 를 확인 부탁드립니다.
◈◈◈◈◈◈◈◈◈ 주의사항◈◈◈◈◈◈◈◈◈
법인 등록업체 확인 하신 후에 구매하셔야 추후 법적 보장을 받으실 수 있습니다.
구매하시기 전 꼭 종사원증을 소지한 허가받은 딜러인지 확인 하셔야 합니다.
방문 전 등록증 &amp; 성능기록부를 미리 문자나 팩스로 받아 확인 하셔야 합니다.
◈◈◈◈◈◈◈◈◈ (주)더챔 오시는길 ◈◈◈◈◈◈◈◈◈
-오시는 길 : 네비 통합검색 - 율량중검색하시면 바로 옆입니다.
                  네비 주소 검색 - (신주소)충북 청주시 청원구 2순환로 292 , 202호(주중동)</t>
  </si>
  <si>
    <t>2025-12-01T08:56:57</t>
  </si>
  <si>
    <t>2025-12-30T16:56:03</t>
  </si>
  <si>
    <t>2025-09-29T14:18:35</t>
  </si>
  <si>
    <t>["1091"]</t>
  </si>
  <si>
    <t>["*무선도어 잠금장치 정상 작동유무 판매자문의"]</t>
  </si>
  <si>
    <t>["001", "006", "007", "008", "014", "019", "020", "026", "027", "032", "055", "056", "071", "072"]</t>
  </si>
  <si>
    <t>7158</t>
  </si>
  <si>
    <t>[{"code": "160", "name": "엔카진단센터 청주점", "major": true, "telephoneNumber": "043-291-0994", "address": "충북 청주시 상당구 1순환로1594번길 56 엠시티 매매단지 A동 1층 ENCAR"}, {"code": "187", "name": "엔카진단센터 청주 주중점", "major": false, "telephoneNumber": "", "address": "충북 청주시 청원구 2순환로 292 청주매매단지 A-113호, A-114호"}]</t>
  </si>
  <si>
    <t>더챔엠시티</t>
  </si>
  <si>
    <t>김영춘</t>
  </si>
  <si>
    <t>[{"code": "021", "path": "/carpicture04/pic4064/40648835_021.jpg", "type": "OPTION", "updateDateTime": "2025-09-29T14:27:01", "desc": null}, {"code": "008", "path": "/carpicture04/pic4064/40648835_008.jpg", "type": "INNER", "updateDateTime": "2025-09-29T14:27:01", "desc": null}, {"code": "001", "path": "/carpicture04/pic4064/40648835_001.jpg", "type": "OUTER", "updateDateTime": "2025-09-29T14:27:01", "desc": null}, {"code": "019", "path": "/carpicture04/pic4064/40648835_019.jpg", "type": "OPTION", "updateDateTime": "2025-09-29T14:27:01", "desc": null}, {"code": "024", "path": "/carpicture04/pic4064/40648835_024.jpg", "type": "OPTION", "updateDateTime": "2025-09-29T14:27:01", "desc": null}, {"code": "003", "path": "/carpicture04/pic4064/40648835_003.jpg", "type": "OUTER", "updateDateTime": "2025-09-29T14:27:01", "desc": null}, {"code": "006", "path": "/carpicture04/pic4064/40648835_006.jpg", "type": "INNER", "updateDateTime": "2025-09-29T14:27:01", "desc": null}, {"code": "007", "path": "/carpicture04/pic4064/40648835_007.jpg", "type": "INNER", "updateDateTime": "2025-09-29T14:27:01", "desc": null}, {"code": "015", "path": "/carpicture04/pic4064/40648835_015.jpg", "type": "OPTION", "updateDateTime": "2025-09-29T14:27:01", "desc": null}, {"code": "004", "path": "/carpicture04/pic4064/40648835_004.jpg", "type": "OUTER", "updateDateTime": "2025-09-29T14:27:01", "desc": null}, {"code": "009", "path": "/carpicture04/pic4064/40648835_009.jpg", "type": "INNER", "updateDateTime": "2025-09-29T14:27:01", "desc": null}, {"code": "018", "path": "/carpicture04/pic4064/40648835_018.jpg", "type": "OPTION", "updateDateTime": "2025-09-29T14:27:01", "desc": null}, {"code": "023", "path": "/carpicture04/pic4064/40648835_023.jpg", "type": "OPTION", "updateDateTime": "2025-09-29T14:27:01", "desc": null}, {"code": "002", "path": "/carpicture04/pic4064/40648835_002.jpg", "type": "OUTER", "updateDateTime": "2025-09-29T14:27:01", "desc": null}, {"code": "017", "path": "/carpicture04/pic4064/40648835_017.jpg", "type": "OPTION", "updateDateTime": "2025-09-29T14:27:01", "desc": null}, {"code": "005", "path": "/carpicture04/pic4064/40648835_005.jpg", "type": "OUTER", "updateDateTime": "2025-09-29T14:27:01", "desc": null}, {"code": "010", "path": "/carpicture04/pic4064/40648835_010.jpg", "type": "INNER", "updateDateTime": "2025-09-29T14:27:01", "desc": null}, {"code": "016", "path": "/carpicture04/pic4064/40648835_016.jpg", "type": "OPTION", "updateDateTime": "2025-09-29T14:27:01", "desc": null}, {"code": "020", "path": "/carpicture04/pic4064/40648835_020.jpg", "type": "OPTION", "updateDateTime": "2025-09-29T14:27:01", "desc": null}, {"code": "022", "path": "/carpicture04/pic4064/40648835_022.jpg", "type": "OPTION", "updateDateTime": "2025-09-29T14:27:01", "desc": null}]</t>
  </si>
  <si>
    <t>소형차</t>
  </si>
  <si>
    <t>47수7009</t>
  </si>
  <si>
    <t>KMHCS41CBEU572105</t>
  </si>
  <si>
    <t>05062408565</t>
  </si>
  <si>
    <t>▒▒▒▒▒▒ ▣ Turst Encar ▣ ▒▒▒▒▒▒
 ▶ 허위매물이 불가능한 100% 실 매물만 등록이 됩니다.
▶ 차량에 대한 정보를 조작하지 않습니다.  
▒▒▒▒ ▣ Enjoy your dirving ▣ ▒▒▒▒
제 차량에 관심을 가져주셔서 감사합니다. 
도이치오토월드 명문자동차 강민혁 실장입니다. 
중고차 거래 시 허가업체에서 종사원증(딜러증)이 있는 
실 차주와 거래를 하셔야만 법적 보호를 받으실 수 있습니다. 
(경기자동차매매조합 홈페이지에서 차량 및 딜러 확인 가능) 
무조건 싸고 좋은 차는 없습니다. 
눈 앞에 이익을 위해 양심을 팔지 않겠습니다.
항상 사람을 남기고 박리다매로 운영하겠습니다
▒▒▒▒▒▒ ▣ 차량정보 ▣ ▒▒▒▒▒▒
▶ 모 델 명 : [현대]더 뉴 그랜저 IG 하이브리드 르블랑
▶ 차량연식 : 2022 년
▶ 변 속 기 : 오토
▶ 차량색상 : 검정색
▶ 주행거리 : 45,001km
▶ 차량상태 : 주기적 점검 및 관리를 받아 차량 내외관 
                       모두 상태가 양호합니다.
                       광택 및 실내크리닝 완료
▒▒▒▒▒ ▣ 차량소개 ▣ ▒▒▒▒▒
▶ 6개월 10000 키로 safe 중고차 성능 보증 가능
▶ 흡연여부 : 비흡연 차량입니다.
▶ 그외사항 : 전 차주분께서 차량에 대한 지식이 많으셔서
                       차량 전반적으로 병적 관리를 하셨습니다.
▒▒▒▒▒ ▣ 보증안내 ▣ ▒▒▒▒▒
▶ 자동차등록규칙 제 33조 제2항 2호에 의한 
     자동차 양도증명서(관인 계약서)를 작성해 
     법적 보호를 해드립니다.
▶ 자동차관리법 제 58조 1항에 의한 
     성능점검기록부 교부 해드립니다.
▶ 자동차관리법 시행규칙 자동차 보증제도 관련규정에 의거 
     차량인수일 기준 30일/2,000km 범위 내에서 소모품을 
     제외한 엔진, 미션에 대해서는 보증수리를 해드립니다.
▶ 주행거리 조작, 침수 차 시 전액 100% 환불해드립니다.
▒▒▒▒▒ ▣ 구입방법 ▣ ▒▒▒▒▒
▶현금영수증, 세금계산서 발행 가능합니다!
▶ 차량 전액 할부 구매 가능합니다! 
▶ 전국 지역 탁송 판매 가능합니다! 
▶ 대차 환영합니다!
▒▒▒▒▒ ▣ 오시는길 ▣ ▒▒▒▒▒
▶ 매장위치 : 경기도 수원시 권선로 308-5 
                       도이치오토월드 401호
▶ 지하철 : 수원역 하차 후 택시 5분 거리
▒▒▒ ▣ Enjoy your dirving ▣ ▒▒▒</t>
  </si>
  <si>
    <t>2025-12-11T17:56:17</t>
  </si>
  <si>
    <t>2026-01-21T10:56:03</t>
  </si>
  <si>
    <t>2025-10-02T12:59:34</t>
  </si>
  <si>
    <t>["1038"]</t>
  </si>
  <si>
    <t>["001", "004", "005", "006", "007", "008", "010", "014", "015", "017", "019", "020", "021", "022", "023", "024", "026", "027", "030", "031", "032", "033", "034", "035", "055", "056", "057", "058", "059", "063", "072", "074", "075", "077", "079", "081", "082", "084", "085", "086", "087", "088", "094", "096", "097"]</t>
  </si>
  <si>
    <t>6669</t>
  </si>
  <si>
    <t>명문자동차_프리미엄</t>
  </si>
  <si>
    <t>강민혁</t>
  </si>
  <si>
    <t>[{"code": "001", "path": "/carpicture08/pic4068/40681023_001.jpg", "type": "OUTER", "updateDateTime": "2025-10-10T13:45:48", "desc": null}, {"code": "007", "path": "/carpicture08/pic4068/40681023_007.jpg", "type": "INNER", "updateDateTime": "2025-10-10T13:45:48", "desc": null}, {"code": "009", "path": "/carpicture08/pic4068/40681023_009.jpg", "type": "INNER", "updateDateTime": "2025-10-10T13:45:48", "desc": null}, {"code": "002", "path": "/carpicture08/pic4068/40681023_002.jpg", "type": "OUTER", "updateDateTime": "2025-10-10T13:45:48", "desc": null}, {"code": "017", "path": "/carpicture08/pic4068/40681023_017.jpg", "type": "OPTION", "updateDateTime": "2025-10-10T13:45:48", "desc": null}, {"code": "010", "path": "/carpicture08/pic4068/40681023_010.jpg", "type": "INNER", "updateDateTime": "2025-10-10T13:45:48", "desc": null}, {"code": "016", "path": "/carpicture08/pic4068/40681023_016.jpg", "type": "OPTION", "updateDateTime": "2025-10-10T13:45:48", "desc": null}, {"code": "006", "path": "/carpicture08/pic4068/40681023_006.jpg", "type": "INNER", "updateDateTime": "2025-10-10T13:45:48", "desc": null}, {"code": "024", "path": "/carpicture08/pic4068/40681023_024.jpg", "type": "OPTION", "updateDateTime": "2025-10-10T13:45:48", "desc": null}, {"code": "019", "path": "/carpicture08/pic4068/40681023_019.jpg", "type": "OPTION", "updateDateTime": "2025-10-10T13:45:48", "desc": null}, {"code": "018", "path": "/carpicture08/pic4068/40681023_018.jpg", "type": "OPTION", "updateDateTime": "2025-10-10T13:45:48", "desc": null}, {"code": "003", "path": "/carpicture08/pic4068/40681023_003.jpg", "type": "OUTER", "updateDateTime": "2025-10-10T13:45:48", "desc": null}, {"code": "020", "path": "/carpicture08/pic4068/40681023_020.jpg", "type": "OPTION", "updateDateTime": "2025-10-10T13:45:48", "desc": null}, {"code": "008", "path": "/carpicture08/pic4068/40681023_008.jpg", "type": "INNER", "updateDateTime": "2025-10-10T13:45:48", "desc": null}, {"code": "022", "path": "/carpicture08/pic4068/40681023_022.jpg", "type": "OPTION", "updateDateTime": "2025-10-10T13:45:48", "desc": null}, {"code": "004", "path": "/carpicture08/pic4068/40681023_004.jpg", "type": "OUTER", "updateDateTime": "2025-10-10T13:45:48", "desc": null}, {"code": "021", "path": "/carpicture08/pic4068/40681023_021.jpg", "type": "OPTION", "updateDateTime": "2025-10-10T13:45:48", "desc": null}, {"code": "023", "path": "/carpicture08/pic4068/40681023_023.jpg", "type": "OPTION", "updateDateTime": "2025-10-10T13:45:48", "desc": null}, {"code": "015", "path": "/carpicture08/pic4068/40681023_015.jpg", "type": "OPTION", "updateDateTime": "2025-10-10T13:45:48", "desc": null}, {"code": "005", "path": "/carpicture08/pic4068/40681023_005.jpg", "type": "OUTER", "updateDateTime": "2025-10-10T13:45:48", "desc": null}]</t>
  </si>
  <si>
    <t>105다4923</t>
  </si>
  <si>
    <t>KMHF1413BNA139279</t>
  </si>
  <si>
    <t>Gas 3.3 4WD</t>
  </si>
  <si>
    <t>135</t>
  </si>
  <si>
    <t>050</t>
  </si>
  <si>
    <t>Maxcruz</t>
  </si>
  <si>
    <t>맥스크루즈</t>
  </si>
  <si>
    <t>대전 유성구</t>
  </si>
  <si>
    <t>05062256474</t>
  </si>
  <si>
    <t>▶ 구매 방법 ◀
1)방문 예약 후 내방 하셔서 구입
(대전광역시 유성구 유성대로 510,216호 (주)이수오토)
2)탁송 구매
계약금을 입금 후,차량탁송 받으시고
검차후 잔금 완납처리
(자세한 절차방법은 유선 상담 후 SMS로 안내 )
3)"엔카 홈 서비스"이용
차량을 받아 보시고 최대 7일동안 운행해보고 결정
(자세한 절차는 홈서비스 신청하시면 
홈서비스 담당 어드바이저가 자세한 설명 안내)
----------------------------------------------
믿고 구매할수 있고, 구매 후 만족도가 높은 
진단/보증 차량을 선택하셔서 후회없는 중고차 구매
되시길 바랍니다.
본 차량은  전문 평가사가 진단하고 보증하는
상품용 차량입니다.
----------------------------------------------
▶  고객님께 드리는 말씀  ◀
-저희 업체는 현대안심제휴업체로 지정돼어  현대캐피탈로 할부진행시 
- 최저 금리 할부 가능 (단,신용대상자에 한함 )
-다시 한번 확인!!
----------------------------------------------
@@ 가장 많이 궁금해 하실 내용 @@
----------------------------------------------
 ▶차량 설명◀
 - 차    명 : 더 뉴맥스크루즈 가솔린 3.3 4WD 프레스티지
 - 연    식 : 2017 년식
 - 색    상 : 흰색투톤
 - 주행거리 :  190.563 KM
 - 내/ 외관 : 양호
 - 연    료 : 휘발유
 - 변 속 기 : 오토
 - 차량특징 : 병적관리
 - 1인 신조차량
 - 신차가 3890만원 상당!!
 - ( 차량점검완료 / 실내외 깔끔한편입니다 )
_ 전차주분정보: 40대 사업가가  타시던 차량입니다.
-사고유.무 : 도로교통법상 무사고차량                                         
▶ 차량 구매전 꼭 확인하실 사항 ◀
  - 사이트에서 사진으로만 보지마시고 직접오셔서 
    차량 내/외관 확인 및 시승을 해보시길 
    적극 추천 드립니다.
  - 마음에 드시는 차량을 보셨으면 성능점검 기록부를 
    확인하시고 차량의 이상유/무를 
    확인하시고 구매하시기 바랍니다.
  - 터무니 없이 저렴한 가격에 올라온 허위매물이란 
    생각이 드시면 다른 차량을 찾아보시길 바랍니다.
 ☞ 더 궁금하시거나 구매문의는 맨위 상단의 
    안심번호로 연락주시기 바랍니다.☜
※차량구매후 바로 출고하여 고객님이 
    직접타고 가실 수 있도록 하겠습니다.※
▶ 매 장  오시는길 ◀
(대전오토월드) 216호 (주)이수오토
# 대전광역시 유성구 유성대로 510
자가용 이용
어느지역이든 출발
# 네비게이션: 대전오토월드(대전유성) 치시면됩니다
지하철 이용
# 유성온천역 (택시8분거리)
# 구암역 (버스3정거장)</t>
  </si>
  <si>
    <t>2026-01-19T10:56:30</t>
  </si>
  <si>
    <t>2025-09-12T15:18:12</t>
  </si>
  <si>
    <t>["1001"]</t>
  </si>
  <si>
    <t>["001", "003", "004", "005", "006", "007", "008", "014", "015", "017", "019", "020", "021", "022", "023", "024", "026", "027", "029", "030", "031", "032", "033", "034", "035", "051", "055", "056", "057", "058", "059", "062", "063", "068", "071", "072", "074", "077", "081", "082", "084", "085", "092", "094", "096", "097"]</t>
  </si>
  <si>
    <t>2420</t>
  </si>
  <si>
    <t>[{"code": "177", "name": "엔카진단센터 대전 디오토몰", "major": true, "telephoneNumber": "042-359-9118", "address": "대전 유성구 복용동로 35 디오토몰 118호"}]</t>
  </si>
  <si>
    <t>(주)이수오토</t>
  </si>
  <si>
    <t>이병주</t>
  </si>
  <si>
    <t>[{"code": "018", "path": "/carpicture02/pic4052/40525443_018.jpg", "type": "OPTION", "updateDateTime": "2025-09-12T15:25:44", "desc": null}, {"code": "004", "path": "/carpicture02/pic4052/40525443_004.jpg", "type": "OUTER", "updateDateTime": "2025-09-12T15:25:44", "desc": null}, {"code": "006", "path": "/carpicture02/pic4052/40525443_006.jpg", "type": "INNER", "updateDateTime": "2025-09-12T15:25:44", "desc": null}, {"code": "020", "path": "/carpicture02/pic4052/40525443_020.jpg", "type": "OPTION", "updateDateTime": "2025-09-12T15:25:44", "desc": null}, {"code": "024", "path": "/carpicture02/pic4052/40525443_024.jpg", "type": "OPTION", "updateDateTime": "2025-09-12T15:25:44", "desc": null}, {"code": "008", "path": "/carpicture02/pic4052/40525443_008.jpg", "type": "INNER", "updateDateTime": "2025-09-12T15:25:44", "desc": null}, {"code": "023", "path": "/carpicture02/pic4052/40525443_023.jpg", "type": "OPTION", "updateDateTime": "2025-09-12T15:25:44", "desc": null}, {"code": "002", "path": "/carpicture02/pic4052/40525443_002.jpg", "type": "OUTER", "updateDateTime": "2025-09-12T15:25:44", "desc": null}, {"code": "001", "path": "/carpicture02/pic4052/40525443_001.jpg", "type": "OUTER", "updateDateTime": "2025-09-12T15:25:44", "desc": null}, {"code": "016", "path": "/carpicture02/pic4052/40525443_016.jpg", "type": "OPTION", "updateDateTime": "2025-09-12T15:25:44", "desc": null}, {"code": "022", "path": "/carpicture02/pic4052/40525443_022.jpg", "type": "OPTION", "updateDateTime": "2025-09-12T15:25:44", "desc": null}, {"code": "003", "path": "/carpicture02/pic4052/40525443_003.jpg", "type": "OUTER", "updateDateTime": "2025-09-12T15:25:44", "desc": null}, {"code": "009", "path": "/carpicture02/pic4052/40525443_009.jpg", "type": "INNER", "updateDateTime": "2025-09-12T15:25:44", "desc": null}, {"code": "010", "path": "/carpicture02/pic4052/40525443_010.jpg", "type": "INNER", "updateDateTime": "2025-09-12T15:25:44", "desc": null}, {"code": "017", "path": "/carpicture02/pic4052/40525443_017.jpg", "type": "OPTION", "updateDateTime": "2025-09-12T15:25:44", "desc": null}, {"code": "015", "path": "/carpicture02/pic4052/40525443_015.jpg", "type": "OPTION", "updateDateTime": "2025-09-12T15:25:44", "desc": null}, {"code": "021", "path": "/carpicture02/pic4052/40525443_021.jpg", "type": "OPTION", "updateDateTime": "2025-09-12T15:25:44", "desc": null}, {"code": "005", "path": "/carpicture02/pic4052/40525443_005.jpg", "type": "OUTER", "updateDateTime": "2025-09-12T15:25:44", "desc": null}, {"code": "007", "path": "/carpicture02/pic4052/40525443_007.jpg", "type": "INNER", "updateDateTime": "2025-09-12T15:25:44", "desc": null}, {"code": "019", "path": "/carpicture02/pic4052/40525443_019.jpg", "type": "OPTION", "updateDateTime": "2025-09-12T15:25:44", "desc": null}]</t>
  </si>
  <si>
    <t>64고0423</t>
  </si>
  <si>
    <t>KMHSR81FDHU217036</t>
  </si>
  <si>
    <t>010</t>
  </si>
  <si>
    <t>G380 Finest Edition AWD</t>
  </si>
  <si>
    <t>경남 창원시 마산회원구</t>
  </si>
  <si>
    <t>05062477243</t>
  </si>
  <si>
    <t>◆귀한 베이지시트◇실제 최저가◆풀옵션◆컨디션 특 상품 입니다◇단순 판금이력 아시아 최저가 판매◆
◇가성비 1등◆실내 너무 화사합니다◇파이니스트 에디션 등급◆귀한 차량◇
♣풀옵션♣
♣화이트 인테리어(천정까지)♣
♣순정네비+어라운드뷰♣
♣어댑티브 크루즈 컨트롤♣
♣후측방 경보 + 차선이탈 세트♣
♣후석 전동커튼♣
♣후석 TV 모니터♣
♣좌우 통풍 열선 시트 핸들열선♣
♣자동 주차기능+블루링크♣
♣렉시콘 사운드팩♣
♣전동트렁크 까지♣
♣완전풀옵션 차량 입니다♣
중고차 매매를 하다 보면 순조롭게 회전되는 차량도 있지만, 이 차량처럼 시장 상황과 시점의 문제로 불가피하게 원가 수준에서 정리해야 하는 경우도 발생합니다.
당시에는 충분한 상품성과 경쟁력이 있다고 판단하여 매입하였으나, 판매 타이밍을 놓치고 시기를 지나치면서 시장 흐름이 변했습니다.
그 결과 추가 보유 리스크를 최소화하기 위해 손익을 고려한 현실적인 원가 정리를 결정하게 되었습니다.
아쉬움은 남지만, 매매업자로서 감정보다는 판단이 우선되어야 하는 순간이라 생각합니다.
충분히 저렴한 금액 이오니
위 상황에 따라 추가절충 문의는 양해 부탁드립니다
귀한 화이트 인테리어 최저가 차량으로
조기 판매 예상 됩니다 완전 풀옵션 차량 입니다
제네시스 DH 380(3.8 GDi)의 대표적인 장점 5가지는 다음과 같습니다:
1. 강력한 3.8 GDi 엔진 성능
315마력 수준의 자연흡기 V6 엔진으로, 부드러우면서도 고속에서 강한 가속력을 제공합니다.
2. 정숙성과 승차감
고급 세단에 걸맞은 소음 차단 설계와 서스펜션 세팅으로, 고속주행이나 험로에서도 조용하고 편안한 승차감을 느낄 수 있습니다.
3. 고급스러운 인테리어
리얼 우드 트림, 가죽 마감, 정전식 버튼 등 동급에서 상위 수준의 실내 마감과 디자인을 갖추고 있습니다.
4. 풍부한 편의 및 안전사양
스마트 크루즈 컨트롤, 헤드업 디스플레이(HUD), 어라운드 뷰 모니터, 차선이탈 경고 등 다양한 첨단 장비가 기본 또는 옵션으로 탑재되어 있습니다.
5. 브랜드 가치 대비 높은 가성비
수입 고급 세단 대비 유지비가 저렴하고, 국산차 특유의 정비 편의성과 중고차 가치 대비 성능이 뛰어납니다.</t>
  </si>
  <si>
    <t>2025-11-28T08:56:16</t>
  </si>
  <si>
    <t>2026-01-12T20:56:02</t>
  </si>
  <si>
    <t>2025-03-05T10:05:55</t>
  </si>
  <si>
    <t>["001", "002", "003", "004", "005", "006", "007", "008", "014", "015", "017", "019", "020", "021", "022", "023", "024", "026", "027", "029", "030", "031", "032", "033", "034", "035", "051", "054", "055", "056", "057", "058", "059", "063", "071", "072", "074", "077", "079", "080", "081", "082", "083", "084", "085", "086", "087", "088", "089", "090", "092", "093", "094", "095", "096", "097"]</t>
  </si>
  <si>
    <t>5653</t>
  </si>
  <si>
    <t>[{"code": "172", "name": "엔카진단센터 창원 KC월드카", "major": true, "telephoneNumber": "055-256-7840", "address": "경남 창원시 마산회원구 무역로 79 KC월드카프라자 114호"}]</t>
  </si>
  <si>
    <t>넘버원모터스</t>
  </si>
  <si>
    <t>최지훈</t>
  </si>
  <si>
    <t>[{"code": "014", "path": "/carpicture05/pic3915/39159625_007.jpg", "type": "THUMBNAIL", "updateDateTime": "2025-05-29T15:30:56", "desc": null}, {"code": "003", "path": "/carpicture05/pic3915/39159625_003.jpg", "type": "OUTER", "updateDateTime": "2025-05-29T15:30:56", "desc": null}, {"code": "015", "path": "/carpicture05/pic3915/39159625_015.jpg", "type": "OPTION", "updateDateTime": "2025-05-29T15:30:56", "desc": null}, {"code": "009", "path": "/carpicture05/pic3915/39159625_009.jpg", "type": "INNER", "updateDateTime": "2025-05-29T15:30:56", "desc": null}, {"code": "021", "path": "/carpicture05/pic3915/39159625_021.jpg", "type": "OPTION", "updateDateTime": "2025-05-29T15:30:56", "desc": null}, {"code": "013", "path": "/carpicture05/pic3915/39159625_001.jpg", "type": "THUMBNAIL", "updateDateTime": "2025-05-29T15:30:56", "desc": null}, {"code": "024", "path": "/carpicture05/pic3915/39159625_024.jpg", "type": "OPTION", "updateDateTime": "2025-05-29T15:30:56", "desc": null}, {"code": "019", "path": "/carpicture05/pic3915/39159625_019.jpg", "type": "OPTION", "updateDateTime": "2025-05-29T15:30:56", "desc": null}, {"code": "016", "path": "/carpicture05/pic3915/39159625_016.jpg", "type": "OPTION", "updateDateTime": "2025-05-29T15:30:56", "desc": null}, {"code": "025", "path": "/carpicture05/pic3915/39159625_001.jpg", "type": "THUMBNAIL", "updateDateTime": "2025-05-29T15:30:56", "desc": null}, {"code": "012", "path": "/carpicture05/pic3915/39159625_001.jpg", "type": "THUMBNAIL", "updateDateTime": "2025-05-29T15:30:56", "desc": null}, {"code": "008", "path": "/carpicture05/pic3915/39159625_008.jpg", "type": "INNER", "updateDateTime": "2025-05-29T15:30:56", "desc": null}, {"code": "026", "path": "/carpicture05/pic3915/39159625_001.jpg", "type": "THUMBNAIL", "updateDateTime": "2025-05-29T15:30:56", "desc": null}, {"code": "006", "path": "/carpicture05/pic3915/39159625_006.jpg", "type": "INNER", "updateDateTime": "2025-05-29T15:30:56", "desc": null}, {"code": "005", "path": "/carpicture05/pic3915/39159625_005.jpg", "type": "OUTER", "updateDateTime": "2025-05-29T15:30:56", "desc": null}, {"code": "001", "path": "/carpicture05/pic3915/39159625_001.jpg", "type": "OUTER", "updateDateTime": "2025-05-29T15:30:56", "desc": null}, {"code": "018", "path": "/carpicture05/pic3915/39159625_018.jpg", "type": "OPTION", "updateDateTime": "2025-05-29T15:30:56", "desc": null}, {"code": "017", "path": "/carpicture05/pic3915/39159625_017.jpg", "type": "OPTION", "updateDateTime": "2025-05-29T15:30:56", "desc": null}, {"code": "002", "path": "/carpicture05/pic3915/39159625_002.jpg", "type": "OUTER", "updateDateTime": "2025-05-29T15:30:56", "desc": null}, {"code": "020", "path": "/carpicture05/pic3915/39159625_020.jpg", "type": "OPTION", "updateDateTime": "2025-05-29T15:30:56", "desc": null}, {"code": "004", "path": "/carpicture05/pic3915/39159625_004.jpg", "type": "OUTER", "updateDateTime": "2025-05-29T15:30:56", "desc": null}, {"code": "010", "path": "/carpicture05/pic3915/39159625_010.jpg", "type": "INNER", "updateDateTime": "2025-05-29T15:30:56", "desc": null}, {"code": "011", "path": "/carpicture05/pic3915/39159625_001.jpg", "type": "THUMBNAIL", "updateDateTime": "2025-05-29T15:30:56", "desc": null}, {"code": "023", "path": "/carpicture05/pic3915/39159625_023.jpg", "type": "OPTION", "updateDateTime": "2025-05-29T15:30:56", "desc": null}, {"code": "007", "path": "/carpicture05/pic3915/39159625_007.jpg", "type": "INNER", "updateDateTime": "2025-05-29T15:30:56", "desc": null}, {"code": "022", "path": "/carpicture05/pic3915/39159625_022.jpg", "type": "OPTION", "updateDateTime": "2025-05-29T15:30:56", "desc": null}]</t>
  </si>
  <si>
    <t>68루1233</t>
  </si>
  <si>
    <t>KMHGR41EDEU009033</t>
  </si>
  <si>
    <t>G330 Premium AWD</t>
  </si>
  <si>
    <t>201501</t>
  </si>
  <si>
    <t>경기 시흥시</t>
  </si>
  <si>
    <t>05062219472</t>
  </si>
  <si>
    <t>◆▣ ▶▷ 2024년현제까지  엔카닷컴 헛걸음보상 서비스의 6가지 약속내용을 준수하며 투명한 거래를
           실천하여 엔카닷컴의 신뢰딜러 파트너로 선정받은 신뢰딜러 기운 모터스 대표 김정남 입니다. 
■■■■■■■■■■■■■■■■■■■■■■■■■■■■■■
■■■■■■■■■■■■■■■■■■■■■■■■■■■■■■
위 차량은 엔카 에서 매물을 실제로 확인하고 
보증,진단한 실매물 차량입니다
■■■■■■■■■■■■■■■■■■■■■■■■■■■■■■
■■■■■■■■■■■■■■■■■■■■■■■■■■■■■■
엔카 보증 ( 가입 가능 ) 90일 5000km // 180일 10000km
엔카보증 이란 !!!!!
딜러나 성능 보험사를 통하지않고 엔카에서 100% 전품목 보증수리
서비스 이며 중고차도 신차처럼 보증수리 가능 합니다
■■■■■■■■■■■■■■■■■■■■■■■■■■■■■■■■■■■■■■■■■
◆▣ ▶▷ 헛걸음보상 6가지 약속이란?
 1. 정확한 모델명/등급  2. 정확한 주행거리  3. 차량 옵션유무 (네비게이션,선루프) 
 4. 정확한 가격  5. 정확한 연식  6. 정확한 성능기록부 (한국 국토해양부 에서 보증한 성능기록부)
★★★  꼭! 꼭! 꼭! 확인 하세요.  ★★★
"""" 헛걸음 보상 서비스 """""  가입되어 있는 차량입니다.
만에 하나, 차량을 구입하기 위해 방문했을 경우 차량이 없다면 시간과 교통비를 허비하신만큼  
최대" 10만원 " 엔카에서 보상을 해주는 서비스입니다.
차량에 궁금하신 점이 있으시면 저에게 연락해서 확인하시고 ,실차 확인하기 위해 출발 하실때는
"엔카" 로  전화하셔서 헛걸음 보상 서비스에 가입된 차량인지 확인하시고 출발 의사를 밝히시면 됩니다.
그만큼 허위매물이 아니라는 자신있기  때문에 저는 이 서비스에 가입했습니다.
 ▶▷ ▶▷ ▶▷    안심하시고  믿고 구매하십시요.     ◁◀ ◁◀ ◁◀
,,,,또한 중요옵션 썬루프 네비게이션 고가옵션 들도 사진에 있는데 방문시 없을 경우 "" 에서
   보상해드리며  주행거리도 올려노은 거리에서 500km 이상 많을시에도 헛걸음 보상 ""에서
  보상해드리는 서비스입니다
■■■■■■■■■■■■■■■■■■■■■■■■■■■■■■■■■■■■■■■■■■■■■■■■■■■■
  ◆▣ ▶▷   관 리 상 태  및  정 비 상 태    ◁◀ ▣◆ 
 ▶  현재 광택및 실내크리닝,모든 정비를 1급정비업소에서 마친 상태입니다. 
 ▶ 성능보증 A/S 받는 안전한 차량입니다.
■■■■■■■■■■■■■■■■■■■■■■■■■■■■■■■■■■■■■■■■■■■■■■■■■■■■
 ◆▣ ▶▷  사  고   유  무   ◁◀ ▣◆ 
▶ 무사고 누유나 부식이 전혀없고 엔진,미션상태도 무진동 무소음 신차급 수준으로 안전한 차량입니다.
▶ 국가에서 보증하는 한국 국토해양부 성능장 에서 발급받은 성능점검 기록부를 확인바랍니다.
▶ 지금보시는 차량은 국가에서 보증하는 성능 점검표 발부 차량입니다.
▶ 전국 어디서나 중고차 보험사  A/S보증 가능하며 안심하게 구매하셔도 됩니다.
◈ ☞  본 차량은 실매물 차량이오니 반드시 연락주신후 출발하시기 바랍니다
◈ ☞ 판매하는 전차량은 **(자동차 관리법제 120조) 의거 성능기록부를 발급하며 차량인수일을
기준으로 30일 또는 2.000km 범위내에서 소모품을 제외한 엔진/미션에 대해서는 무상수리를 의무적으로 해드립니다.
        ★★★    중고차 보험사 보증받는  안전한 차량 입니다.  ★★★
■■■■■■■■■■■■■■■■■■■■■■■■■■■■■■■■■■■■■■■■■■■■■■■■■■■■
◆▣ ▶▷  차  량  구  입  시 ◁◀ ▣◆ 
▶ 차량 출고시 차량상태를 다시한번 점검해드립니다
▣▣  전액 무보증할부 가능 : 구비서류-주민등록등본(2통),임감(2통),인감도장,면허증,통장사본 
◈◈ 캐피탈할부금리 4%~7% 최저금리로 최장60개월 가능하며 은행금리 4%대 최장 120개월 진행 해드립니다
        ps :직장 의료보험,재직 증명서를  추가로 준비하시면 보다 빠른할부진행 가능합니다.
▣  타고계신 차 최고가 현금매입 대차 가능합니다
▣  담당 : 기운 모터스 대표 김 정 남  
▣ 오시는길 -경기도 시흥시 정왕동 2167-2번지 라성매매단지 205호 기운 모터스</t>
  </si>
  <si>
    <t>2025-12-26T09:56:56</t>
  </si>
  <si>
    <t>2025-06-23T15:35:14</t>
  </si>
  <si>
    <t>["1002"]</t>
  </si>
  <si>
    <t>["001", "003", "004", "005", "006", "007", "008", "014", "015", "017", "019", "020", "021", "022", "023", "024", "026", "027", "029", "030", "031", "032", "033", "034", "035", "051", "055", "056", "057", "058", "063", "071", "072", "074", "077", "079", "081", "082", "083", "084", "085", "088", "092", "093", "094", "095", "096", "097"]</t>
  </si>
  <si>
    <t>4471</t>
  </si>
  <si>
    <t>[{"code": "158", "name": "엔카진단센터 시흥 라성점", "major": true, "telephoneNumber": "031-434-0088", "address": "경기 시흥시 산기대학로 163 라성매매단지 A동 1층 3호"}]</t>
  </si>
  <si>
    <t>기운모터스</t>
  </si>
  <si>
    <t>김정남</t>
  </si>
  <si>
    <t>[{"code": "003", "path": "/carpicture02/pic3992/39927353_003.jpg", "type": "OUTER", "updateDateTime": "2025-06-23T15:42:06", "desc": null}, {"code": "019", "path": "/carpicture02/pic3992/39927353_019.jpg", "type": "OPTION", "updateDateTime": "2025-06-23T15:42:06", "desc": null}, {"code": "004", "path": "/carpicture02/pic3992/39927353_004.jpg", "type": "OUTER", "updateDateTime": "2025-06-23T15:42:06", "desc": null}, {"code": "015", "path": "/carpicture02/pic3992/39927353_015.jpg", "type": "OPTION", "updateDateTime": "2025-06-23T15:42:06", "desc": null}, {"code": "005", "path": "/carpicture02/pic3992/39927353_005.jpg", "type": "OUTER", "updateDateTime": "2025-06-23T15:42:06", "desc": null}, {"code": "018", "path": "/carpicture02/pic3992/39927353_018.jpg", "type": "OPTION", "updateDateTime": "2025-06-23T15:42:06", "desc": null}, {"code": "021", "path": "/carpicture02/pic3992/39927353_021.jpg", "type": "OPTION", "updateDateTime": "2025-06-23T15:42:06", "desc": null}, {"code": "006", "path": "/carpicture02/pic3992/39927353_006.jpg", "type": "INNER", "updateDateTime": "2025-06-23T15:42:06", "desc": null}, {"code": "020", "path": "/carpicture02/pic3992/39927353_020.jpg", "type": "OPTION", "updateDateTime": "2025-06-23T15:42:06", "desc": null}, {"code": "023", "path": "/carpicture02/pic3992/39927353_023.jpg", "type": "OPTION", "updateDateTime": "2025-06-23T15:42:06", "desc": null}, {"code": "024", "path": "/carpicture02/pic3992/39927353_024.jpg", "type": "OPTION", "updateDateTime": "2025-06-23T15:42:06", "desc": null}, {"code": "010", "path": "/carpicture02/pic3992/39927353_010.jpg", "type": "INNER", "updateDateTime": "2025-06-23T15:42:06", "desc": null}, {"code": "001", "path": "/carpicture02/pic3992/39927353_001.jpg", "type": "OUTER", "updateDateTime": "2025-06-23T15:42:06", "desc": null}, {"code": "008", "path": "/carpicture02/pic3992/39927353_008.jpg", "type": "INNER", "updateDateTime": "2025-06-23T15:42:06", "desc": null}, {"code": "002", "path": "/carpicture02/pic3992/39927353_002.jpg", "type": "OUTER", "updateDateTime": "2025-06-23T15:42:06", "desc": null}, {"code": "016", "path": "/carpicture02/pic3992/39927353_016.jpg", "type": "OPTION", "updateDateTime": "2025-06-23T15:42:06", "desc": null}, {"code": "017", "path": "/carpicture02/pic3992/39927353_017.jpg", "type": "OPTION", "updateDateTime": "2025-06-23T15:42:06", "desc": null}, {"code": "022", "path": "/carpicture02/pic3992/39927353_022.jpg", "type": "OPTION", "updateDateTime": "2025-06-23T15:42:06", "desc": null}, {"code": "009", "path": "/carpicture02/pic3992/39927353_009.jpg", "type": "INNER", "updateDateTime": "2025-06-23T15:42:06", "desc": null}, {"code": "007", "path": "/carpicture02/pic3992/39927353_007.jpg", "type": "INNER", "updateDateTime": "2025-06-23T15:42:06", "desc": null}]</t>
  </si>
  <si>
    <t>65모9217</t>
  </si>
  <si>
    <t>KMHGM41DDFU073580</t>
  </si>
  <si>
    <t>035</t>
  </si>
  <si>
    <t>12-Seater Wagon</t>
  </si>
  <si>
    <t>경북 안동시</t>
  </si>
  <si>
    <t>05062430041</t>
  </si>
  <si>
    <t>----------------------인사말--------------------------------- 
안녕하세요. 
양반의고장 안동에서 20년째 중고차 매입 판매 하고 있는 한국모터스 윤원하 대표입니다. 
차량에 관심을 가져주셔서 대단히 감사합니다. 
현재 고객님께서 보시고있는 차량은 100% 실매물임을  약속드립니다. 
----------------------차량설명--------------------------------- 
▶차량설명 
-사고여부 : 무사고 차량(단순교체 있습니다)
-차    종 : 현대 그랜드 스타렉스 12인승 왜건 스마트
-연    식 : 2016년 08월 (17년형)
-색    상 : 인기있는 검정색입니다. 
-주행거리 : 165,406km 
-내 / 외관 : 실내와 실외가 깨끗합니다. 
-관리상태 : 모든 상품화를 마친 상태입니다. 
▶문의방법 
-연락주시면 친절하고 상세하게 설명을 드리도록 하겠습니다. 전화가 부재중일시 문자를 남겨주시면 확인후 전화드리겠습니다. 
-차량은 경북 안동에서 보실 수 있어요. (경북 안동시 풍산읍 유통단지길87, D동 102호 한국모터스)
-가격은 절충이 가능합니다. 
-차량 시승도 가능하며 정비업소에서 차량상태 확인도 가능합니다.  
-현재 타고 계신 차량과 교환도 가능하며, 대출을 통한 차량구매도 가능합니다.</t>
  </si>
  <si>
    <t>2026-01-07T15:56:34</t>
  </si>
  <si>
    <t>2025-07-03T10:16:57</t>
  </si>
  <si>
    <t>["사제 내비", "후방카메라"]</t>
  </si>
  <si>
    <t>["001", "003", "006", "007", "008", "019", "024", "026", "027", "032", "033", "055", "071", "072"]</t>
  </si>
  <si>
    <t>4897</t>
  </si>
  <si>
    <t>[{"code": "215", "name": "엔카진단센터 안동점", "major": true, "telephoneNumber": "054-859-5553", "address": "경북 안동시 유통단지길 6"}]</t>
  </si>
  <si>
    <t>한국모터스</t>
  </si>
  <si>
    <t>윤원하</t>
  </si>
  <si>
    <t>[{"code": "010", "path": "/carpicture10/pic4000/40006270_010.jpg", "type": "INNER", "updateDateTime": "2025-07-03T13:58:30", "desc": null}, {"code": "023", "path": "/carpicture10/pic4000/40006270_023.jpg", "type": "OPTION", "updateDateTime": "2025-07-03T13:58:30", "desc": null}, {"code": "020", "path": "/carpicture10/pic4000/40006270_020.jpg", "type": "OPTION", "updateDateTime": "2025-07-03T13:58:30", "desc": null}, {"code": "018", "path": "/carpicture10/pic4000/40006270_018.jpg", "type": "OPTION", "updateDateTime": "2025-07-03T13:58:30", "desc": null}, {"code": "009", "path": "/carpicture10/pic4000/40006270_009.jpg", "type": "INNER", "updateDateTime": "2025-07-03T13:58:30", "desc": null}, {"code": "005", "path": "/carpicture10/pic4000/40006270_005.jpg", "type": "OUTER", "updateDateTime": "2025-07-03T13:58:30", "desc": null}, {"code": "016", "path": "/carpicture10/pic4000/40006270_016.jpg", "type": "OPTION", "updateDateTime": "2025-07-03T13:58:30", "desc": null}, {"code": "008", "path": "/carpicture10/pic4000/40006270_008.jpg", "type": "INNER", "updateDateTime": "2025-07-03T13:58:30", "desc": null}, {"code": "022", "path": "/carpicture10/pic4000/40006270_022.jpg", "type": "OPTION", "updateDateTime": "2025-07-03T13:58:30", "desc": null}, {"code": "002", "path": "/carpicture10/pic4000/40006270_002.jpg", "type": "OUTER", "updateDateTime": "2025-07-03T13:58:30", "desc": null}, {"code": "019", "path": "/carpicture10/pic4000/40006270_019.jpg", "type": "OPTION", "updateDateTime": "2025-07-03T13:58:30", "desc": null}, {"code": "007", "path": "/carpicture10/pic4000/40006270_007.jpg", "type": "INNER", "updateDateTime": "2025-07-03T13:58:30", "desc": null}, {"code": "021", "path": "/carpicture10/pic4000/40006270_021.jpg", "type": "OPTION", "updateDateTime": "2025-07-03T13:58:30", "desc": null}, {"code": "024", "path": "/carpicture10/pic4000/40006270_024.jpg", "type": "OPTION", "updateDateTime": "2025-07-03T13:58:30", "desc": null}, {"code": "003", "path": "/carpicture10/pic4000/40006270_003.jpg", "type": "OUTER", "updateDateTime": "2025-07-03T13:58:30", "desc": null}, {"code": "017", "path": "/carpicture10/pic4000/40006270_017.jpg", "type": "OPTION", "updateDateTime": "2025-07-03T13:58:30", "desc": null}, {"code": "001", "path": "/carpicture10/pic4000/40006270_001.jpg", "type": "OUTER", "updateDateTime": "2025-07-03T13:58:30", "desc": null}, {"code": "004", "path": "/carpicture10/pic4000/40006270_004.jpg", "type": "OUTER", "updateDateTime": "2025-07-03T13:58:30", "desc": null}, {"code": "006", "path": "/carpicture10/pic4000/40006270_006.jpg", "type": "INNER", "updateDateTime": "2025-07-03T13:58:30", "desc": null}, {"code": "015", "path": "/carpicture10/pic4000/40006270_015.jpg", "type": "OPTION", "updateDateTime": "2025-07-03T13:58:30", "desc": null}]</t>
  </si>
  <si>
    <t>78구8947</t>
  </si>
  <si>
    <t>KMJWA37KBHU855352</t>
  </si>
  <si>
    <t>1.6 GDI Style</t>
  </si>
  <si>
    <t>05062203824</t>
  </si>
  <si>
    <t>안녕하세요~
   대전 유성구 복용동로 35  227호 세종자동차입니다
   오늘 소개드릴 차량의  세부사항입니다
            ****    차량설명   **** 
   차종 :  아반때  스타일 오토
   연식 : 최초등록일은2018년 06월
   사고유무 : 무사고 ( 앞삼박 )
           **** 한국기술인협회에서 성능 정검 상능기록부 있음   **** 
   주행거리 : 90.330키로
   매입후 성능 정검하고 시운전도 가능합니다
   주행성능상태는 고속주행시 정말 좋아요 
   오셔서 시운전해보시고 가까운 정비소에서 확인도 가능합니다 
   ****    세종자동차에서 중고차 구입하시는 분들에게 특별한 혜택   ****
     판매 후 저에게 구입하신 분들에게 특별한 혜택 드리려고 합니다 
     구매차량이 사고유무가 다를경우  전액 환불 가능합니다
     대차 조건 시 최고가로 매입합니다
    ****   출장판매  시승후 최종 결정 가능   ****
   *계약금 50만 원이면 원하는 시간 장소로 배달 가능 서비스
   *계약금 50만 원이면 내 집 앞에서 보고 결정
   *차량을 보고 마음에 안 들면 구매 거부 가능
   *계약금 다른 차로 결정시 계약금 보존 가능
    대전 세종자동차 보유대수 대전 최다 보유
     구입 거부시 계약금 반환 불가 신중히 선택하세요
     (반환 불가 사유 탁송비 기름값 세차 가타등등으로 안함)
   허위 매몰 없고 확실한 a/s 보장 직영 1급 공업사 및 카센터 광택 세차장 렌터카 협력업체 운영
   언제나 최상의 차량을 최저가에 판매합니다 (항상 노력하고 있습니다)
          세종 자동차 김은석 검색 하세요~</t>
  </si>
  <si>
    <t>2025-12-17T08:56:44</t>
  </si>
  <si>
    <t>2025-10-15T15:37:16</t>
  </si>
  <si>
    <t>["1132", "1131", "1125"]</t>
  </si>
  <si>
    <t>["001", "003", "005", "006", "007", "008", "014", "015", "019", "020", "024", "026", "027", "031", "032", "033", "055", "056", "058", "071", "072", "096"]</t>
  </si>
  <si>
    <t>3860</t>
  </si>
  <si>
    <t>(주)세종자동차</t>
  </si>
  <si>
    <t>김은석</t>
  </si>
  <si>
    <t>[{"code": "005", "path": "/carpicture03/pic4073/40730683_005.jpg", "type": "OUTER", "updateDateTime": "2025-10-16T10:30:50", "desc": null}, {"code": "019", "path": "/carpicture03/pic4073/40730683_019.jpg", "type": "OPTION", "updateDateTime": "2025-10-16T10:30:50", "desc": null}, {"code": "024", "path": "/carpicture03/pic4073/40730683_024.jpg", "type": "OPTION", "updateDateTime": "2025-10-16T10:30:50", "desc": null}, {"code": "006", "path": "/carpicture03/pic4073/40730683_006.jpg", "type": "INNER", "updateDateTime": "2025-10-16T10:30:50", "desc": null}, {"code": "007", "path": "/carpicture03/pic4073/40730683_007.jpg", "type": "INNER", "updateDateTime": "2025-10-16T10:30:50", "desc": null}, {"code": "017", "path": "/carpicture03/pic4073/40730683_017.jpg", "type": "OPTION", "updateDateTime": "2025-10-16T10:30:50", "desc": null}, {"code": "021", "path": "/carpicture03/pic4073/40730683_021.jpg", "type": "OPTION", "updateDateTime": "2025-10-16T10:30:50", "desc": null}, {"code": "004", "path": "/carpicture03/pic4073/40730683_004.jpg", "type": "OUTER", "updateDateTime": "2025-10-16T10:30:50", "desc": null}, {"code": "015", "path": "/carpicture03/pic4073/40730683_015.jpg", "type": "OPTION", "updateDateTime": "2025-10-16T10:30:50", "desc": null}, {"code": "022", "path": "/carpicture03/pic4073/40730683_022.jpg", "type": "OPTION", "updateDateTime": "2025-10-16T10:30:50", "desc": null}, {"code": "002", "path": "/carpicture03/pic4073/40730683_002.jpg", "type": "OUTER", "updateDateTime": "2025-10-16T10:30:50", "desc": null}, {"code": "016", "path": "/carpicture03/pic4073/40730683_016.jpg", "type": "OPTION", "updateDateTime": "2025-10-16T10:30:50", "desc": null}, {"code": "023", "path": "/carpicture03/pic4073/40730683_023.jpg", "type": "OPTION", "updateDateTime": "2025-10-16T10:30:50", "desc": null}, {"code": "008", "path": "/carpicture03/pic4073/40730683_008.jpg", "type": "INNER", "updateDateTime": "2025-10-16T10:30:50", "desc": null}, {"code": "010", "path": "/carpicture03/pic4073/40730683_010.jpg", "type": "INNER", "updateDateTime": "2025-10-16T10:30:50", "desc": null}, {"code": "009", "path": "/carpicture03/pic4073/40730683_009.jpg", "type": "INNER", "updateDateTime": "2025-10-16T10:30:50", "desc": null}, {"code": "003", "path": "/carpicture03/pic4073/40730683_003.jpg", "type": "OUTER", "updateDateTime": "2025-10-16T10:30:50", "desc": null}, {"code": "018", "path": "/carpicture03/pic4073/40730683_018.jpg", "type": "OPTION", "updateDateTime": "2025-10-16T10:30:50", "desc": null}, {"code": "001", "path": "/carpicture03/pic4073/40730683_001.jpg", "type": "OUTER", "updateDateTime": "2025-10-16T10:30:50", "desc": null}, {"code": "020", "path": "/carpicture03/pic4073/40730683_020.jpg", "type": "OPTION", "updateDateTime": "2025-10-16T10:30:50", "desc": null}]</t>
  </si>
  <si>
    <t>253가8126</t>
  </si>
  <si>
    <t>KMHD641DBJU713807</t>
  </si>
  <si>
    <t>05062119236</t>
  </si>
  <si>
    <t>안녕하세요 
사원번호 GC20 - 05631
경기도자동차매매사업조합에 가입되어있는 
수원오토컬렉션 주식회사 설레임 오토모티브
양심딜러 팀장 김수현 입니다
제 사원증을 걸고 100% 실매물임을 약속드립니다
▶◀ 이 차량은 ━━━━━━━━━━━━━━━━━━━━━━━━━━━━━━━━━━━━━━━━
★ 출발 1시간전 미리 전화주셔서 차량계약 확인후 방문하여 주시기 바랍니다. ★
━━━━━━━━━━━━━━━━━━━━━━━━━━━━━━━━━━━━━━━━━━━━━━━
▶ 차 명 : 현대 더 뉴그랜저 IG
▶ 등 급 : 2.5 르블랑
▶ 연 식 : 2023년 ( 2022-06 )
▶주행 거리 : 83,450 km
▶차대번호 : KMHF141DBPA505259
▶ 색 상 : 흰색
▶ 연 료 : 휘발유
▶ 사고 유무 : 완전무사고 
교통 안전공단에서 작성된 법적효력있는 성능점검 기록부 발급해드립니다.
◆ 6개월 1만km 보증 연장 가능 합니다. ◆
 이 차량에 대해 간단히 소개 해 드리자면
- 베이지 시트
- Full LED 헤드램프
- 엠비언트 무드램프
-  12.3인치 Full LCD 클러스터
- 어라운드 뷰 모니터링 시스템
-고속도로 주행 지원 시스템
-스마트 후측방 경보 시스템
- 스마트 크루즈 컨트롤 (반자율 주행)
-자동 긴급제동 시스템
- 전동 / 통풍 / 열선 시트
- 스마트 전동 트렁크
- 스마트폰 무선충전 시스템
등등 수많은 고급 편의사항이 장착 되어져 출고 된 차량이며 ,
오셔서 보시면 아시겠지만 정말 관리가 잘 되어져 있는 차량입니다 .
차량상태 및 보증
- 국도 교통부 성능점검기록부를 발급 받았으며 차량인수일을 기준으로 30일 , 2000km 범위내에서 소모품을 제외한 
   엔진/ 미션 및 중요부품에 대해서 의무적으로 무상수리가 가능합니다
- 차량인수일을 기준으로 한달간 DB화재에 보험이 가입되어있는 차량으로 소모품을 제외한 엔진/미션 및 중요부품에 대해서
   법적으로 무상수리가 가능합니다
- 상사 매입시 1급 성능점검 센터에서 최고의 성능점검사가 완벽하게 점검하였습니다
- 오일누유 1도 없습니다
1. 전액할부 &amp; 부분할부 &amp; 현금 &amp; 리스 !! 어떤것을 선택하시든 어떤한 결제도 가능한 차량입니다
2. 부가세없이 법인&amp;개인리스, 세금계산서, 현금영수증 발행가능합니다
3. 대차 &amp; 폐차 모두 가능하시구요 , 말소까지 대행해 드립니다
★ 4. 이 차량은 방문서비스가 가능한 차량입니다 . ★
방문 서비스가 가능하다는 건 제가 차량을 직접 가지고 있다는 뜻입니다
100% 실매물이어야 가능하구요 , 타상사 딜러가 아니어야 가능하구요, 직접 매입해온 차량이어야 가능합니다
- 싸고 좋은차는 없습니다 .
  시세대비 터무니 없는 가격의 차량은 99% 허위매물입니다
  하지만 최선의 가격에 최상의 차량을 고객님께 선보이겠습니다
  언제든 연락주세요
━━━━━━━━━━━━━━━━━━━━━━━━━━━━━━━━━━━━━━━━━━━━━━━
★ 광고와 다른 부분이 있거나 차량이 다를경우 보상해 드립니다. ★
━━━━━━━━━━━━━━━━━━━━━━━━━━━━━━━━━━━━━━━━━━━━━━━
▶ 찾아오시는길 
경기도 수원시 권선구 권선로 341, 수원오토컬렉션 209호 (주) 설레임 오토모티브</t>
  </si>
  <si>
    <t>2026-01-11T21:22:11</t>
  </si>
  <si>
    <t>2025-11-10T08:48:56</t>
  </si>
  <si>
    <t>[{"code": "016", "path": "/carpicture01/pic4091/40918149_016.jpg", "type": "OPTION", "updateDateTime": "2025-11-11T17:48:32", "desc": null}, {"code": "002", "path": "/carpicture01/pic4091/40918149_002.jpg", "type": "OUTER", "updateDateTime": "2025-11-11T17:48:32", "desc": null}, {"code": "004", "path": "/carpicture01/pic4091/40918149_004.jpg", "type": "OUTER", "updateDateTime": "2025-11-11T17:48:32", "desc": null}, {"code": "008", "path": "/carpicture01/pic4091/40918149_008.jpg", "type": "INNER", "updateDateTime": "2025-11-11T17:48:32", "desc": null}, {"code": "005", "path": "/carpicture01/pic4091/40918149_005.jpg", "type": "OUTER", "updateDateTime": "2025-11-11T17:48:32", "desc": null}, {"code": "019", "path": "/carpicture01/pic4091/40918149_019.jpg", "type": "OPTION", "updateDateTime": "2025-11-11T17:48:32", "desc": null}, {"code": "024", "path": "/carpicture01/pic4091/40918149_024.jpg", "type": "OPTION", "updateDateTime": "2025-11-11T17:48:32", "desc": null}, {"code": "001", "path": "/carpicture01/pic4091/40918149_001.jpg", "type": "OUTER", "updateDateTime": "2025-11-11T17:48:32", "desc": null}, {"code": "018", "path": "/carpicture01/pic4091/40918149_018.jpg", "type": "OPTION", "updateDateTime": "2025-11-11T17:48:32", "desc": null}, {"code": "007", "path": "/carpicture01/pic4091/40918149_007.jpg", "type": "INNER", "updateDateTime": "2025-11-11T17:48:32", "desc": null}, {"code": "021", "path": "/carpicture01/pic4091/40918149_021.jpg", "type": "OPTION", "updateDateTime": "2025-11-11T17:48:32", "desc": null}, {"code": "003", "path": "/carpicture01/pic4091/40918149_003.jpg", "type": "OUTER", "updateDateTime": "2025-11-11T17:48:32", "desc": null}, {"code": "017", "path": "/carpicture01/pic4091/40918149_017.jpg", "type": "OPTION", "updateDateTime": "2025-11-11T17:48:32", "desc": null}, {"code": "009", "path": "/carpicture01/pic4091/40918149_009.jpg", "type": "INNER", "updateDateTime": "2025-11-11T17:48:32", "desc": null}, {"code": "006", "path": "/carpicture01/pic4091/40918149_006.jpg", "type": "INNER", "updateDateTime": "2025-11-11T17:48:32", "desc": null}, {"code": "010", "path": "/carpicture01/pic4091/40918149_010.jpg", "type": "INNER", "updateDateTime": "2025-11-11T17:48:32", "desc": null}, {"code": "022", "path": "/carpicture01/pic4091/40918149_022.jpg", "type": "OPTION", "updateDateTime": "2025-11-11T17:48:32", "desc": null}, {"code": "023", "path": "/carpicture01/pic4091/40918149_023.jpg", "type": "OPTION", "updateDateTime": "2025-11-11T17:48:32", "desc": null}, {"code": "020", "path": "/carpicture01/pic4091/40918149_020.jpg", "type": "OPTION", "updateDateTime": "2025-11-11T17:48:32", "desc": null}, {"code": "015", "path": "/carpicture01/pic4091/40918149_015.jpg", "type": "OPTION", "updateDateTime": "2025-11-11T17:48:32", "desc": null}]</t>
  </si>
  <si>
    <t>357조7029</t>
  </si>
  <si>
    <t>KMHF141DBPA505259</t>
  </si>
  <si>
    <t>186</t>
  </si>
  <si>
    <t>202312</t>
  </si>
  <si>
    <t>경기 성남시 수정구</t>
  </si>
  <si>
    <t>05062337873</t>
  </si>
  <si>
    <t/>
  </si>
  <si>
    <t>2026-01-02T10:56:53</t>
  </si>
  <si>
    <t>2026-01-02T10:56:54</t>
  </si>
  <si>
    <t>2025-10-31T10:17:13</t>
  </si>
  <si>
    <t>["10008", "10005", "10004", "10001"]</t>
  </si>
  <si>
    <t>["001", "004", "005", "006", "007", "008", "014", "015", "017", "019", "020", "021", "022", "023", "024", "026", "027", "031", "032", "033", "034", "035", "055", "056", "057", "058", "068", "072", "074", "075", "077", "081", "082", "084", "085", "088", "094", "096", "097"]</t>
  </si>
  <si>
    <t>[{"code": "014", "path": "/carpicture05/pic4085/40854743_007.jpg", "type": "THUMBNAIL", "updateDateTime": "2025-10-31T10:17:49", "desc": null}, {"code": "012", "path": "/carpicture05/pic4085/40854743_001.jpg", "type": "THUMBNAIL", "updateDateTime": "2025-10-31T10:17:49", "desc": null}, {"code": "001", "path": "/carpicture05/pic4085/40854743_001.jpg", "type": "OUTER", "updateDateTime": "2025-10-31T10:17:49", "desc": null}, {"code": "003", "path": "/carpicture05/pic4085/40854743_003.jpg", "type": "OUTER", "updateDateTime": "2025-10-31T10:17:49", "desc": null}, {"code": "011", "path": "/carpicture05/pic4085/40854743_001.jpg", "type": "THUMBNAIL", "updateDateTime": "2025-10-31T10:17:49", "desc": null}, {"code": "013", "path": "/carpicture05/pic4085/40854743_001.jpg", "type": "THUMBNAIL", "updateDateTime": "2025-10-31T10:17:49", "desc": null}, {"code": "004", "path": "/carpicture05/pic4085/40854743_004.jpg", "type": "OUTER", "updateDateTime": "2025-10-31T10:17:49", "desc": null}, {"code": "026", "path": "/carpicture05/pic4085/40854743_001.jpg", "type": "THUMBNAIL", "updateDateTime": "2025-10-31T10:17:49", "desc": null}, {"code": "002", "path": "/carpicture05/pic4085/40854743_002.jpg", "type": "OUTER", "updateDateTime": "2025-10-31T10:17:49", "desc": null}, {"code": "007", "path": "/carpicture05/pic4085/40854743_007.jpg", "type": "INNER", "updateDateTime": "2025-10-31T10:17:49", "desc": null}, {"code": "008", "path": "/carpicture05/pic4085/40854743_008.jpg", "type": "INNER", "updateDateTime": "2025-10-31T10:17:49", "desc": null}, {"code": "009", "path": "/carpicture05/pic4085/40854743_009.jpg", "type": "INNER", "updateDateTime": "2025-10-31T10:17:49", "desc": null}, {"code": "010", "path": "/carpicture05/pic4085/40854743_010.jpg", "type": "INNER", "updateDateTime": "2025-10-31T10:17:49", "desc": null}, {"code": "025", "path": "/carpicture05/pic4085/40854743_001.jpg", "type": "THUMBNAIL", "updateDateTime": "2025-10-31T10:17:49", "desc": null}, {"code": "005", "path": "/carpicture05/pic4085/40854743_005.jpg", "type": "OUTER", "updateDateTime": "2025-10-31T10:17:49", "desc": null}]</t>
  </si>
  <si>
    <t>142호2450</t>
  </si>
  <si>
    <t>05062171462</t>
  </si>
  <si>
    <t>2025-10-30T17:20:13</t>
  </si>
  <si>
    <t>["001", "005", "006", "007", "008", "010", "014", "015", "017", "019", "020", "021", "022", "023", "024", "026", "027", "030", "031", "032", "033", "034", "035", "055", "056", "057", "058", "063", "068", "071", "072", "074", "077", "081", "082", "085", "096"]</t>
  </si>
  <si>
    <t>[{"code": "013", "path": "/carpicture05/pic4085/40851329_001.jpg", "type": "THUMBNAIL", "updateDateTime": "2025-10-30T17:22:05", "desc": null}, {"code": "003", "path": "/carpicture05/pic4085/40851329_003.jpg", "type": "OUTER", "updateDateTime": "2025-10-30T17:22:04", "desc": null}, {"code": "008", "path": "/carpicture05/pic4085/40851329_008.jpg", "type": "INNER", "updateDateTime": "2025-10-30T17:22:04", "desc": null}, {"code": "002", "path": "/carpicture05/pic4085/40851329_002.jpg", "type": "OUTER", "updateDateTime": "2025-10-30T17:22:04", "desc": null}, {"code": "007", "path": "/carpicture05/pic4085/40851329_007.jpg", "type": "INNER", "updateDateTime": "2025-10-30T17:22:04", "desc": null}, {"code": "010", "path": "/carpicture05/pic4085/40851329_010.jpg", "type": "INNER", "updateDateTime": "2025-10-30T17:22:04", "desc": null}, {"code": "026", "path": "/carpicture05/pic4085/40851329_001.jpg", "type": "THUMBNAIL", "updateDateTime": "2025-10-30T17:22:05", "desc": null}, {"code": "009", "path": "/carpicture05/pic4085/40851329_009.jpg", "type": "INNER", "updateDateTime": "2025-10-30T17:22:04", "desc": null}, {"code": "012", "path": "/carpicture05/pic4085/40851329_001.jpg", "type": "THUMBNAIL", "updateDateTime": "2025-10-30T17:22:05", "desc": null}, {"code": "004", "path": "/carpicture05/pic4085/40851329_004.jpg", "type": "OUTER", "updateDateTime": "2025-10-30T17:22:04", "desc": null}, {"code": "011", "path": "/carpicture05/pic4085/40851329_001.jpg", "type": "THUMBNAIL", "updateDateTime": "2025-10-30T17:22:05", "desc": null}, {"code": "014", "path": "/carpicture05/pic4085/40851329_007.jpg", "type": "THUMBNAIL", "updateDateTime": "2025-10-30T17:22:05", "desc": null}, {"code": "005", "path": "/carpicture05/pic4085/40851329_005.jpg", "type": "OUTER", "updateDateTime": "2025-10-30T17:22:04", "desc": null}, {"code": "001", "path": "/carpicture05/pic4085/40851329_001.jpg", "type": "OUTER", "updateDateTime": "2025-10-30T17:22:04", "desc": null}, {"code": "025", "path": "/carpicture05/pic4085/40851329_001.jpg", "type": "THUMBNAIL", "updateDateTime": "2025-10-30T17:22:05", "desc": null}]</t>
  </si>
  <si>
    <t>34호1474</t>
  </si>
  <si>
    <t>201511</t>
  </si>
  <si>
    <t>05062436803</t>
  </si>
  <si>
    <t xml:space="preserve">안녕하세요! 
뉴AK모터스 음희영팀장입니다.
H사 최우수 딜러출신으로 신차,중고차 13년차 전문딜러입니다. 
현재 고객님께서 보시고있는 차량은 100% 실매물이며,
인천 서구 가좌동에 위치한 엠파크 타워에 전시되어있습니다.
무사고에 짧은주행 가장 인기있는 사양과 컨디션의 차량으로 4륜구동에 파노라마썬루프,컨비니언스패키지 옵션의 차량입니다.
1인신조 비흡연차량이며
A급컨디션을 자랑합니다.
고객님!궁금하신 부분은 언제든지 저에게 연락주세요.
항상 고객님께 진정성을 담아 정성을 다하겠습니다.
좋은 인연으로 함께해 주세요. 감사합니다.
-오시는 길 : 
지하철 이용하시면 인천2호선 인천가좌역 2번 출구,도보20분 거리, 
자가용 이용하시면 제1경인고속도로동인천방향 진출 약1.2Km직진후봉수대길사거리에서 우회전 100m직진 후 우측 입구
내방하실때에는 미리 연락주시고,
2층 고객주차장에 주차하시면 되세요.
지하1층 사무실로 방문주시면 차량위치로 함께 가서 설명드리겠습니다.
엠파크타워 4층 전시되어있습니다 감사합니다 
</t>
  </si>
  <si>
    <t>2026-01-03T19:56:56</t>
  </si>
  <si>
    <t>2025-10-30T09:46:20</t>
  </si>
  <si>
    <t>["1001", "1007"]</t>
  </si>
  <si>
    <t>["001", "003", "004", "005", "006", "007", "008", "010", "014", "015", "017", "019", "020", "021", "022", "023", "024", "026", "027", "029", "030", "031", "032", "033", "034", "035", "051", "055", "056", "057", "058", "059", "063", "068", "071", "072", "074", "077", "081", "082", "083", "084", "085", "087", "092", "093", "094", "095", "096", "097"]</t>
  </si>
  <si>
    <t>5633</t>
  </si>
  <si>
    <t>뉴AK모터스</t>
  </si>
  <si>
    <t>음희영</t>
  </si>
  <si>
    <t>[{"code": "004", "path": "/carpicture04/pic4084/40844342_004.jpg", "type": "OUTER", "updateDateTime": "2026-01-13T17:39:21", "desc": null}, {"code": "021", "path": "/carpicture04/pic4084/40844342_021.jpg", "type": "OPTION", "updateDateTime": "2026-01-13T17:39:21", "desc": null}, {"code": "005", "path": "/carpicture04/pic4084/40844342_005.jpg", "type": "OUTER", "updateDateTime": "2026-01-13T17:39:21", "desc": null}, {"code": "015", "path": "/carpicture04/pic4084/40844342_015.jpg", "type": "OPTION", "updateDateTime": "2026-01-13T17:39:21", "desc": null}, {"code": "018", "path": "/carpicture04/pic4084/40844342_018.jpg", "type": "OPTION", "updateDateTime": "2026-01-13T17:39:21", "desc": null}, {"code": "022", "path": "/carpicture04/pic4084/40844342_022.jpg", "type": "OPTION", "updateDateTime": "2026-01-13T17:39:21", "desc": null}, {"code": "001", "path": "/carpicture04/pic4084/40844342_001.jpg", "type": "OUTER", "updateDateTime": "2026-01-13T17:39:21", "desc": null}, {"code": "010", "path": "/carpicture04/pic4084/40844342_010.jpg", "type": "INNER", "updateDateTime": "2026-01-13T17:39:21", "desc": null}, {"code": "020", "path": "/carpicture04/pic4084/40844342_020.jpg", "type": "OPTION", "updateDateTime": "2026-01-13T17:39:21", "desc": null}, {"code": "002", "path": "/carpicture04/pic4084/40844342_002.jpg", "type": "OUTER", "updateDateTime": "2026-01-13T17:39:21", "desc": null}, {"code": "009", "path": "/carpicture04/pic4084/40844342_009.jpg", "type": "INNER", "updateDateTime": "2026-01-13T17:39:21", "desc": null}, {"code": "017", "path": "/carpicture04/pic4084/40844342_017.jpg", "type": "OPTION", "updateDateTime": "2026-01-13T17:39:21", "desc": null}, {"code": "023", "path": "/carpicture04/pic4084/40844342_023.jpg", "type": "OPTION", "updateDateTime": "2026-01-13T17:39:21", "desc": null}, {"code": "019", "path": "/carpicture04/pic4084/40844342_019.jpg", "type": "OPTION", "updateDateTime": "2026-01-13T17:39:21", "desc": null}, {"code": "007", "path": "/carpicture04/pic4084/40844342_007.jpg", "type": "INNER", "updateDateTime": "2026-01-13T17:39:21", "desc": null}, {"code": "024", "path": "/carpicture04/pic4084/40844342_024.jpg", "type": "OPTION", "updateDateTime": "2026-01-13T17:39:21", "desc": null}, {"code": "016", "path": "/carpicture04/pic4084/40844342_016.jpg", "type": "OPTION", "updateDateTime": "2026-01-13T17:39:21", "desc": null}, {"code": "003", "path": "/carpicture04/pic4084/40844342_003.jpg", "type": "OUTER", "updateDateTime": "2026-01-13T17:39:21", "desc": null}, {"code": "008", "path": "/carpicture04/pic4084/40844342_008.jpg", "type": "INNER", "updateDateTime": "2026-01-13T17:39:21", "desc": null}, {"code": "006", "path": "/carpicture04/pic4084/40844342_006.jpg", "type": "INNER", "updateDateTime": "2026-01-13T17:39:21", "desc": null}]</t>
  </si>
  <si>
    <t>40수0581</t>
  </si>
  <si>
    <t>KMHGM41DDGU142176</t>
  </si>
  <si>
    <t>서울 강남구 헌릉로745길 25</t>
  </si>
  <si>
    <t>05062155412</t>
  </si>
  <si>
    <t>안녕하세요 강남자동차매매단지 하나모터스 조영주 입니다.
17년 넘게 종사 해 왔습니다. 그만큼 책입감 있게 업무에 임하고 있습니다 
소개할  차량은
현대 더 프라임 싼타ㅠㅔ 익스크크루시브 스페셜    차량입니다. 
추가 옵션 많이 들어 갓습니다. 
  정품 네비게이션 스마트키 통풍시트 전동 시트  썬루프 등등 옵션 정말 풍부 합니다. 
크루즈 컨트롤도 장착 되어 있는 차량입니다.  키 2개 전부다 준비 되어 있습니다. 
시운 전을 통한 구매도 가능 하십니다. 
하체 잡소리 하나 없습니다.  차량 상태 최상입니다. 
성능기록부 등등 전부다 준비 되어 있습니다.
차량 상태 최상입니다.  누유 하나 없습니다. 
. 
출고시 엔진 오일 각정 오일류 등등 점검해 드리고 있습니다. 
타시던 차량 대차도 가능 하십니다. 금융권 이용시 다이렉트 금리로 안내해 드리고 있습니다. 
차량은 강남 자동차매매단지 하나모터스 전시장에 새워져 있습니다, 
복정역 3번 출구 픽업도 가능 합니다. 
전화 주시면 상세히 설명드리겠습니다ㅣ</t>
  </si>
  <si>
    <t>2026-01-13T05:56:54</t>
  </si>
  <si>
    <t>2025-11-11T08:09:22</t>
  </si>
  <si>
    <t>["10008", "1019", "1002"]</t>
  </si>
  <si>
    <t>["001", "003", "004", "005", "006", "007", "008", "010", "014", "015", "017", "019", "020", "021", "022", "023", "024", "026", "027", "029", "030", "031", "032", "033", "034", "035", "051", "055", "056", "057", "058", "062", "063", "068", "071", "072", "074", "077", "081", "082", "085", "092", "094", "096", "097"]</t>
  </si>
  <si>
    <t>2539</t>
  </si>
  <si>
    <t>(주)하나모터스</t>
  </si>
  <si>
    <t>조영주</t>
  </si>
  <si>
    <t>[{"code": "001", "path": "/carpicture02/pic4092/40928686_001.jpg", "type": "OUTER", "updateDateTime": "2025-11-12T09:13:20", "desc": null}, {"code": "006", "path": "/carpicture02/pic4092/40928686_006.jpg", "type": "INNER", "updateDateTime": "2025-11-12T09:13:20", "desc": null}, {"code": "010", "path": "/carpicture02/pic4092/40928686_010.jpg", "type": "INNER", "updateDateTime": "2025-11-12T09:13:20", "desc": null}, {"code": "016", "path": "/carpicture02/pic4092/40928686_016.jpg", "type": "OPTION", "updateDateTime": "2025-11-12T09:13:20", "desc": null}, {"code": "005", "path": "/carpicture02/pic4092/40928686_005.jpg", "type": "OUTER", "updateDateTime": "2025-11-12T09:13:20", "desc": null}, {"code": "008", "path": "/carpicture02/pic4092/40928686_008.jpg", "type": "INNER", "updateDateTime": "2025-11-12T09:13:20", "desc": null}, {"code": "019", "path": "/carpicture02/pic4092/40928686_019.jpg", "type": "OPTION", "updateDateTime": "2025-11-12T09:13:20", "desc": null}, {"code": "003", "path": "/carpicture02/pic4092/40928686_003.jpg", "type": "OUTER", "updateDateTime": "2025-11-12T09:13:20", "desc": null}, {"code": "004", "path": "/carpicture02/pic4092/40928686_004.jpg", "type": "OUTER", "updateDateTime": "2025-11-12T09:13:20", "desc": null}, {"code": "023", "path": "/carpicture02/pic4092/40928686_023.jpg", "type": "OPTION", "updateDateTime": "2025-11-12T09:13:20", "desc": null}, {"code": "009", "path": "/carpicture02/pic4092/40928686_009.jpg", "type": "INNER", "updateDateTime": "2025-11-12T09:13:20", "desc": null}, {"code": "017", "path": "/carpicture02/pic4092/40928686_017.jpg", "type": "OPTION", "updateDateTime": "2025-11-12T09:13:20", "desc": null}, {"code": "015", "path": "/carpicture02/pic4092/40928686_015.jpg", "type": "OPTION", "updateDateTime": "2025-11-12T09:13:20", "desc": null}, {"code": "024", "path": "/carpicture02/pic4092/40928686_024.jpg", "type": "OPTION", "updateDateTime": "2025-11-12T09:13:20", "desc": null}, {"code": "022", "path": "/carpicture02/pic4092/40928686_022.jpg", "type": "OPTION", "updateDateTime": "2025-11-12T09:13:20", "desc": null}, {"code": "018", "path": "/carpicture02/pic4092/40928686_018.jpg", "type": "OPTION", "updateDateTime": "2025-11-12T09:13:20", "desc": null}, {"code": "021", "path": "/carpicture02/pic4092/40928686_021.jpg", "type": "OPTION", "updateDateTime": "2025-11-12T09:13:20", "desc": null}, {"code": "020", "path": "/carpicture02/pic4092/40928686_020.jpg", "type": "OPTION", "updateDateTime": "2025-11-12T09:13:20", "desc": null}, {"code": "002", "path": "/carpicture02/pic4092/40928686_002.jpg", "type": "OUTER", "updateDateTime": "2025-11-12T09:13:20", "desc": null}, {"code": "007", "path": "/carpicture02/pic4092/40928686_007.jpg", "type": "INNER", "updateDateTime": "2025-11-12T09:13:20", "desc": null}]</t>
  </si>
  <si>
    <t>47누5277</t>
  </si>
  <si>
    <t>KMHSW81UBGU532559</t>
  </si>
  <si>
    <t>Tourer 9-Seater</t>
  </si>
  <si>
    <t>05062336603</t>
  </si>
  <si>
    <t>2025-12-29T10:56:57</t>
  </si>
  <si>
    <t>2025-12-29T10:56:58</t>
  </si>
  <si>
    <t>2025-10-28T11:58:00</t>
  </si>
  <si>
    <t>["001", "005", "006", "007", "008", "014", "015", "017", "019", "020", "022", "023", "024", "026", "027", "030", "031", "032", "033", "055", "056", "057", "058", "072", "079", "081", "082", "086", "088", "094", "096", "097"]</t>
  </si>
  <si>
    <t>[{"code": "009", "path": "/carpicture02/pic4082/40826466_009.jpg", "type": "INNER", "updateDateTime": "2025-10-28T11:58:59", "desc": null}, {"code": "005", "path": "/carpicture02/pic4082/40826466_005.jpg", "type": "OUTER", "updateDateTime": "2025-10-28T11:58:59", "desc": null}, {"code": "011", "path": "/carpicture02/pic4082/40826466_001.jpg", "type": "THUMBNAIL", "updateDateTime": "2025-10-28T11:58:59", "desc": null}, {"code": "012", "path": "/carpicture02/pic4082/40826466_001.jpg", "type": "THUMBNAIL", "updateDateTime": "2025-10-28T11:58:59", "desc": null}, {"code": "014", "path": "/carpicture02/pic4082/40826466_007.jpg", "type": "THUMBNAIL", "updateDateTime": "2025-10-28T11:58:59", "desc": null}, {"code": "004", "path": "/carpicture02/pic4082/40826466_004.jpg", "type": "OUTER", "updateDateTime": "2025-10-28T11:58:59", "desc": null}, {"code": "010", "path": "/carpicture02/pic4082/40826466_010.jpg", "type": "INNER", "updateDateTime": "2025-10-28T11:58:59", "desc": null}, {"code": "013", "path": "/carpicture02/pic4082/40826466_001.jpg", "type": "THUMBNAIL", "updateDateTime": "2025-10-28T11:58:59", "desc": null}, {"code": "007", "path": "/carpicture02/pic4082/40826466_007.jpg", "type": "INNER", "updateDateTime": "2025-10-28T11:58:59", "desc": null}, {"code": "001", "path": "/carpicture02/pic4082/40826466_001.jpg", "type": "OUTER", "updateDateTime": "2025-10-28T11:58:59", "desc": null}, {"code": "002", "path": "/carpicture02/pic4082/40826466_002.jpg", "type": "OUTER", "updateDateTime": "2025-10-28T11:58:59", "desc": null}, {"code": "003", "path": "/carpicture02/pic4082/40826466_003.jpg", "type": "OUTER", "updateDateTime": "2025-10-28T11:58:59", "desc": null}, {"code": "008", "path": "/carpicture02/pic4082/40826466_008.jpg", "type": "INNER", "updateDateTime": "2025-10-28T11:58:59", "desc": null}, {"code": "025", "path": "/carpicture02/pic4082/40826466_001.jpg", "type": "THUMBNAIL", "updateDateTime": "2025-10-28T11:58:59", "desc": null}, {"code": "026", "path": "/carpicture02/pic4082/40826466_001.jpg", "type": "THUMBNAIL", "updateDateTime": "2025-10-28T11:58:59", "desc": null}]</t>
  </si>
  <si>
    <t>125호6117</t>
  </si>
  <si>
    <t>202211</t>
  </si>
  <si>
    <t>05062339713</t>
  </si>
  <si>
    <t>2025-10-28T11:55:33</t>
  </si>
  <si>
    <t>[{"code": "002", "path": "/carpicture02/pic4082/40826410_002.jpg", "type": "OUTER", "updateDateTime": "2025-10-28T11:56:36", "desc": null}, {"code": "008", "path": "/carpicture02/pic4082/40826410_008.jpg", "type": "INNER", "updateDateTime": "2025-10-28T11:56:36", "desc": null}, {"code": "025", "path": "/carpicture02/pic4082/40826410_001.jpg", "type": "THUMBNAIL", "updateDateTime": "2025-10-28T11:56:36", "desc": null}, {"code": "004", "path": "/carpicture02/pic4082/40826410_004.jpg", "type": "OUTER", "updateDateTime": "2025-10-28T11:56:36", "desc": null}, {"code": "026", "path": "/carpicture02/pic4082/40826410_001.jpg", "type": "THUMBNAIL", "updateDateTime": "2025-10-28T11:56:36", "desc": null}, {"code": "007", "path": "/carpicture02/pic4082/40826410_007.jpg", "type": "INNER", "updateDateTime": "2025-10-28T11:56:36", "desc": null}, {"code": "003", "path": "/carpicture02/pic4082/40826410_003.jpg", "type": "OUTER", "updateDateTime": "2025-10-28T11:56:36", "desc": null}, {"code": "014", "path": "/carpicture02/pic4082/40826410_007.jpg", "type": "THUMBNAIL", "updateDateTime": "2025-10-28T11:56:36", "desc": null}, {"code": "009", "path": "/carpicture02/pic4082/40826410_009.jpg", "type": "INNER", "updateDateTime": "2025-10-28T11:56:36", "desc": null}, {"code": "001", "path": "/carpicture02/pic4082/40826410_001.jpg", "type": "OUTER", "updateDateTime": "2025-10-28T11:56:36", "desc": null}, {"code": "010", "path": "/carpicture02/pic4082/40826410_010.jpg", "type": "INNER", "updateDateTime": "2025-10-28T11:56:36", "desc": null}, {"code": "011", "path": "/carpicture02/pic4082/40826410_001.jpg", "type": "THUMBNAIL", "updateDateTime": "2025-10-28T11:56:36", "desc": null}, {"code": "012", "path": "/carpicture02/pic4082/40826410_001.jpg", "type": "THUMBNAIL", "updateDateTime": "2025-10-28T11:56:36", "desc": null}, {"code": "005", "path": "/carpicture02/pic4082/40826410_005.jpg", "type": "OUTER", "updateDateTime": "2025-10-28T11:56:36", "desc": null}, {"code": "013", "path": "/carpicture02/pic4082/40826410_001.jpg", "type": "THUMBNAIL", "updateDateTime": "2025-10-28T11:56:36", "desc": null}]</t>
  </si>
  <si>
    <t>125호7817</t>
  </si>
  <si>
    <t>202407</t>
  </si>
  <si>
    <t>05062339393</t>
  </si>
  <si>
    <t>2025-10-28T11:45:50</t>
  </si>
  <si>
    <t>["10005", "10001"]</t>
  </si>
  <si>
    <t>["001", "005", "006", "007", "008", "014", "015", "017", "019", "020", "022", "023", "024", "026", "027", "030", "031", "032", "033", "055", "056", "057", "058", "059", "072", "074", "079", "081", "082", "085", "086", "088", "094", "096", "097"]</t>
  </si>
  <si>
    <t>[{"code": "003", "path": "/carpicture02/pic4082/40826273_003.jpg", "type": "OUTER", "updateDateTime": "2025-10-28T11:46:57", "desc": null}, {"code": "001", "path": "/carpicture02/pic4082/40826273_001.jpg", "type": "OUTER", "updateDateTime": "2025-10-28T11:46:57", "desc": null}, {"code": "009", "path": "/carpicture02/pic4082/40826273_009.jpg", "type": "INNER", "updateDateTime": "2025-10-28T11:46:57", "desc": null}, {"code": "014", "path": "/carpicture02/pic4082/40826273_007.jpg", "type": "THUMBNAIL", "updateDateTime": "2025-10-28T11:46:57", "desc": null}, {"code": "002", "path": "/carpicture02/pic4082/40826273_002.jpg", "type": "OUTER", "updateDateTime": "2025-10-28T11:46:57", "desc": null}, {"code": "005", "path": "/carpicture02/pic4082/40826273_005.jpg", "type": "OUTER", "updateDateTime": "2025-10-28T11:46:57", "desc": null}, {"code": "007", "path": "/carpicture02/pic4082/40826273_007.jpg", "type": "INNER", "updateDateTime": "2025-10-28T11:46:57", "desc": null}, {"code": "004", "path": "/carpicture02/pic4082/40826273_004.jpg", "type": "OUTER", "updateDateTime": "2025-10-28T11:46:57", "desc": null}, {"code": "008", "path": "/carpicture02/pic4082/40826273_008.jpg", "type": "INNER", "updateDateTime": "2025-10-28T11:46:57", "desc": null}, {"code": "026", "path": "/carpicture02/pic4082/40826273_001.jpg", "type": "THUMBNAIL", "updateDateTime": "2025-10-28T11:46:57", "desc": null}, {"code": "025", "path": "/carpicture02/pic4082/40826273_001.jpg", "type": "THUMBNAIL", "updateDateTime": "2025-10-28T11:46:57", "desc": null}, {"code": "011", "path": "/carpicture02/pic4082/40826273_001.jpg", "type": "THUMBNAIL", "updateDateTime": "2025-10-28T11:46:57", "desc": null}, {"code": "012", "path": "/carpicture02/pic4082/40826273_001.jpg", "type": "THUMBNAIL", "updateDateTime": "2025-10-28T11:46:57", "desc": null}, {"code": "013", "path": "/carpicture02/pic4082/40826273_001.jpg", "type": "THUMBNAIL", "updateDateTime": "2025-10-28T11:46:57", "desc": null}]</t>
  </si>
  <si>
    <t>142호5080</t>
  </si>
  <si>
    <t>05062350339</t>
  </si>
  <si>
    <t>2025-10-28T11:41:56</t>
  </si>
  <si>
    <t>[{"code": "014", "path": "/carpicture02/pic4082/40826207_007.jpg", "type": "THUMBNAIL", "updateDateTime": "2025-10-28T11:43:00", "desc": null}, {"code": "005", "path": "/carpicture02/pic4082/40826207_005.jpg", "type": "OUTER", "updateDateTime": "2025-10-28T11:43:00", "desc": null}, {"code": "025", "path": "/carpicture02/pic4082/40826207_001.jpg", "type": "THUMBNAIL", "updateDateTime": "2025-10-28T11:43:00", "desc": null}, {"code": "011", "path": "/carpicture02/pic4082/40826207_001.jpg", "type": "THUMBNAIL", "updateDateTime": "2025-10-28T11:43:00", "desc": null}, {"code": "010", "path": "/carpicture02/pic4082/40826207_010.jpg", "type": "INNER", "updateDateTime": "2025-10-28T11:43:00", "desc": null}, {"code": "007", "path": "/carpicture02/pic4082/40826207_007.jpg", "type": "INNER", "updateDateTime": "2025-10-28T11:43:00", "desc": null}, {"code": "012", "path": "/carpicture02/pic4082/40826207_001.jpg", "type": "THUMBNAIL", "updateDateTime": "2025-10-28T11:43:00", "desc": null}, {"code": "003", "path": "/carpicture02/pic4082/40826207_003.jpg", "type": "OUTER", "updateDateTime": "2025-10-28T11:43:00", "desc": null}, {"code": "004", "path": "/carpicture02/pic4082/40826207_004.jpg", "type": "OUTER", "updateDateTime": "2025-10-28T11:43:00", "desc": null}, {"code": "008", "path": "/carpicture02/pic4082/40826207_008.jpg", "type": "INNER", "updateDateTime": "2025-10-28T11:43:00", "desc": null}, {"code": "002", "path": "/carpicture02/pic4082/40826207_002.jpg", "type": "OUTER", "updateDateTime": "2025-10-28T11:43:00", "desc": null}, {"code": "009", "path": "/carpicture02/pic4082/40826207_009.jpg", "type": "INNER", "updateDateTime": "2025-10-28T11:43:00", "desc": null}, {"code": "001", "path": "/carpicture02/pic4082/40826207_001.jpg", "type": "OUTER", "updateDateTime": "2025-10-28T11:43:00", "desc": null}, {"code": "026", "path": "/carpicture02/pic4082/40826207_001.jpg", "type": "THUMBNAIL", "updateDateTime": "2025-10-28T11:43:00", "desc": null}, {"code": "013", "path": "/carpicture02/pic4082/40826207_001.jpg", "type": "THUMBNAIL", "updateDateTime": "2025-10-28T11:43:00", "desc": null}]</t>
  </si>
  <si>
    <t>142호5040</t>
  </si>
  <si>
    <t>05062152282</t>
  </si>
  <si>
    <t>2025-10-28T11:40:01</t>
  </si>
  <si>
    <t>["001", "005", "006", "007", "008", "014", "015", "017", "019", "020", "022", "023", "024", "026", "027", "030", "031", "032", "033", "055", "056", "057", "059", "072", "074", "079", "081", "082", "085", "086", "088", "094", "096", "097"]</t>
  </si>
  <si>
    <t>[{"code": "002", "path": "/carpicture02/pic4082/40826187_002.jpg", "type": "OUTER", "updateDateTime": "2025-10-28T11:40:59", "desc": null}, {"code": "001", "path": "/carpicture02/pic4082/40826187_001.jpg", "type": "OUTER", "updateDateTime": "2025-10-28T11:40:59", "desc": null}, {"code": "007", "path": "/carpicture02/pic4082/40826187_007.jpg", "type": "INNER", "updateDateTime": "2025-10-28T11:40:59", "desc": null}, {"code": "013", "path": "/carpicture02/pic4082/40826187_001.jpg", "type": "THUMBNAIL", "updateDateTime": "2025-10-28T11:40:59", "desc": null}, {"code": "005", "path": "/carpicture02/pic4082/40826187_005.jpg", "type": "OUTER", "updateDateTime": "2025-10-28T11:40:59", "desc": null}, {"code": "008", "path": "/carpicture02/pic4082/40826187_008.jpg", "type": "INNER", "updateDateTime": "2025-10-28T11:40:59", "desc": null}, {"code": "004", "path": "/carpicture02/pic4082/40826187_004.jpg", "type": "OUTER", "updateDateTime": "2025-10-28T11:40:59", "desc": null}, {"code": "026", "path": "/carpicture02/pic4082/40826187_001.jpg", "type": "THUMBNAIL", "updateDateTime": "2025-10-28T11:40:59", "desc": null}, {"code": "011", "path": "/carpicture02/pic4082/40826187_001.jpg", "type": "THUMBNAIL", "updateDateTime": "2025-10-28T11:40:59", "desc": null}, {"code": "014", "path": "/carpicture02/pic4082/40826187_007.jpg", "type": "THUMBNAIL", "updateDateTime": "2025-10-28T11:40:59", "desc": null}, {"code": "009", "path": "/carpicture02/pic4082/40826187_009.jpg", "type": "INNER", "updateDateTime": "2025-10-28T11:40:59", "desc": null}, {"code": "010", "path": "/carpicture02/pic4082/40826187_010.jpg", "type": "INNER", "updateDateTime": "2025-10-28T11:40:59", "desc": null}, {"code": "003", "path": "/carpicture02/pic4082/40826187_003.jpg", "type": "OUTER", "updateDateTime": "2025-10-28T11:40:59", "desc": null}, {"code": "025", "path": "/carpicture02/pic4082/40826187_001.jpg", "type": "THUMBNAIL", "updateDateTime": "2025-10-28T11:40:59", "desc": null}, {"code": "012", "path": "/carpicture02/pic4082/40826187_001.jpg", "type": "THUMBNAIL", "updateDateTime": "2025-10-28T11:40:59", "desc": null}]</t>
  </si>
  <si>
    <t>142호5038</t>
  </si>
  <si>
    <t>202308</t>
  </si>
  <si>
    <t>05062207893</t>
  </si>
  <si>
    <t>▶ 본 차량은 엔카 대전광고지원센터에서 진단한 차량으로 사고 유무 등급 옵션을 100% 보증하는 실매물입니다. ◀
   규모만큼 큰 신뢰, 형채와 자동차(주) 대표 김형채 입니다. 
   엔카 제휴 업체로써 저희가 직접 매입한 100% 실매물 차량만을 투명하고 합리적인 금액에 판매 하고 있습니다.
━━━━━━━━━━━━━━━━━━━━━━━━━━━━━━━━━━━━━━━━━━━━━━━━━━━┫
　　┌───┒
　　│┏━┑┃
　　│┃　│┃
　　│┃　│┃　　　★ 차량 대차 서비스 ★　
　　│┖─┘┃
● 고객님의 소중한 모든 차량, 최고가 매입 해드립니다.  
    대차 원하시는 차량 『명의이전』 , 『보험승계』 까지
    방문 당일에 편안하고 신속하게 처리 해드립니다.
    부담없이 편하게 문의 주세요 !
━━━━━━━━━━━━━━━━━━━━━━━━━━━━━━━━━━━━━━━━━━━━━━━━━━━┫
　　　┌─┒
　　┌┘　┃
　　┕┑　┃
　　　│　┃
　　　│　┃　　 　★ 이 차를 보신
　　┌┘　┖┒　고객님께 꼭 드리고 싶은 말 ★
● 비흡연 차량으로 매우 쾌적한 실내환경 유지중입니다
● 전 차주분께서 차량의 지식이 많아 엔진 및 미션 최상의 컨디션 유지중입니다
● 네비 및 후방카메라 설치된 차량으로 매우 편리하고 안전한 운행이 가능합니다
● 짧은 주행거리로 깔끔하고 믿고 구매하셔도 무방합니다
● 투싼 가솔린 1.6 차량을 보고계시다면 적극 추천드리는 차량입니다
━━━━━━━━━━━━━━━━━━━━━━━━━━━━━━━━━━━━━━━━━━━━━━━━━━━┫
　　┌───┒
　　┕━┑　┃
　　┌─┘　┃
　　│　┏━┛
　　│　┖─┒　▶ 이 차량이 특별한 이유 ◀
● 형채와자동차(주) 만의 딜리버리 서비스, 고객님의 집 앞까지 편안하고 안전하게 차량을 배송해드려요 ! 
    ▶  차량 출고 전, 전문 카센터에서 꼼꼼한 점검 후에 출고 하기때문에, 그만큼 이 차량에 자신 있습니다!
● 「완전 무사고」 차량이며, 100% 보증 해드립니다 !
● 성능 기록부에 명시된 교환 부위에 대해서는 거짓이 없음을 100% 보증합니다 !
━━━━━━━━━━━━━━━━━━━━━━━━━━━━━━━━━━━━━━━━━━━━━━━━━━━┫
　　┌───┒
　　┕━┑　┃
　　┌─┘　┃
　　┕━┑　┃
　　┌─┘　┃　▶ 추가 옵션 ◀
 ● 인테리어 디자인 i - 25만원
 ● 컨비니언스 - 54만원
 ● 익스테리어 I - 69만원
 ● 멀티미디어 내비 I *하이패스 옵션 동시 적용 불가 - 129만원
━━━━━━━━━━━━━━━━━━━━━━━━━━━━━━━━━━━━━━━━━━━━━━━━━━━┫
　　┌┒　┌┒
　　│┃　│┃
　　│┕━┙┃
　　┕━━┑┃
　　　　　│┃　▶ 소모품 점검 사항 ◀
 타이어 컨디션 
 ● 앞 쪽
     좌  《 80 》 우  《 80 》
 ● 뒤 쪽
     좌  《 80 》 우  《 80 》
━━━━━━━━━━━━━━━━━━━━━━━━━━━━━━━━━━━━━━━━━━━━━━━━━━━┫
　　┌───┒
　　│　┏━┛
　　│　┖─┒
　　┕━┓　┃
　　┌─┘　┃　▶ 차량 기본 정보 ◀
● 2023년 08월 03일 ( 2023년형 ) 최초 등록
● 투싼 (NX4) 가솔린 1.6 터보 2WD 모던
● 《 33,951 》  Km 주행
● 완전 무사고 차량 입니다.
━━━━━━━━━━━━━━━━━━━━━━━━━━━━━━━━━━━━━━━━━━━━━━━━━━━┫
▒▒▒▒ 형채와 자동차(주) 만의 특별 할부 상품 ▒▒▒▒
  ★ 현대캐피탈 ★
    - 현대캐피탈과 제휴되어 있어 저희 모든 고객분께 최저금리로 안내 해드립니다.
  ★ 엔카론 ★
    - 엔카와 제휴되어 있어 저희 모든 고객분께 최저금리로 안내 해드립니다.
 ▒▒▒▒▒■ 오시는길 ■▒▒▒▒▒
▶ 자가용, 네비게이션 검색
    - 대전 오토월드내 형채와 자동차(주)
    - 대전시 유성구 유성대로 510,323호
    - 대전시 유성구 복용동 189-3,323호
▶ 기차이용시 
    - 대전역→도시지하철→구암역→704번버스 또는 택시
▶ 고속버스이용시 
    - 유성시외버스터미널 → 704번 버스 또는 택시
    - 대전복합터미널 → 102번 버스(충남대학교하차)
      → 704번버스</t>
  </si>
  <si>
    <t>2025-12-29T00:56:49</t>
  </si>
  <si>
    <t>2025-10-27T17:52:54</t>
  </si>
  <si>
    <t>["10002", "10003", "10004", "10001"]</t>
  </si>
  <si>
    <t>["001", "004", "005", "006", "007", "008", "014", "015", "017", "019", "020", "022", "023", "024", "026", "027", "030", "031", "032", "033", "034", "055", "056", "057", "058", "068", "072", "074", "075", "077", "081", "082", "084", "088", "094", "096", "097"]</t>
  </si>
  <si>
    <t>0189</t>
  </si>
  <si>
    <t>형채와자동차(주)</t>
  </si>
  <si>
    <t>김형채</t>
  </si>
  <si>
    <t>[{"code": "006", "path": "/carpicture02/pic4082/40820916_006.jpg", "type": "INNER", "updateDateTime": "2025-10-28T10:56:54", "desc": null}, {"code": "024", "path": "/carpicture02/pic4082/40820916_024.jpg", "type": "OPTION", "updateDateTime": "2025-10-28T10:56:54", "desc": null}, {"code": "017", "path": "/carpicture02/pic4082/40820916_017.jpg", "type": "OPTION", "updateDateTime": "2025-10-28T10:56:54", "desc": null}, {"code": "001", "path": "/carpicture02/pic4082/40820916_001.jpg", "type": "OUTER", "updateDateTime": "2025-10-28T10:56:54", "desc": null}, {"code": "002", "path": "/carpicture02/pic4082/40820916_002.jpg", "type": "OUTER", "updateDateTime": "2025-10-28T10:56:54", "desc": null}, {"code": "003", "path": "/carpicture02/pic4082/40820916_003.jpg", "type": "OUTER", "updateDateTime": "2025-10-28T10:56:54", "desc": null}, {"code": "004", "path": "/carpicture02/pic4082/40820916_004.jpg", "type": "OUTER", "updateDateTime": "2025-10-28T10:56:54", "desc": null}, {"code": "008", "path": "/carpicture02/pic4082/40820916_008.jpg", "type": "INNER", "updateDateTime": "2025-10-28T10:56:54", "desc": null}, {"code": "016", "path": "/carpicture02/pic4082/40820916_016.jpg", "type": "OPTION", "updateDateTime": "2025-10-28T10:56:54", "desc": null}, {"code": "022", "path": "/carpicture02/pic4082/40820916_022.jpg", "type": "OPTION", "updateDateTime": "2025-10-28T10:56:54", "desc": null}, {"code": "009", "path": "/carpicture02/pic4082/40820916_009.jpg", "type": "INNER", "updateDateTime": "2025-10-28T10:56:54", "desc": null}, {"code": "015", "path": "/carpicture02/pic4082/40820916_015.jpg", "type": "OPTION", "updateDateTime": "2025-10-28T10:56:54", "desc": null}, {"code": "010", "path": "/carpicture02/pic4082/40820916_010.jpg", "type": "INNER", "updateDateTime": "2025-10-28T10:56:54", "desc": null}, {"code": "007", "path": "/carpicture02/pic4082/40820916_007.jpg", "type": "INNER", "updateDateTime": "2025-10-28T10:56:54", "desc": null}, {"code": "023", "path": "/carpicture02/pic4082/40820916_023.jpg", "type": "OPTION", "updateDateTime": "2025-10-28T10:56:54", "desc": null}, {"code": "020", "path": "/carpicture02/pic4082/40820916_020.jpg", "type": "OPTION", "updateDateTime": "2025-10-28T10:56:54", "desc": null}, {"code": "021", "path": "/carpicture02/pic4082/40820916_021.jpg", "type": "OPTION", "updateDateTime": "2025-10-28T10:56:54", "desc": null}, {"code": "005", "path": "/carpicture02/pic4082/40820916_005.jpg", "type": "OUTER", "updateDateTime": "2025-10-28T10:56:54", "desc": null}, {"code": "018", "path": "/carpicture02/pic4082/40820916_018.jpg", "type": "OPTION", "updateDateTime": "2025-10-28T10:56:54", "desc": null}, {"code": "019", "path": "/carpicture02/pic4082/40820916_019.jpg", "type": "OPTION", "updateDateTime": "2025-10-28T10:56:54", "desc": null}]</t>
  </si>
  <si>
    <t>244서5939</t>
  </si>
  <si>
    <t>KMHJB81BGPU282761</t>
  </si>
  <si>
    <t>202408</t>
  </si>
  <si>
    <t>05062246174</t>
  </si>
  <si>
    <t>안녕하세요. 금화모터스 대표 박금철입니다.
※저희 회사는 엔카와 제휴된 상사로  깔끔한 행정업무와 안심구매를 약속 드립니다. ※
■ 차량정보
→색상:  흰색
→ 주행거리: 17150   km 
→ 연식: 2024년08.06
→사고유무:  무사고
→용도이력:  없음
■ 차량설명
→엔카 보증 차량으로 무사고 차량임을  검증  받았습니다
→엔진, 미션성능 완전 최상급 보증합니다! 
→누유, 잔떨림 일체 없습니다!
→모든 옵션 정상 작동하며, 일일이 눌러가며 확인 완료OK 했습니다! 
→가죽시트 및 실내 내장재 완전 깔끔합니다!
→기본적인 경정비는 완벽히 마쳤고 광택 , 실내크리닝 완료OK 바로 타시면 됩니다!
■ 구매방법 
→ 차대차 교환 . 현금 . 전액할부 + 생활자금 !
→ 할부 : 차값 + 등록비 + 보험료 등 
→ 탁송 : 방문이 어려우신 고객님 ! 자택까지 안전하게 당일 인도해드립니다.
★ 믿음과 신뢰로 고객님께 다가가겠습니다.  
★ 최고의 품질로서 보답하겠습니다.
★ 타 상사의 매물사진을 도용하여 알선, 대행하지 않습니다.
♣ 현금영수증 또는 세금 계산서 100% 발행해 드립니다.♣
■ 오시는 길
▶ SRT: 지제역
▶경부선, 지하철 1호선: 평택역
▶고속,시외버스: 평택터미널
▶네비검색: 경기도 평택시 유천2길 41-20(오토캐슬매매단지)
 ☎ 24시간 상담 가능합니다 ☎
연락주시면 친절하게 상담해드립니다 .</t>
  </si>
  <si>
    <t>2026-01-02T15:56:54</t>
  </si>
  <si>
    <t>2025-10-27T14:27:57</t>
  </si>
  <si>
    <t>["1045", "10005", "10007", "10004"]</t>
  </si>
  <si>
    <t>5531</t>
  </si>
  <si>
    <t>금화모터스</t>
  </si>
  <si>
    <t>박금철</t>
  </si>
  <si>
    <t>[{"code": "001", "path": "/carpicture01/pic4081/40817026_001.jpg", "type": "OUTER", "updateDateTime": "2025-10-27T15:47:57", "desc": null}, {"code": "004", "path": "/carpicture01/pic4081/40817026_004.jpg", "type": "OUTER", "updateDateTime": "2025-10-27T15:47:57", "desc": null}, {"code": "007", "path": "/carpicture01/pic4081/40817026_007.jpg", "type": "INNER", "updateDateTime": "2025-10-27T15:47:57", "desc": null}, {"code": "017", "path": "/carpicture01/pic4081/40817026_017.jpg", "type": "OPTION", "updateDateTime": "2025-10-27T15:47:57", "desc": null}, {"code": "006", "path": "/carpicture01/pic4081/40817026_006.jpg", "type": "INNER", "updateDateTime": "2025-10-27T15:47:57", "desc": null}, {"code": "010", "path": "/carpicture01/pic4081/40817026_010.jpg", "type": "INNER", "updateDateTime": "2025-10-27T15:47:57", "desc": null}, {"code": "018", "path": "/carpicture01/pic4081/40817026_018.jpg", "type": "OPTION", "updateDateTime": "2025-10-27T15:47:57", "desc": null}, {"code": "019", "path": "/carpicture01/pic4081/40817026_019.jpg", "type": "OPTION", "updateDateTime": "2025-10-27T15:47:57", "desc": null}, {"code": "005", "path": "/carpicture01/pic4081/40817026_005.jpg", "type": "OUTER", "updateDateTime": "2025-10-27T15:47:57", "desc": null}, {"code": "020", "path": "/carpicture01/pic4081/40817026_020.jpg", "type": "OPTION", "updateDateTime": "2025-10-27T15:47:57", "desc": null}, {"code": "024", "path": "/carpicture01/pic4081/40817026_024.jpg", "type": "OPTION", "updateDateTime": "2025-10-27T15:47:57", "desc": null}, {"code": "003", "path": "/carpicture01/pic4081/40817026_003.jpg", "type": "OUTER", "updateDateTime": "2025-10-27T15:47:57", "desc": null}, {"code": "002", "path": "/carpicture01/pic4081/40817026_002.jpg", "type": "OUTER", "updateDateTime": "2025-10-27T15:47:57", "desc": null}, {"code": "022", "path": "/carpicture01/pic4081/40817026_022.jpg", "type": "OPTION", "updateDateTime": "2025-10-27T15:47:57", "desc": null}, {"code": "008", "path": "/carpicture01/pic4081/40817026_008.jpg", "type": "INNER", "updateDateTime": "2025-10-27T15:47:57", "desc": null}, {"code": "009", "path": "/carpicture01/pic4081/40817026_009.jpg", "type": "INNER", "updateDateTime": "2025-10-27T15:47:57", "desc": null}, {"code": "015", "path": "/carpicture01/pic4081/40817026_015.jpg", "type": "OPTION", "updateDateTime": "2025-10-27T15:47:57", "desc": null}, {"code": "016", "path": "/carpicture01/pic4081/40817026_016.jpg", "type": "OPTION", "updateDateTime": "2025-10-27T15:47:57", "desc": null}, {"code": "021", "path": "/carpicture01/pic4081/40817026_021.jpg", "type": "OPTION", "updateDateTime": "2025-10-27T15:47:57", "desc": null}, {"code": "023", "path": "/carpicture01/pic4081/40817026_023.jpg", "type": "OPTION", "updateDateTime": "2025-10-27T15:47:57", "desc": null}]</t>
  </si>
  <si>
    <t>350도8734</t>
  </si>
  <si>
    <t>KMHP5811BRU056554</t>
  </si>
  <si>
    <t>[9, 19, 20]</t>
  </si>
  <si>
    <t>NO PAINT**키2개**정품네비**스마트크루즈**파워트렁크</t>
  </si>
  <si>
    <t>05062287167</t>
  </si>
  <si>
    <t>안녕하세요~~!!
중고차 전문딜러 에이원모터스 박진성 소장입니다. 
차량에 관심을 가져주셔서 대단히 감사합니다. 
현재 고객님께서 보시고있는 차량은 100% 실매물임을 이름을 걸고 약속드립니다. 
제가 직접 매입하고 판매하는 차량입니다..
▶차량설명 
-사고여부 :  완전무사고 차량입니다.  
-차    종 : 현대 더뉴싼타페 2.2 프레스티지 4WD
-연    식 : 2021년 12월 
-색    상 : 깔끔하고 인기있는 진그레이 색상입니다. 
-주행거리 : 76,600km 로 매우 짧습니다.(실주행거리) 
-내 / 외관 : 실내와 실외가 깨끗합니다. 광택 및 실내크리닝 완료 하였습니다. 
-관리상태 : 모든 정비를 마친 상태입니다. 
▶옵션사항 
-스마트키, 정품네비게이션, 후방카레라, 열선/통풍시트, 전동시트, 하이패스룸미러 등 
-전동식 파워트렁크, 스마트크루즈, 워크인시트 등
▶문의방법 
-연락주시면 친절하고 상세하게 설명을 드리도록 하겠습니다. 전화가 부재중일시 문자를 남겨주시면 확인후 전화드리겠습니다. 
-차량은 안산 마트자동차매매단지에서 보실 수 있어요. 
-차량 시승도 가능하며 정비업소에서 차량상태 확인도 가능합니다.  
-현재 타고 계신 차량과 교환도 가능하며, 대출을 통한 차량구매도 가능합니다. 
-오시는 길 : 지하철 이용하시면 4호선 고잔역/초지역에서 10분 거리, 자가용 이용하시면 매송IC/서안산IC에서 10분 거리 
                   (경기도 안산시 단원구 원포공원2로 24 마트자동차매매단지 206호 에이원모터스)
-출발하시기 전 미리 연락주시면 됩니다.
-감사합니다.</t>
  </si>
  <si>
    <t>2025-12-03T09:09:53</t>
  </si>
  <si>
    <t>2026-01-26T10:44:02</t>
  </si>
  <si>
    <t>2025-12-02T16:43:27</t>
  </si>
  <si>
    <t>["001", "004", "005", "006", "007", "008", "014", "015", "017", "019", "020", "021", "022", "023", "024", "026", "027", "030", "031", "032", "033", "034", "035", "055", "056", "057", "058", "059", "062", "063", "072", "074", "075", "077", "079", "082", "084", "085", "088", "092", "094", "096", "097"]</t>
  </si>
  <si>
    <t>4495</t>
  </si>
  <si>
    <t>[{"code": "161", "name": "엔카진단센터 안산 마트", "major": true, "telephoneNumber": "031-413-0059", "address": "경기 안산시 단원구 원포공원2로 24 마트자동차 매매단지 143호"}]</t>
  </si>
  <si>
    <t>에이원모터스</t>
  </si>
  <si>
    <t>박진성</t>
  </si>
  <si>
    <t>[{"code": "024", "path": "/carpicture09/pic4109/41091081_024.jpg", "type": "OPTION", "updateDateTime": "2025-12-03T09:09:18", "desc": null}, {"code": "004", "path": "/carpicture09/pic4109/41091081_004.jpg", "type": "OUTER", "updateDateTime": "2025-12-03T09:09:18", "desc": null}, {"code": "015", "path": "/carpicture09/pic4109/41091081_015.jpg", "type": "OPTION", "updateDateTime": "2025-12-03T09:09:18", "desc": null}, {"code": "007", "path": "/carpicture09/pic4109/41091081_007.jpg", "type": "INNER", "updateDateTime": "2025-12-03T09:09:18", "desc": null}, {"code": "018", "path": "/carpicture09/pic4109/41091081_018.jpg", "type": "OPTION", "updateDateTime": "2025-12-03T09:09:18", "desc": null}, {"code": "021", "path": "/carpicture09/pic4109/41091081_021.jpg", "type": "OPTION", "updateDateTime": "2025-12-03T09:09:18", "desc": null}, {"code": "005", "path": "/carpicture09/pic4109/41091081_005.jpg", "type": "OUTER", "updateDateTime": "2025-12-03T09:09:18", "desc": null}, {"code": "008", "path": "/carpicture09/pic4109/41091081_008.jpg", "type": "INNER", "updateDateTime": "2025-12-03T09:09:18", "desc": null}, {"code": "010", "path": "/carpicture09/pic4109/41091081_010.jpg", "type": "INNER", "updateDateTime": "2025-12-03T09:09:18", "desc": null}, {"code": "016", "path": "/carpicture09/pic4109/41091081_016.jpg", "type": "OPTION", "updateDateTime": "2025-12-03T09:09:18", "desc": null}, {"code": "020", "path": "/carpicture09/pic4109/41091081_020.jpg", "type": "OPTION", "updateDateTime": "2025-12-03T09:09:18", "desc": null}, {"code": "002", "path": "/carpicture09/pic4109/41091081_002.jpg", "type": "OUTER", "updateDateTime": "2025-12-03T09:09:18", "desc": null}, {"code": "006", "path": "/carpicture09/pic4109/41091081_006.jpg", "type": "INNER", "updateDateTime": "2025-12-03T09:09:18", "desc": null}, {"code": "017", "path": "/carpicture09/pic4109/41091081_017.jpg", "type": "OPTION", "updateDateTime": "2025-12-03T09:09:18", "desc": null}, {"code": "009", "path": "/carpicture09/pic4109/41091081_009.jpg", "type": "INNER", "updateDateTime": "2025-12-03T09:09:18", "desc": null}, {"code": "001", "path": "/carpicture09/pic4109/41091081_001.jpg", "type": "OUTER", "updateDateTime": "2025-12-03T09:09:18", "desc": null}, {"code": "003", "path": "/carpicture09/pic4109/41091081_003.jpg", "type": "OUTER", "updateDateTime": "2025-12-03T09:09:18", "desc": null}, {"code": "019", "path": "/carpicture09/pic4109/41091081_019.jpg", "type": "OPTION", "updateDateTime": "2025-12-03T09:09:18", "desc": null}, {"code": "022", "path": "/carpicture09/pic4109/41091081_022.jpg", "type": "OPTION", "updateDateTime": "2025-12-03T09:09:18", "desc": null}, {"code": "023", "path": "/carpicture09/pic4109/41091081_023.jpg", "type": "OPTION", "updateDateTime": "2025-12-03T09:09:18", "desc": null}]</t>
  </si>
  <si>
    <t>193모9014</t>
  </si>
  <si>
    <t>KMHS381HHMU416238</t>
  </si>
  <si>
    <t>1.6 e-VGT SMART</t>
  </si>
  <si>
    <t>대구 동구 안심로59길 54</t>
  </si>
  <si>
    <t>05062134851</t>
  </si>
  <si>
    <t>-------먼저 저의 차를 관심을 가지고 봐주셔서 감사합니다.-------
-------사진과 실매물만 등록하고 심사를 통과한 딜러만 활동할 수 있으니, 안심하고 연락 주세요.☏-------
-------항상 박 리 다 매 를 생각하며 장사 하겠습니다.-------
★차량 설명★
▶차종: 현대 아반떼 AD 1.6 e-VGT 스마트
▶형식 연도 : 2016년 08월 25일
▶ 주행거리 : 145,656km
▶차량색상 : 세련된 흰색 입니다.
▶사고유무 : 무사고 차량 입니다.
▶판매자의 소견 :  현금영수증,세금계산서발행가능
20~50대 남녀노소 타시기에 깔끔하고 가장 인기 좋은 화이트 색상의 차량입니다.
비흡연 차량이며 40대 남성분이 경상북도 경산시에서 운행하시던 차량입니다.
부족함 없는 실내공간과 풍부한 옵션으로 패밀리카로 이용하셔도 부족함 없이 만족하시면서 차량을 타실 수 있습니다.
순정 내비게이션과 열선시트, 열선핸들이 들어간 차량이며 ♥블루투스가 들어간 차량입니다.
차량 상태는 전반적으로 양호하며 타이어는 앞 70% 뒤 70%씩 남아있습니다.
오셔서 차량 실내, 외관 보시고 꼭 시운전까지 해보시고 신중한 선택해 보시면 될 거같습니다
저의 차량을 관심 가져주셔서 감사합니다.
▶차량상태설명
   ━━━━━━
           엔진 → 소음 없고 부조현상 및 진동  없습니다
           미션 → 변속시 충격 없습니다
           전기 장치 → 제네레이터(발전기) 및 밧데리 아무 이상없고 기타 배선 문제 없습니다
           조향장치  → 오무기어 및 각종 베어링 및 상태 좋구 핸들 쏠림 없습니다
           제동장치  → 브레이크 디스크 휨 현상 없고 브레이크 오일 및 패드 상태 양호 합니다
           하체 → 로워암,어퍼암,쇼바,활대링크, 각종 고무부싱 이상 없습니다
           기타 → 에어컨 히터 이상없습니다 구입후  엔진 오일만 한번 교환 하시면 됩니다 감사합니다
** 대차 가능합니다 문의 주세요
** 주말 및 공휴일 정상근무 하오니 많은 관심 부탁드립니다.
▶기타 안내
 -성능기록부 교부 및 사고이력 확인해드립니다.
 -1개월 / 2,000km 법적 보증 해드립니다.
 -성능장,정비소 (거래처) 확인 가능합니다
▶세븐모터스 금융상품
  ━━━━━━━━━━
-  저럼한 금리 최저금리 이용가능합니다
-  신속한 계약-당일승인 당일출고 가능합니다
-  초기비용 없이 전액 할부 서비스 지원(차량대금+이전등록+차량보험+부대비용)
-  만20세 이상 누구나 "돈"한푼없이"전액할부"가능
-  할부구입시 구비서류
   개인 - 면허증
   법인 - 인감도장, 인감증명서3통,(사용인감계첨부) 사업자등록증,대표자인감도장 인감증명서,등본
▶세븐모터스 자동차보험
  ━━━━━━━━━━━ 
- 오프라인 보험료 대비 최대12% 저렴한 다이렉트 자동차보험
- 세븐모터스 전용 콜 센터에서 가입후 즉시출고가능  
- 동부,삼성,LIG,한화.등 (보험료 최저 비교견적서비스)
- 주말 토,일 (야간 출고시에도 가입가능)
▶구입시 준비 서류
  ━━━━━━━━
- 현금구입시: 신분증, 현금
- 카드구입시: 신분증,카드
▶찾아오시는 교통편
  ━━━━━━━━
  세븐 모터스 (대구점) 
- 주소 - (구 주소) 대구 동구 각산동 292-8번지(신라 매매단지 내 3번출입구)
         - (신 주소) 대구광역시 동구 안심로59길54
- 차량이용시        - 시외지역 동대구IC 에서 "신라매매단지" 차량으로 5분(약4km)
- 기차KTX이용시  - 동대구역(KTX)  예상시간20분, 예상택시비 약 7.000원
- 버스고속버스    - 동대구 고속버스터미널  예상시간20분, 예상택시비 약 7.000원
- 지하철             - 지하철1호선 (반야월역 4번출구) 0.9km 소요시간 10분
▶직접 오셔서 차량을 보셨으면 합니다
  글과 사진으로만 판단하지 마시고 오셔서 직접 보시고 시운전도 해보신다면 정말 마음에 드시리라 자신합니다
  고민 하지마시고 언제든지 연락주세요.  감사합니다 세븐모터스 박태현 입니다 ^.^</t>
  </si>
  <si>
    <t>2025-11-27T16:56:41</t>
  </si>
  <si>
    <t>2026-01-14T12:56:03</t>
  </si>
  <si>
    <t>2025-11-27T16:36:51</t>
  </si>
  <si>
    <t>["001", "004", "005", "006", "007", "008", "014", "015", "017", "019", "020", "022", "024", "026", "027", "031", "032", "033", "055", "056", "058", "071", "072", "082", "096", "097"]</t>
  </si>
  <si>
    <t>0154</t>
  </si>
  <si>
    <t>세븐모터스</t>
  </si>
  <si>
    <t>박태현</t>
  </si>
  <si>
    <t>[{"code": "005", "path": "/carpicture06/pic4106/41061934_005.jpg", "type": "OUTER", "updateDateTime": "2025-11-27T16:56:31", "desc": null}, {"code": "021", "path": "/carpicture06/pic4106/41061934_021.jpg", "type": "OPTION", "updateDateTime": "2025-11-27T16:56:31", "desc": null}, {"code": "006", "path": "/carpicture06/pic4106/41061934_006.jpg", "type": "INNER", "updateDateTime": "2025-11-27T16:56:31", "desc": null}, {"code": "015", "path": "/carpicture06/pic4106/41061934_015.jpg", "type": "OPTION", "updateDateTime": "2025-11-27T16:56:31", "desc": null}, {"code": "009", "path": "/carpicture06/pic4106/41061934_009.jpg", "type": "INNER", "updateDateTime": "2025-11-27T16:56:31", "desc": null}, {"code": "018", "path": "/carpicture06/pic4106/41061934_018.jpg", "type": "OPTION", "updateDateTime": "2025-11-27T16:56:31", "desc": null}, {"code": "022", "path": "/carpicture06/pic4106/41061934_022.jpg", "type": "OPTION", "updateDateTime": "2025-11-27T16:56:31", "desc": null}, {"code": "017", "path": "/carpicture06/pic4106/41061934_017.jpg", "type": "OPTION", "updateDateTime": "2025-11-27T16:56:31", "desc": null}, {"code": "003", "path": "/carpicture06/pic4106/41061934_003.jpg", "type": "OUTER", "updateDateTime": "2025-11-27T16:56:31", "desc": null}, {"code": "016", "path": "/carpicture06/pic4106/41061934_016.jpg", "type": "OPTION", "updateDateTime": "2025-11-27T16:56:31", "desc": null}, {"code": "001", "path": "/carpicture06/pic4106/41061934_001.jpg", "type": "OUTER", "updateDateTime": "2025-11-27T16:56:31", "desc": null}, {"code": "010", "path": "/carpicture06/pic4106/41061934_010.jpg", "type": "INNER", "updateDateTime": "2025-11-27T16:56:31", "desc": null}, {"code": "008", "path": "/carpicture06/pic4106/41061934_008.jpg", "type": "INNER", "updateDateTime": "2025-11-27T16:56:31", "desc": null}, {"code": "023", "path": "/carpicture06/pic4106/41061934_023.jpg", "type": "OPTION", "updateDateTime": "2025-11-27T16:56:31", "desc": null}, {"code": "019", "path": "/carpicture06/pic4106/41061934_019.jpg", "type": "OPTION", "updateDateTime": "2025-11-27T16:56:31", "desc": null}, {"code": "002", "path": "/carpicture06/pic4106/41061934_002.jpg", "type": "OUTER", "updateDateTime": "2025-11-27T16:56:31", "desc": null}, {"code": "007", "path": "/carpicture06/pic4106/41061934_007.jpg", "type": "INNER", "updateDateTime": "2025-11-27T16:56:31", "desc": null}, {"code": "024", "path": "/carpicture06/pic4106/41061934_024.jpg", "type": "OPTION", "updateDateTime": "2025-11-27T16:56:31", "desc": null}, {"code": "004", "path": "/carpicture06/pic4106/41061934_004.jpg", "type": "OUTER", "updateDateTime": "2025-11-27T16:56:31", "desc": null}, {"code": "020", "path": "/carpicture06/pic4106/41061934_020.jpg", "type": "OPTION", "updateDateTime": "2025-11-27T16:56:31", "desc": null}]</t>
  </si>
  <si>
    <t>321고3880</t>
  </si>
  <si>
    <t>KMHD641UGGU131415</t>
  </si>
  <si>
    <t>inspection.directManagement</t>
  </si>
  <si>
    <t>inspection.etcs</t>
  </si>
  <si>
    <t>inspection.formats</t>
  </si>
  <si>
    <t>inspection.images</t>
  </si>
  <si>
    <t>inspection.inners</t>
  </si>
  <si>
    <t>inspection.inspectionSource</t>
  </si>
  <si>
    <t>inspection.inspectionSource.code</t>
  </si>
  <si>
    <t>inspection.inspectionSource.inspectionVersion</t>
  </si>
  <si>
    <t>inspection.inspectionSource.registrantId</t>
  </si>
  <si>
    <t>inspection.inspectionSource.reservationId</t>
  </si>
  <si>
    <t>inspection.inspectionSource.updaterId</t>
  </si>
  <si>
    <t>inspection.master.accdient</t>
  </si>
  <si>
    <t>inspection.master.detail</t>
  </si>
  <si>
    <t>inspection.master.detail.boardStateType.code</t>
  </si>
  <si>
    <t>inspection.master.detail.boardStateType.title</t>
  </si>
  <si>
    <t>inspection.master.detail.carStateType.code</t>
  </si>
  <si>
    <t>inspection.master.detail.carStateType.title</t>
  </si>
  <si>
    <t>inspection.master.detail.colorType</t>
  </si>
  <si>
    <t>inspection.master.detail.colorType.code</t>
  </si>
  <si>
    <t>inspection.master.detail.colorType.title</t>
  </si>
  <si>
    <t>inspection.master.detail.comments</t>
  </si>
  <si>
    <t>inspection.master.detail.coout</t>
  </si>
  <si>
    <t>inspection.master.detail.engineCheck</t>
  </si>
  <si>
    <t>inspection.master.detail.firstRegistrationDate</t>
  </si>
  <si>
    <t>inspection.master.detail.guarantyType.code</t>
  </si>
  <si>
    <t>inspection.master.detail.guarantyType.title</t>
  </si>
  <si>
    <t>inspection.master.detail.hcout</t>
  </si>
  <si>
    <t>inspection.master.detail.inspName</t>
  </si>
  <si>
    <t>inspection.master.detail.issueDate</t>
  </si>
  <si>
    <t>inspection.master.detail.mainOptionTypes</t>
  </si>
  <si>
    <t>inspection.master.detail.mileage</t>
  </si>
  <si>
    <t>inspection.master.detail.mileageStateType</t>
  </si>
  <si>
    <t>inspection.master.detail.modelYear</t>
  </si>
  <si>
    <t>inspection.master.detail.motorType</t>
  </si>
  <si>
    <t>inspection.master.detail.noticeName</t>
  </si>
  <si>
    <t>inspection.master.detail.paintPartTypes</t>
  </si>
  <si>
    <t>inspection.master.detail.performTester</t>
  </si>
  <si>
    <t>inspection.master.detail.recall</t>
  </si>
  <si>
    <t>inspection.master.detail.recallFullFillTypes</t>
  </si>
  <si>
    <t>inspection.master.detail.recordNo</t>
  </si>
  <si>
    <t>inspection.master.detail.seriousTypes</t>
  </si>
  <si>
    <t>inspection.master.detail.smout</t>
  </si>
  <si>
    <t>inspection.master.detail.transmissionType</t>
  </si>
  <si>
    <t>inspection.master.detail.transmissionType.code</t>
  </si>
  <si>
    <t>inspection.master.detail.transmissionType.title</t>
  </si>
  <si>
    <t>inspection.master.detail.trnsCheck</t>
  </si>
  <si>
    <t>inspection.master.detail.tuning</t>
  </si>
  <si>
    <t>inspection.master.detail.tuningStateTypes</t>
  </si>
  <si>
    <t>inspection.master.detail.usageChangeTypes</t>
  </si>
  <si>
    <t>inspection.master.detail.validityEndDate</t>
  </si>
  <si>
    <t>inspection.master.detail.validityStartDate</t>
  </si>
  <si>
    <t>inspection.master.detail.version</t>
  </si>
  <si>
    <t>inspection.master.detail.vin</t>
  </si>
  <si>
    <t>inspection.master.detail.waterlog</t>
  </si>
  <si>
    <t>inspection.master.registrationDate</t>
  </si>
  <si>
    <t>inspection.master.simpleRepair</t>
  </si>
  <si>
    <t>inspection.master.supplyNum</t>
  </si>
  <si>
    <t>inspection.outers</t>
  </si>
  <si>
    <t>inspection.price</t>
  </si>
  <si>
    <t>inspection.vehicleId</t>
  </si>
  <si>
    <t>meta.error_inspection</t>
  </si>
  <si>
    <t>[{"path": "/carsdata/cars/inspection/41356587_photoPerform1.jpg", "type": "I1", "title": "자동차 기본정보&amp;종합상태\n사고 교환 수리 등 이력"}, {"path": "/carsdata/cars/inspection/41356587_photoPerform2.jpg", "type": "I2", "title": "자동차 세부상태"}, {"path": "/carsdata/cars/inspection/41356587_photoPerform3.jpg", "type": "I5", "title": "자동차 세부상태&amp;기타정보"}, {"path": "/carsdata/cars/inspection/41356587_photoPerform4.jpg", "type": "I3", "title": "유의사항"}]</t>
  </si>
  <si>
    <t>2026-01-16T09:56:48</t>
  </si>
  <si>
    <t>20261011888</t>
  </si>
  <si>
    <t>[{"path": "/carsdata/cars/inspection/41353573_photoPerform1.jpg", "type": "I1", "title": "자동차 기본정보&amp;종합상태\n사고 교환 수리 등 이력"}, {"path": "/carsdata/cars/inspection/41353573_photoPerform2.jpg", "type": "I2", "title": "자동차 세부상태"}, {"path": "/carsdata/cars/inspection/41353573_photoPerform3.jpg", "type": "I5", "title": "자동차 세부상태&amp;기타정보"}, {"path": "/carsdata/cars/inspection/41353573_photoPerform4.jpg", "type": "I3", "title": "유의사항"}]</t>
  </si>
  <si>
    <t>2026-01-15T17:12:13</t>
  </si>
  <si>
    <t>20251646143</t>
  </si>
  <si>
    <t>[{"path": "/carsdata/cars/inspection/41403456_photoPerform1.jpg", "type": "I1", "title": "자동차 기본정보&amp;종합상태\n사고 교환 수리 등 이력"}, {"path": "/carsdata/cars/inspection/41403456_photoPerform2.jpg", "type": "I2", "title": "자동차 세부상태"}, {"path": "/carsdata/cars/inspection/41403456_photoPerform3.jpg", "type": "I5", "title": "자동차 세부상태&amp;기타정보"}, {"path": "/carsdata/cars/inspection/41403456_photoPerform4.jpg", "type": "I3", "title": "유의사항"}]</t>
  </si>
  <si>
    <t>2026-01-24T19:55:35</t>
  </si>
  <si>
    <t>20261034729</t>
  </si>
  <si>
    <t>[{"path": "/carsdata/cars/inspection/41390361_photoPerform1.jpg", "type": "I1", "title": "자동차 기본정보&amp;종합상태\n사고 교환 수리 등 이력"}, {"path": "/carsdata/cars/inspection/41390361_photoPerform2.jpg", "type": "I2", "title": "자동차 세부상태"}, {"path": "/carsdata/cars/inspection/41390361_photoPerform3.jpg", "type": "I5", "title": "자동차 세부상태&amp;기타정보"}, {"path": "/carsdata/cars/inspection/41390361_photoPerform4.jpg", "type": "I3", "title": "유의사항"}]</t>
  </si>
  <si>
    <t>2026-01-22T10:31:02</t>
  </si>
  <si>
    <t>20251602448</t>
  </si>
  <si>
    <t>[{"path": "/carsdata/cars/inspection/41403526_photoPerform1.jpg", "type": "I1", "title": "자동차 기본정보&amp;종합상태\n사고 교환 수리 등 이력"}, {"path": "/carsdata/cars/inspection/41403526_photoPerform2.jpg", "type": "I2", "title": "자동차 세부상태"}, {"path": "/carsdata/cars/inspection/41403526_photoPerform3.jpg", "type": "I5", "title": "자동차 세부상태&amp;기타정보"}, {"path": "/carsdata/cars/inspection/41403526_photoPerform4.jpg", "type": "I3", "title": "유의사항"}]</t>
  </si>
  <si>
    <t>2026-01-24T23:43:36</t>
  </si>
  <si>
    <t>20261018360</t>
  </si>
  <si>
    <t>[{"path": "/carsdata/cars/inspection/40279299_photoPerform1.jpg", "type": "I1", "title": "자동차 기본정보&amp;종합상태\n사고 교환 수리 등 이력"}, {"path": "/carsdata/cars/inspection/40279299_photoPerform2.jpg", "type": "I2", "title": "자동차 세부상태"}, {"path": "/carsdata/cars/inspection/40279299_photoPerform3.jpg", "type": "I5", "title": "자동차 세부상태&amp;기타정보"}, {"path": "/carsdata/cars/inspection/40279299_photoPerform4.jpg", "type": "I3", "title": "유의사항"}]</t>
  </si>
  <si>
    <t>2025-08-11T15:58:59</t>
  </si>
  <si>
    <t>20251218691</t>
  </si>
  <si>
    <t>[{"path": "/carsdata/cars/inspection/41017047_photoPerform1.jpg", "type": "I1", "title": "자동차 기본정보&amp;종합상태\n사고 교환 수리 등 이력"}, {"path": "/carsdata/cars/inspection/41017047_photoPerform2.jpg", "type": "I2", "title": "자동차 세부상태"}, {"path": "/carsdata/cars/inspection/41017047_photoPerform3.jpg", "type": "I5", "title": "자동차 세부상태&amp;기타정보"}, {"path": "/carsdata/cars/inspection/41017047_photoPerform4.jpg", "type": "I3", "title": "유의사항"}]</t>
  </si>
  <si>
    <t>2025-11-21T10:31:53</t>
  </si>
  <si>
    <t>20251548374</t>
  </si>
  <si>
    <t>[{"path": "/carsdata/cars/inspection/41298024_I1.jpg", "type": "I1", "title": "자동차 기본정보&amp;종합상태\n사고 교환 수리 등 이력"}, {"path": "/carsdata/cars/inspection/41298024_I2.jpg", "type": "I2", "title": "자동차 세부상태"}, {"path": "/carsdata/cars/inspection/41298024_I5.jpg", "type": "I5", "title": "자동차 세부상태&amp;기타정보"}, {"path": "/carsdata/cars/inspection/41298024_I3.jpg", "type": "I3", "title": "유의사항"}]</t>
  </si>
  <si>
    <t>2026-01-08T10:23:15</t>
  </si>
  <si>
    <t>2026001190</t>
  </si>
  <si>
    <t>[{"path": "/carsdata/cars/inspection/39870119_I1.jpg", "type": "I1", "title": "자동차 기본정보&amp;종합상태\n사고 교환 수리 등 이력"}, {"path": "/carsdata/cars/inspection/39870119_I2.jpg", "type": "I2", "title": "자동차 세부상태"}, {"path": "/carsdata/cars/inspection/39870119_I5.jpg", "type": "I5", "title": "자동차 세부상태&amp;기타정보"}, {"path": "/carsdata/cars/inspection/39870119_I3.jpg", "type": "I3", "title": "유의사항"}]</t>
  </si>
  <si>
    <t>2025-06-16T11:56:15</t>
  </si>
  <si>
    <t>2025051005</t>
  </si>
  <si>
    <t>[{"path": "/carsdata/cars/inspection/41326098_photoPerform1.jpg", "type": "I1", "title": "자동차 기본정보&amp;종합상태\n사고 교환 수리 등 이력"}, {"path": "/carsdata/cars/inspection/41326098_photoPerform2.jpg", "type": "I2", "title": "자동차 세부상태"}, {"path": "/carsdata/cars/inspection/41326098_photoPerform3.jpg", "type": "I5", "title": "자동차 세부상태&amp;기타정보"}, {"path": "/carsdata/cars/inspection/41326098_photoPerform4.jpg", "type": "I3", "title": "유의사항"}]</t>
  </si>
  <si>
    <t>2026-01-12T14:12:02</t>
  </si>
  <si>
    <t>20251625194</t>
  </si>
  <si>
    <t>[{"path": "/carsdata/cars/inspection/41307028_I1.jpg", "type": "I1", "title": "자동차 기본정보&amp;종합상태\n사고 교환 수리 등 이력"}, {"path": "/carsdata/cars/inspection/41307028_I2.jpg", "type": "I2", "title": "자동차 세부상태"}, {"path": "/carsdata/cars/inspection/41307028_I5.jpg", "type": "I5", "title": "자동차 세부상태&amp;기타정보"}, {"path": "/carsdata/cars/inspection/41307028_I3.jpg", "type": "I3", "title": "유의사항"}]</t>
  </si>
  <si>
    <t>2026-01-08T15:22:34</t>
  </si>
  <si>
    <t>2025123233</t>
  </si>
  <si>
    <t>[{"path": "/carsdata/cars/inspection/41376170_photoPerform1.jpg", "type": "I1", "title": "자동차 기본정보&amp;종합상태\n사고 교환 수리 등 이력"}, {"path": "/carsdata/cars/inspection/41376170_photoPerform2.jpg", "type": "I2", "title": "자동차 세부상태"}, {"path": "/carsdata/cars/inspection/41376170_photoPerform3.jpg", "type": "I5", "title": "자동차 세부상태&amp;기타정보"}, {"path": "/carsdata/cars/inspection/41376170_photoPerform4.jpg", "type": "I3", "title": "유의사항"}]</t>
  </si>
  <si>
    <t>2026-01-20T11:20:33</t>
  </si>
  <si>
    <t>20261028608</t>
  </si>
  <si>
    <t>[{"path": "/carsdata/cars/inspection/41381376_photoPerform1.jpg", "type": "I1", "title": "자동차 기본정보&amp;종합상태\n사고 교환 수리 등 이력"}, {"path": "/carsdata/cars/inspection/41381376_photoPerform2.jpg", "type": "I2", "title": "자동차 세부상태"}, {"path": "/carsdata/cars/inspection/41381376_photoPerform3.jpg", "type": "I5", "title": "자동차 세부상태&amp;기타정보"}, {"path": "/carsdata/cars/inspection/41381376_photoPerform4.jpg", "type": "I3", "title": "유의사항"}]</t>
  </si>
  <si>
    <t>2026-01-20T22:06:12</t>
  </si>
  <si>
    <t>20251474375</t>
  </si>
  <si>
    <t>[{"path": "/carsdata/cars/inspection/41383463_photoPerform1.jpg", "type": "I1", "title": "자동차 기본정보&amp;종합상태\n사고 교환 수리 등 이력"}, {"path": "/carsdata/cars/inspection/41383463_photoPerform2.jpg", "type": "I2", "title": "자동차 세부상태"}, {"path": "/carsdata/cars/inspection/41383463_photoPerform3.jpg", "type": "I5", "title": "자동차 세부상태&amp;기타정보"}, {"path": "/carsdata/cars/inspection/41383463_photoPerform4.jpg", "type": "I3", "title": "유의사항"}]</t>
  </si>
  <si>
    <t>2026-01-21T10:56:52</t>
  </si>
  <si>
    <t>20251437148</t>
  </si>
  <si>
    <t>[{"path": "/carsdata/cars/inspection/41395915_photoPerform1.jpg", "type": "I1", "title": "자동차 기본정보&amp;종합상태\n사고 교환 수리 등 이력"}, {"path": "/carsdata/cars/inspection/41395915_photoPerform2.jpg", "type": "I2", "title": "자동차 세부상태"}, {"path": "/carsdata/cars/inspection/41395915_photoPerform3.jpg", "type": "I5", "title": "자동차 세부상태&amp;기타정보"}, {"path": "/carsdata/cars/inspection/41395915_photoPerform4.jpg", "type": "I3", "title": "유의사항"}]</t>
  </si>
  <si>
    <t>2026-01-22T23:14:03</t>
  </si>
  <si>
    <t>20261030989</t>
  </si>
  <si>
    <t>[{"path": "/carsdata/cars/inspection/41309179_photoPerform1.jpg", "type": "I1", "title": "자동차 기본정보&amp;종합상태\n사고 교환 수리 등 이력"}, {"path": "/carsdata/cars/inspection/41309179_photoPerform2.jpg", "type": "I2", "title": "자동차 세부상태"}, {"path": "/carsdata/cars/inspection/41309179_photoPerform3.jpg", "type": "I5", "title": "자동차 세부상태&amp;기타정보"}, {"path": "/carsdata/cars/inspection/41309179_photoPerform4.jpg", "type": "I3", "title": "유의사항"}, {"path": "/carsdata/cars/inspection/41309179_photoPerform5.jpg", "type": "I4", "title": "점검 장면 촬영 사진, 서명"}]</t>
  </si>
  <si>
    <t>2026-01-08T16:03:39</t>
  </si>
  <si>
    <t xml:space="preserve">20251474182 </t>
  </si>
  <si>
    <t>[{"path": "/carsdata/cars/inspection/40740292_photoPerform1.jpg", "type": "I1", "title": "자동차 기본정보&amp;종합상태\n사고 교환 수리 등 이력"}, {"path": "/carsdata/cars/inspection/40740292_photoPerform2.jpg", "type": "I2", "title": "자동차 세부상태"}, {"path": "/carsdata/cars/inspection/40740292_photoPerform3.jpg", "type": "I5", "title": "자동차 세부상태&amp;기타정보"}, {"path": "/carsdata/cars/inspection/40740292_photoPerform4.jpg", "type": "I3", "title": "유의사항"}, {"path": "/carsdata/cars/inspection/40740292_photoPerform5.jpg", "type": "I4", "title": "점검 장면 촬영 사진, 서명"}]</t>
  </si>
  <si>
    <t>2025-10-16T15:02:56</t>
  </si>
  <si>
    <t xml:space="preserve">20251148032 </t>
  </si>
  <si>
    <t>[{"type": {"code": "", "title": "수리필요"}, "children": [{"type": {"code": "e001", "title": "외장"}, "exists": null, "statusTypes": [], "statusItemTypes": []}, {"type": {"code": "e002", "title": "내장"}, "exists": null, "statusTypes": [], "statusItemTypes": []}, {"type": {"code": "e003", "title": "광택"}, "exists": null, "statusTypes": [], "statusItemTypes": []}, {"type": {"code": "e004", "title": "룸 클리링"}, "exists": null, "statusTypes": [], "statusItemTypes": []}, {"type": {"code": "e005", "title": "휠"}, "exists": null, "statusTypes": [], "statusItemTypes": [{"code": "1", "title": "운전석 전"}, {"code": "2", "title": "운전석 후"}, {"code": "3", "title": "동반석 전"}, {"code": "4", "title": "동반석 후"}, {"code": "5", "title": "응급"}]}, {"type": {"code": "e006", "title": "타이어"}, "exists": null, "statusTypes": [], "statusItemTypes": [{"code": "1", "title": "운전석 전"}, {"code": "2", "title": "운전석 후"}, {"code": "3", "title": "동반석 전"}, {"code": "4", "title": "동반석 후"}, {"code": "5", "title": "응급"}]}, {"type": {"code": "e007", "title": "유리"}, "exists": null, "statusTypes": [], "statusItemTypes": []}]}, {"type": {"code": "", "title": "기본품목"}, "children": [{"type": {"code": "e008", "title": "보유상태"}, "exists": null, "statusTypes": [], "statusItemTypes": [{"code": "1", "title": "사용설명서"}, {"code": "2", "title": "안전삼각대"}, {"code": "3", "title": "잭"}, {"code": "4", "title": "스패너"}]}]}]</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</si>
  <si>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</si>
  <si>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PARTNERSHIP</t>
  </si>
  <si>
    <t>V200623</t>
  </si>
  <si>
    <t>1</t>
  </si>
  <si>
    <t>양호</t>
  </si>
  <si>
    <t>Y</t>
  </si>
  <si>
    <t>20160523</t>
  </si>
  <si>
    <t>2</t>
  </si>
  <si>
    <t>보험사보증</t>
  </si>
  <si>
    <t>울산 국민차 성능장 김무성</t>
  </si>
  <si>
    <t>20251220</t>
  </si>
  <si>
    <t xml:space="preserve">2016  </t>
  </si>
  <si>
    <t>G4FD</t>
  </si>
  <si>
    <t>2528515058</t>
  </si>
  <si>
    <t>20260522</t>
  </si>
  <si>
    <t>20240523</t>
  </si>
  <si>
    <t>V200922</t>
  </si>
  <si>
    <t>2025-12-29T10:37:56</t>
  </si>
  <si>
    <t>202512079697</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</si>
  <si>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</si>
  <si>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DIRECT_INPUT</t>
  </si>
  <si>
    <t>무채색</t>
  </si>
  <si>
    <t>0</t>
  </si>
  <si>
    <t>20210421</t>
  </si>
  <si>
    <t>자가보증</t>
  </si>
  <si>
    <t>김경임</t>
  </si>
  <si>
    <t>20260106</t>
  </si>
  <si>
    <t xml:space="preserve">2021  </t>
  </si>
  <si>
    <t>일공공일 카부카</t>
  </si>
  <si>
    <t>303512200</t>
  </si>
  <si>
    <t>[{"code": "1", "title": "렌트"}]</t>
  </si>
  <si>
    <t>20260420</t>
  </si>
  <si>
    <t>20250421</t>
  </si>
  <si>
    <t>042577</t>
  </si>
  <si>
    <t>2026-01-06T11:47:19</t>
  </si>
  <si>
    <t>2026000350</t>
  </si>
  <si>
    <t>["TABLE", "IMAGE"]</t>
  </si>
  <si>
    <t>[{"path": "/carsdata/cars/inspection/41085806_I1.jpg", "type": "I1", "title": "자동차 기본정보&amp;종합상태\n사고 교환 수리 등 이력"}]</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</si>
  <si>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</si>
  <si>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20191017</t>
  </si>
  <si>
    <t>20260112</t>
  </si>
  <si>
    <t xml:space="preserve">2019  </t>
  </si>
  <si>
    <t>D4FE</t>
  </si>
  <si>
    <t>3035011685</t>
  </si>
  <si>
    <t>20260905</t>
  </si>
  <si>
    <t>20250906</t>
  </si>
  <si>
    <t>152653</t>
  </si>
  <si>
    <t>2026-01-12T12:00:03</t>
  </si>
  <si>
    <t>2025159060</t>
  </si>
  <si>
    <t>[{"type": {"code": "P062", "title": "쿼터 패널(우)"}, "statusTypes": [{"code": "W", "title": "판금/용접"}, {"code": "WC", "title": "용접,절단"}], "attributes": ["RANK_TWO"]}]</t>
  </si>
  <si>
    <t>[{"path": "/carsdata/cars/inspection/40151520_I1.jpg", "type": "I1", "title": "자동차 기본정보&amp;종합상태\n사고 교환 수리 등 이력"}]</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</si>
  <si>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</si>
  <si>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20210903</t>
  </si>
  <si>
    <t>G4KN</t>
  </si>
  <si>
    <t>3035010054</t>
  </si>
  <si>
    <t>20250902</t>
  </si>
  <si>
    <t>20240903</t>
  </si>
  <si>
    <t>456808</t>
  </si>
  <si>
    <t>2026-01-12T12:02:54</t>
  </si>
  <si>
    <t>2025095714</t>
  </si>
  <si>
    <t>[{"path": "/carsdata/cars/inspection/38557627_I1.jpg", "type": "I1", "title": "자동차 기본정보&amp;종합상태\n사고 교환 수리 등 이력"}]</t>
  </si>
  <si>
    <t>20171017</t>
  </si>
  <si>
    <t xml:space="preserve">2017  </t>
  </si>
  <si>
    <t>G4ND</t>
  </si>
  <si>
    <t>3035006375</t>
  </si>
  <si>
    <t>20241016</t>
  </si>
  <si>
    <t>20211017</t>
  </si>
  <si>
    <t>404532</t>
  </si>
  <si>
    <t>2026-01-12T12:01:44</t>
  </si>
  <si>
    <t>2023145702</t>
  </si>
  <si>
    <t>[{"type": {"code": "P011", "title": "후드"}, "statusTypes": [{"code": "W", "title": "판금/용접"}], "attributes": ["RANK_ONE"]}]</t>
  </si>
  <si>
    <t>[{"path": "/carsdata/cars/inspection/41218565_I1.jpg", "type": "I1", "title": "자동차 기본정보&amp;종합상태\n사고 교환 수리 등 이력"}, {"path": "/carsdata/cars/inspection/41218565_I2.jpg", "type": "I2", "title": "자동차 세부상태"}]</t>
  </si>
  <si>
    <t>20200708</t>
  </si>
  <si>
    <t>20251223</t>
  </si>
  <si>
    <t xml:space="preserve">2020  </t>
  </si>
  <si>
    <t>G4NM</t>
  </si>
  <si>
    <t>3035011966</t>
  </si>
  <si>
    <t>20260707</t>
  </si>
  <si>
    <t>20250708</t>
  </si>
  <si>
    <t>104739</t>
  </si>
  <si>
    <t>2025-12-23T14:40:21</t>
  </si>
  <si>
    <t>2025169737</t>
  </si>
  <si>
    <t>[{"type": {"code": "P021", "title": "프론트 휀더(좌)"}, "statusTypes": [{"code": "X", "title": "교환(교체)"}], "attributes": ["RANK_ONE"]}, {"type": {"code": "P061", "title": "쿼터 패널(좌)"}, "statusTypes": [{"code": "W", "title": "판금/용접"}, {"code": "WC", "title": "용접,절단"}], "attributes": ["RANK_TWO"]}]</t>
  </si>
  <si>
    <t>[{"path": "/carsdata/cars/inspection/40055487_I1.jpg", "type": "I1", "title": "자동차 기본정보&amp;종합상태\n사고 교환 수리 등 이력"}, {"path": "/carsdata/cars/inspection/40055487_I2.jpg", "type": "I2", "title": "자동차 세부상태"}]</t>
  </si>
  <si>
    <t>20221216</t>
  </si>
  <si>
    <t xml:space="preserve">2022  </t>
  </si>
  <si>
    <t>D4HB</t>
  </si>
  <si>
    <t>(주)일공공일 카부카</t>
  </si>
  <si>
    <t>3035009812</t>
  </si>
  <si>
    <t>20251215</t>
  </si>
  <si>
    <t>20231216</t>
  </si>
  <si>
    <t>095199</t>
  </si>
  <si>
    <t>2026-01-12T11:58:10</t>
  </si>
  <si>
    <t>2025088589</t>
  </si>
  <si>
    <t>[{"path": "/carsdata/cars/inspection/39345655_I1.jpg", "type": "I1", "title": "자동차 기본정보&amp;종합상태\n사고 교환 수리 등 이력"}]</t>
  </si>
  <si>
    <t>20170602</t>
  </si>
  <si>
    <t>G4NC</t>
  </si>
  <si>
    <t>3035008488</t>
  </si>
  <si>
    <t>20250601</t>
  </si>
  <si>
    <t>20230602</t>
  </si>
  <si>
    <t>142834</t>
  </si>
  <si>
    <t>2026-01-12T12:02:18</t>
  </si>
  <si>
    <t>2025040501</t>
  </si>
  <si>
    <t>[{"path": "/carsdata/cars/inspection/40952759_photoFront.jpg", "type": "M1", "title": "앞면"}, {"path": "/carsdata/cars/inspection/40952759_photoBack.jpg",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</si>
  <si>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</si>
  <si>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비금속(FRP 플라스틱)의 탈부착 가능 부품은 점검사항에서 제외되며 중고차 특성 상 부분적인 판금,도색 차량의 노후화에 따른 자연스러운 부식이 있을 수 있습니다.</t>
  </si>
  <si>
    <t>0.02</t>
  </si>
  <si>
    <t>20180123</t>
  </si>
  <si>
    <t>한국자동차기술인협회 플레이카 최현식</t>
  </si>
  <si>
    <t>20251112</t>
  </si>
  <si>
    <t xml:space="preserve">2018  </t>
  </si>
  <si>
    <t>G4KJ</t>
  </si>
  <si>
    <t>주식회사 설레임오토모티브</t>
  </si>
  <si>
    <t>4501036867</t>
  </si>
  <si>
    <t>20260122</t>
  </si>
  <si>
    <t>20240123</t>
  </si>
  <si>
    <t>2025-11-13T16:44:29</t>
  </si>
  <si>
    <t xml:space="preserve">20251549272 </t>
  </si>
  <si>
    <t>[{"path": "/carsdata/cars/inspection/41370416_photoFront.jpg", "type": "M1", "title": "앞면"}, {"path": "/carsdata/cars/inspection/41370416_photoBack.jpg", "type": "M2", "title": "뒷면"}]</t>
  </si>
  <si>
    <t>A(흠집)U(요철)T(손상) 보증제외 비금속또는 탈부탁 가능부품은 점검사항에서제외되며,중고차 특성상 부분적인 부식판금도색은 있을수있습니다.</t>
  </si>
  <si>
    <t>20210513</t>
  </si>
  <si>
    <t>김범석</t>
  </si>
  <si>
    <t>20260116</t>
  </si>
  <si>
    <t>엠시티모터스</t>
  </si>
  <si>
    <t>1306302387</t>
  </si>
  <si>
    <t>20270512</t>
  </si>
  <si>
    <t>20250513</t>
  </si>
  <si>
    <t>KMHR581ABNU327073</t>
  </si>
  <si>
    <t>2026-01-19T15:01:14</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</si>
  <si>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</si>
  <si>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20150403</t>
  </si>
  <si>
    <t>천안오토메카점 김국겸</t>
  </si>
  <si>
    <t>20260123</t>
  </si>
  <si>
    <t xml:space="preserve">2015  </t>
  </si>
  <si>
    <t>D4HA</t>
  </si>
  <si>
    <t>1500009909</t>
  </si>
  <si>
    <t>9</t>
  </si>
  <si>
    <t>20260402</t>
  </si>
  <si>
    <t>20240403</t>
  </si>
  <si>
    <t>2026-01-23T16:02:57</t>
  </si>
  <si>
    <t>2026827899</t>
  </si>
  <si>
    <t>[{"type": {"code": "P062", "title": "쿼터 패널(우)"}, "statusTypes": [{"code": "X", "title": "교환(교체)"}], "attributes": ["RANK_TWO"]}]</t>
  </si>
  <si>
    <t>FRP 또는 비금속 탈부착 가능 부품은 점검사항에서 제외되며, 중고차 특성상 부분적인 부식 판금,도색은 있을 수 있습니다.</t>
  </si>
  <si>
    <t>0.08</t>
  </si>
  <si>
    <t>20200609</t>
  </si>
  <si>
    <t>8</t>
  </si>
  <si>
    <t>허만준</t>
  </si>
  <si>
    <t>20251204</t>
  </si>
  <si>
    <t>G4KH</t>
  </si>
  <si>
    <t>0801301897</t>
  </si>
  <si>
    <t>20260608</t>
  </si>
  <si>
    <t>20240609</t>
  </si>
  <si>
    <t>2025-12-09T17:18:47</t>
  </si>
  <si>
    <t>2025126244</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</si>
  <si>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"6", "title": "미세누유"},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</si>
  <si>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0.10</t>
  </si>
  <si>
    <t>20140919</t>
  </si>
  <si>
    <t>14</t>
  </si>
  <si>
    <t>월드자동차서비스 김근보</t>
  </si>
  <si>
    <t>20251110</t>
  </si>
  <si>
    <t xml:space="preserve">2014  </t>
  </si>
  <si>
    <t>G4KK</t>
  </si>
  <si>
    <t>그차는 내차</t>
  </si>
  <si>
    <t>250409886</t>
  </si>
  <si>
    <t>20260918</t>
  </si>
  <si>
    <t>20240919</t>
  </si>
  <si>
    <t>2025-11-18T22:06:38</t>
  </si>
  <si>
    <t>20251118</t>
  </si>
  <si>
    <t>[{"type": {"code": "P062", "title": "쿼터 패널(우)"}, "statusTypes": [{"code": "W", "title": "판금/용접"}], "attributes": ["RANK_TWO"]}]</t>
  </si>
  <si>
    <t>20170203</t>
  </si>
  <si>
    <t>대광자동차정비(최병무)</t>
  </si>
  <si>
    <t>l6db</t>
  </si>
  <si>
    <t>2014071588</t>
  </si>
  <si>
    <t>20270331</t>
  </si>
  <si>
    <t>20250401</t>
  </si>
  <si>
    <t>2026-01-22T15:39:20</t>
  </si>
  <si>
    <t>2026008057</t>
  </si>
  <si>
    <t>[{"path": "/carsdata/cars/inspection/41369527_photoFront.jpg", "type": "M1", "title": "앞면"}, {"path": "/carsdata/cars/inspection/41369527_photoBack.jpg",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</si>
  <si>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</si>
  <si>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0.01</t>
  </si>
  <si>
    <t>20220323</t>
  </si>
  <si>
    <t>엠파크오토서비스(주) 유정길</t>
  </si>
  <si>
    <t>20260113</t>
  </si>
  <si>
    <t>G3LD</t>
  </si>
  <si>
    <t>26011310082</t>
  </si>
  <si>
    <t>20270322</t>
  </si>
  <si>
    <t>20260323</t>
  </si>
  <si>
    <t>2026-01-20T10:28:42</t>
  </si>
  <si>
    <t>2026005595</t>
  </si>
  <si>
    <t>황성국</t>
  </si>
  <si>
    <t>20201116</t>
  </si>
  <si>
    <t>6770650207</t>
  </si>
  <si>
    <t>3</t>
  </si>
  <si>
    <t>20261115</t>
  </si>
  <si>
    <t>20251116</t>
  </si>
  <si>
    <t>KMHR381ADMU24389</t>
  </si>
  <si>
    <t>2026-01-22T17:08:42</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</si>
  <si>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</si>
  <si>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FRP 또는 비금속 탈부착 가능 부품은 점검사항에서 제외되며, 중고차 특성상 부분적인 부식 판금 도색은 있을 수 있습니다.</t>
  </si>
  <si>
    <t>0.1</t>
  </si>
  <si>
    <t>20100915</t>
  </si>
  <si>
    <t>30</t>
  </si>
  <si>
    <t>대구 D장동 김민재</t>
  </si>
  <si>
    <t>20260119</t>
  </si>
  <si>
    <t xml:space="preserve">2010  </t>
  </si>
  <si>
    <t>1406019295</t>
  </si>
  <si>
    <t>20261017</t>
  </si>
  <si>
    <t>20241018</t>
  </si>
  <si>
    <t>2026-01-22T16:15:05</t>
  </si>
  <si>
    <t>262691003031</t>
  </si>
  <si>
    <t>[{"type": {"code": "P062", "title": "쿼터 패널(우)"}, "statusTypes": [{"code": "W", "title": "판금/용접"}], "attributes": ["RANK_TWO"]}, {"type": {"code": "P021", "title": "프론트 휀더(좌)"}, "statusTypes": [{"code": "X", "title": "교환(교체)"}], "attributes": ["RANK_ONE"]}, {"type": {"code": "P061", "title": "쿼터 패널(좌)"}, "statusTypes": [{"code": "W", "title": "판금/용접"}], "attributes": ["RANK_TWO"]}]</t>
  </si>
  <si>
    <t>20171101</t>
  </si>
  <si>
    <t>(사)한국자동차진단보증협회</t>
  </si>
  <si>
    <t>20260109</t>
  </si>
  <si>
    <t>큐</t>
  </si>
  <si>
    <t>9200019219</t>
  </si>
  <si>
    <t>20271031</t>
  </si>
  <si>
    <t>20251101</t>
  </si>
  <si>
    <t>2026-01-12T16:39:08</t>
  </si>
  <si>
    <t>2006002916</t>
  </si>
  <si>
    <t>[{"path": "/carsdata/cars/inspection/41313544_photoFront.jpg", "type": "M1", "title": "앞면"}, {"path": "/carsdata/cars/inspection/41313544_photoBack.jpg", "type": "M2", "title": "뒷면"}]</t>
  </si>
  <si>
    <t>비금속 또는 탈부착 가능 부품은 점검사항에서 제외되며 중고차 특성상 부분적인 판금, 도색, 부식은 있을 수 있습니다.</t>
  </si>
  <si>
    <t>0.2</t>
  </si>
  <si>
    <t>20220830</t>
  </si>
  <si>
    <t>한국자동차진단보증협회 에이엠지컴퍼니 김강희</t>
  </si>
  <si>
    <t>20260102</t>
  </si>
  <si>
    <t>롯데렌탈용인매매센터</t>
  </si>
  <si>
    <t>9690002444</t>
  </si>
  <si>
    <t>20260829</t>
  </si>
  <si>
    <t>20250830</t>
  </si>
  <si>
    <t>2026-01-09T11:04:51</t>
  </si>
  <si>
    <t>20261010269</t>
  </si>
  <si>
    <t>[{"type": {"code": "P022", "title": "프론트 휀더(우)"}, "statusTypes": [{"code": "W", "title": "판금/용접"}],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"W", "title": "판금/용접"}], "attributes": ["RANK_ONE"]}]</t>
  </si>
  <si>
    <t>20120920</t>
  </si>
  <si>
    <t>카존(주)양명열</t>
  </si>
  <si>
    <t>20251117</t>
  </si>
  <si>
    <t xml:space="preserve">2012  </t>
  </si>
  <si>
    <t>AUTO</t>
  </si>
  <si>
    <t>제이케이 자동차 박지안</t>
  </si>
  <si>
    <t>202279030</t>
  </si>
  <si>
    <t>20261128</t>
  </si>
  <si>
    <t>20241129</t>
  </si>
  <si>
    <t>2025-12-09T17:45:00</t>
  </si>
  <si>
    <t>[{"type": {"code": "P022", "title": "프론트 휀더(우)"}, "statusTypes": [{"code": "X", "title": "교환(교체)"}], "attributes": ["RANK_ONE"]}, {"type": {"code": "P051", "title": "라디에이터 서포트(볼트체결부품)"}, "statusTypes": [{"code": "X", "title": "교환(교체)"}], "attributes": ["RANK_ONE"]}]</t>
  </si>
  <si>
    <t>FRP 또는 비금속 탈부착 가능 부품은 점검사항에서 제외되며, 중고차 특성상 부분적인 부식 판금 도색 은 있을 수 있습니다.  기능상 영향없는 감각적 손해(소음/진동/냄새/외관/작동감각 등) 보증제외.</t>
  </si>
  <si>
    <t>20160822</t>
  </si>
  <si>
    <t>오토즈 안이찬</t>
  </si>
  <si>
    <t>오토플러스(청라지점)</t>
  </si>
  <si>
    <t>[{"code": "1", "title": "이행"}]</t>
  </si>
  <si>
    <t>2632100111</t>
  </si>
  <si>
    <t>20260821</t>
  </si>
  <si>
    <t>20240822</t>
  </si>
  <si>
    <t>2026-01-22T16:58:11</t>
  </si>
  <si>
    <t>2026002971</t>
  </si>
  <si>
    <t>[{"type": {"code": "P011", "title": "후드"}, "statusTypes": [{"code": "W", "title": "판금/용접"}], "attributes": ["RANK_ONE"]}, {"type": {"code": "P032", "title": "프론트 도어(우)"}, "statusTypes": [{"code": "X", "title": "교환(교체)"}], "attributes": ["RANK_ONE"]}]</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</si>
  <si>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</si>
  <si>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0.00</t>
  </si>
  <si>
    <t>20170328</t>
  </si>
  <si>
    <t>10</t>
  </si>
  <si>
    <t>오토커스 천안 하수동</t>
  </si>
  <si>
    <t>7210009589</t>
  </si>
  <si>
    <t>20270327</t>
  </si>
  <si>
    <t>20250328</t>
  </si>
  <si>
    <t>2026-01-19T13:44:31</t>
  </si>
  <si>
    <t>202601023381</t>
  </si>
  <si>
    <t>[{"type": {"code": "P034", "title": "리어 도어(우)"}, "statusTypes": [{"code": "X", "title": "교환(교체)"}], "attributes": ["RANK_ONE"]}, {"type": {"code": "P022", "title": "프론트 휀더(우)"}, "statusTypes": [{"code": "W", "title": "판금/용접"}], "attributes": ["RANK_ONE"]}, {"type": {"code": "P011", "title": "후드"},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"P021", "title": "프론트 휀더(좌)"}, "statusTypes": [{"code": "X", "title": "교환(교체)"}], "attributes": ["RANK_ONE"]}]</t>
  </si>
  <si>
    <t>[{"path": "/carsdata/cars/inspection/39193215_photoFront.jpg", "type": "M1", "title": "앞면"}, {"path": "/carsdata/cars/inspection/39193215_photoBack.jpg",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</si>
  <si>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</si>
  <si>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20240223</t>
  </si>
  <si>
    <t>플레이카 최현식</t>
  </si>
  <si>
    <t>20250311</t>
  </si>
  <si>
    <t xml:space="preserve">2024  </t>
  </si>
  <si>
    <t>G4KP</t>
  </si>
  <si>
    <t>[{"code": "2", "title": "미이행"}]</t>
  </si>
  <si>
    <t>4501025575</t>
  </si>
  <si>
    <t>20260222</t>
  </si>
  <si>
    <t>2025-03-11T17:27:57</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</si>
  <si>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"6", "title": "미세누유"}, "statusItemTypes": [{"code": "3", "title": "없음"}, {"code": "6", "title": "미세누유"}, {"code": "7", "title": "누유"}], "description": null}, {"type": {"code": "s005", "title": "실린더 헤드 / 개스킷"}, "statusType": {"code": "6", "title": "미세누유"},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</si>
  <si>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월드</t>
  </si>
  <si>
    <t>20130412</t>
  </si>
  <si>
    <t>13</t>
  </si>
  <si>
    <t>20250612</t>
  </si>
  <si>
    <t xml:space="preserve">2013  </t>
  </si>
  <si>
    <t>G6DJ</t>
  </si>
  <si>
    <t>CNK</t>
  </si>
  <si>
    <t>12121234</t>
  </si>
  <si>
    <t>20270411</t>
  </si>
  <si>
    <t>20250412</t>
  </si>
  <si>
    <t>073125</t>
  </si>
  <si>
    <t>2025-06-12T19:58:13</t>
  </si>
  <si>
    <t>4269</t>
  </si>
  <si>
    <t>[{"type": {"code": "P021", "title": "프론트 휀더(좌)"}, "statusTypes": [{"code": "X", "title": "교환(교체)"}], "attributes": ["RANK_ONE"]}, {"type": {"code": "P031", "title": "프론트 도어(좌)"}, "statusTypes": [{"code": "X", "title": "교환(교체)"}], "attributes": ["RANK_ONE"]}]</t>
  </si>
  <si>
    <t xml:space="preserve">    FRP또는 비금속 탈부착 가능 부품은 점검사항에서 제외되며 , 중고차 특성상 부분적인 부식, 판금 ,도색은 있을수 있습니다.</t>
  </si>
  <si>
    <t>20251213</t>
  </si>
  <si>
    <t>0801302015</t>
  </si>
  <si>
    <t>20260811</t>
  </si>
  <si>
    <t>20240812</t>
  </si>
  <si>
    <t>2025-12-19T13:43:51</t>
  </si>
  <si>
    <t>2025129653</t>
  </si>
  <si>
    <t>조수석 인사이드보조패널 미세충격, 부분판금도장</t>
  </si>
  <si>
    <t>20210827</t>
  </si>
  <si>
    <t>엠파크오토서비스(주)허브 오선호</t>
  </si>
  <si>
    <t>유원모터스 장광진</t>
  </si>
  <si>
    <t>2025161183</t>
  </si>
  <si>
    <t>4</t>
  </si>
  <si>
    <t>20260826</t>
  </si>
  <si>
    <t>20250827</t>
  </si>
  <si>
    <t>2025-12-18T13:47:39</t>
  </si>
  <si>
    <t>25121510047</t>
  </si>
  <si>
    <t>[{"type": {"code": "P022", "title": "프론트 휀더(우)"}, "statusTypes": [{"code": "X", "title": "교환(교체)"}], "attributes": ["RANK_ONE"]}]</t>
  </si>
  <si>
    <t>[{"path": "/carsdata/cars/inspection/41194026_photoFront.jpg", "type": "M1", "title": "앞면"}, {"path": "/carsdata/cars/inspection/41194026_photoBack.jpg", "type": "M2", "title": "뒷면"}]</t>
  </si>
  <si>
    <t>조수석 쿼터패널 부분판금도색</t>
  </si>
  <si>
    <t>20220922</t>
  </si>
  <si>
    <t>안산 워런티코리아 김형근</t>
  </si>
  <si>
    <t>20251203</t>
  </si>
  <si>
    <t>5501132901</t>
  </si>
  <si>
    <t>20260921</t>
  </si>
  <si>
    <t>20250922</t>
  </si>
  <si>
    <t>2025-12-18T17:07:30</t>
  </si>
  <si>
    <t>20251592072</t>
  </si>
  <si>
    <t>[{"type": {"code": "P034", "title": "리어 도어(우)"}, "statusTypes": [{"code": "X", "title": "교환(교체)"}], "attributes": ["RANK_ONE"]}, {"type": {"code": "P021", "title": "프론트 휀더(좌)"}, "statusTypes": [{"code": "X", "title": "교환(교체)"}], "attributes": ["RANK_ONE"]}]</t>
  </si>
  <si>
    <t>[{"path": "/carsdata/cars/inspection/41274924_photoFront.jpg", "type": "M1", "title": "앞면"}, {"path": "/carsdata/cars/inspection/41274924_photoBack.jpg", "type": "M2", "title": "뒷면"}]</t>
  </si>
  <si>
    <t>운전석 휀더 교정</t>
  </si>
  <si>
    <t>0.27</t>
  </si>
  <si>
    <t>20171212</t>
  </si>
  <si>
    <t>28</t>
  </si>
  <si>
    <t>엠파크오토서비스(주) 박기현</t>
  </si>
  <si>
    <t>20251229</t>
  </si>
  <si>
    <t>G4LD</t>
  </si>
  <si>
    <t>지티오토</t>
  </si>
  <si>
    <t>25122908045</t>
  </si>
  <si>
    <t>20271211</t>
  </si>
  <si>
    <t>20251212</t>
  </si>
  <si>
    <t>2026-01-07T11:46:04</t>
  </si>
  <si>
    <t>2025167459</t>
  </si>
  <si>
    <t>.</t>
  </si>
  <si>
    <t>20190320</t>
  </si>
  <si>
    <t>가양 오토서비스 성능장 조범준</t>
  </si>
  <si>
    <t>20251224</t>
  </si>
  <si>
    <t>G4FJ</t>
  </si>
  <si>
    <t>2500026770</t>
  </si>
  <si>
    <t>20270526</t>
  </si>
  <si>
    <t>20250527</t>
  </si>
  <si>
    <t>2026-01-02T17:28:32</t>
  </si>
  <si>
    <t>[{"type": {"code": "P034", "title": "리어 도어(우)"}, "statusTypes": [{"code": "X", "title": "교환(교체)"}], "attributes": ["RANK_ONE"]}]</t>
  </si>
  <si>
    <t>[{"path": "/carsdata/cars/inspection/41259286_photoFront.jpg", "type": "M1", "title": "앞면"}, {"path": "/carsdata/cars/inspection/41259286_photoBack.jpg",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</si>
  <si>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</si>
  <si>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보험이력있음/정비이력있음/비금속(FRP),크로스멤버 볼트체결방식 또는 탈부착 가능한 부품은 점검사항에서 제외되며 중고차 특성상 판금 도장 부식은 있을 수 있고 경미한 판금 및 도장은 표기치 않음《성능보험 신한EZ손해보험 접수처 : 1644-3933》 / 《보험료 입금계좌 : 신한 140-015-639182 (주)아이엠오토랩》</t>
  </si>
  <si>
    <t>20180416</t>
  </si>
  <si>
    <t>한국자동차진단보증협회 (주)아이엠오토랩 문정완</t>
  </si>
  <si>
    <t>9520005906</t>
  </si>
  <si>
    <t>7</t>
  </si>
  <si>
    <t>20260415</t>
  </si>
  <si>
    <t>20240416</t>
  </si>
  <si>
    <t>2025-12-31T11:18:34</t>
  </si>
  <si>
    <t>20251639361</t>
  </si>
  <si>
    <t>[{"path": "/carsdata/cars/inspection/41254301_photoPerform1.jpg", "type": "I1", "title": "자동차 기본정보&amp;종합상태\n사고 교환 수리 등 이력"}, {"path": "/carsdata/cars/inspection/41254301_photoPerform2.jpg", "type": "I2", "title": "자동차 세부상태"}]</t>
  </si>
  <si>
    <t>2025-12-30T15:01:01</t>
  </si>
  <si>
    <t>20251014877</t>
  </si>
  <si>
    <t>20211221</t>
  </si>
  <si>
    <t>L6DB</t>
  </si>
  <si>
    <t>9690002243</t>
  </si>
  <si>
    <t>20261220</t>
  </si>
  <si>
    <t>20251221</t>
  </si>
  <si>
    <t>2025-12-30T12:57:44</t>
  </si>
  <si>
    <t>20251638241</t>
  </si>
  <si>
    <t>[{"type": {"code": "P021", "title": "프론트 휀더(좌)"}, "statusTypes": [{"code": "X", "title": "교환(교체)"}], "attributes": ["RANK_ONE"]}, {"type": {"code": "P031", "title": "프론트 도어(좌)"}, "statusTypes": [{"code": "W", "title": "판금/용접"}], "attributes": ["RANK_ONE"]}]</t>
  </si>
  <si>
    <t>후드 탈착,도색//내차피해3회 (3,743,095원)//정비이력4건// 비금속(FRP 플라스틱)의 탈부착 가능 부품은 점검사항에서 제외되며 중고차 특성 상 부분적인 판금,도색 및 차량의 노후화에 따른 자연스러운 부식이 있을 수 있습니다.</t>
  </si>
  <si>
    <t>20220615</t>
  </si>
  <si>
    <t>한국자동차진단보증협회 네바퀴자동차 박용규</t>
  </si>
  <si>
    <t>오토프라임</t>
  </si>
  <si>
    <t>5010022570</t>
  </si>
  <si>
    <t>20260614</t>
  </si>
  <si>
    <t>20250615</t>
  </si>
  <si>
    <t>2025-12-30T18:25:41</t>
  </si>
  <si>
    <t xml:space="preserve"> 5010022570</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</si>
  <si>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</si>
  <si>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하부부식 / 중고차 특성상 부분적인 판금 도색은 있을 수 있습니다.</t>
  </si>
  <si>
    <t>20121211</t>
  </si>
  <si>
    <t>송이자동차 신주영</t>
  </si>
  <si>
    <t>20251127</t>
  </si>
  <si>
    <t>G4NE</t>
  </si>
  <si>
    <t>0225032831</t>
  </si>
  <si>
    <t>20261210</t>
  </si>
  <si>
    <t>20241211</t>
  </si>
  <si>
    <t>2025-12-10T17:57:02</t>
  </si>
  <si>
    <t>20251209</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</si>
  <si>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</si>
  <si>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 xml:space="preserve">중고차특성상부분판금도색부식있을수있습니다 </t>
  </si>
  <si>
    <t>0.04</t>
  </si>
  <si>
    <t>20150629</t>
  </si>
  <si>
    <t>인천차 황혜정</t>
  </si>
  <si>
    <t>20251208</t>
  </si>
  <si>
    <t>2008722268</t>
  </si>
  <si>
    <t>20260628</t>
  </si>
  <si>
    <t>20240629</t>
  </si>
  <si>
    <t>2025-12-09T15:14:38</t>
  </si>
  <si>
    <t xml:space="preserve"> 2025067408</t>
  </si>
  <si>
    <t>[{"type":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"X", "title": "교환(교체)"}], "attributes": ["RANK_ONE"]}]</t>
  </si>
  <si>
    <t>[{"path": "/carsdata/cars/inspection/41228721_photoFront.jpg", "type": "M1", "title": "앞면"}, {"path": "/carsdata/cars/inspection/41228721_photoBack.jpg", "type": "M2", "title": "뒷면"}]</t>
  </si>
  <si>
    <t>미확정보험이력있음/단순판금 및 도장여부(마스킹자국,도막차이,페인트방청흔적,내판 용접봉자국,판금 면처리불량,이색도장불량 등 내용)와 볼트체결 가능한 골격의 판결여부는 체크하지 않음. 		/보험이력(내차피해) 有 	有 1회(미확정)	/  [신한EZ손보:1644-3933]</t>
  </si>
  <si>
    <t>20220106</t>
  </si>
  <si>
    <t>한국자동차진단보증협회 평동자동차 한요한</t>
  </si>
  <si>
    <t>5200146720</t>
  </si>
  <si>
    <t>20260105</t>
  </si>
  <si>
    <t>2025-12-24T17:24:05</t>
  </si>
  <si>
    <t xml:space="preserve">20251630838 </t>
  </si>
  <si>
    <t>[{"path": "/carsdata/cars/inspection/41222823_photoFront.jpg", "type": "M1", "title": "앞면"}, {"path": "/carsdata/cars/inspection/41222823_photoBack.jpg", "type": "M2", "title": "뒷면"}]</t>
  </si>
  <si>
    <t>20191010</t>
  </si>
  <si>
    <t>(주)웨스트서울모터스 성능장</t>
  </si>
  <si>
    <t>20251222</t>
  </si>
  <si>
    <t>주식회사 손오공 강서지점</t>
  </si>
  <si>
    <t>5120831041</t>
  </si>
  <si>
    <t>20261009</t>
  </si>
  <si>
    <t>20251010</t>
  </si>
  <si>
    <t>2025-12-24T14:03:50</t>
  </si>
  <si>
    <t>251421685</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</si>
  <si>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</si>
  <si>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20201030</t>
  </si>
  <si>
    <t>(사)한국자동차공정정보협회 김민재</t>
  </si>
  <si>
    <t>20251216</t>
  </si>
  <si>
    <t>G4FT</t>
  </si>
  <si>
    <t>1406018634</t>
  </si>
  <si>
    <t>20261029</t>
  </si>
  <si>
    <t>20241030</t>
  </si>
  <si>
    <t>2025-12-19T20:44:53</t>
  </si>
  <si>
    <t>20251219</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</si>
  <si>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</si>
  <si>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20200511</t>
  </si>
  <si>
    <t>20251218</t>
  </si>
  <si>
    <t>2008722477</t>
  </si>
  <si>
    <t>20260510</t>
  </si>
  <si>
    <t>20240511</t>
  </si>
  <si>
    <t>2025-12-19T11:59:09</t>
  </si>
  <si>
    <t>2508722050</t>
  </si>
  <si>
    <t>[{"path": "/carsdata/cars/inspection/41189810_photoFront.jpg", "type": "M1", "title": "앞면"}, {"path": "/carsdata/cars/inspection/41189810_photoBack.jpg",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</si>
  <si>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</si>
  <si>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FRP 또는 비금속 탈부착 가능 부품은 점검사항에서 제외되며, 중고차 특성상 부분적인 부식 판금 도색은 있을 수 있습니다./국토부정비이력있음/(운)휀더 부분판금</t>
  </si>
  <si>
    <t>20160921</t>
  </si>
  <si>
    <t>(사)전국자동차성능평가협회</t>
  </si>
  <si>
    <t>0213088712</t>
  </si>
  <si>
    <t>20260920</t>
  </si>
  <si>
    <t>20240921</t>
  </si>
  <si>
    <t>2025-12-18T11:50:49</t>
  </si>
  <si>
    <t>2025232639</t>
  </si>
  <si>
    <t>20230510</t>
  </si>
  <si>
    <t>세기자동차정비(주) 경기지점 장세관</t>
  </si>
  <si>
    <t xml:space="preserve">2023  </t>
  </si>
  <si>
    <t>SI모터스</t>
  </si>
  <si>
    <t>8025010342</t>
  </si>
  <si>
    <t>20270509</t>
  </si>
  <si>
    <t>2025-12-16T11:06:28</t>
  </si>
  <si>
    <t>[{"path": "/carsdata/cars/inspection/41179282_photoFront.jpg", "type": "M1", "title": "앞면"}, {"path": "/carsdata/cars/inspection/41179282_photoBack.jpg", "type": "M2", "title": "뒷면"}]</t>
  </si>
  <si>
    <t>0.35</t>
  </si>
  <si>
    <t>20181001</t>
  </si>
  <si>
    <t>12</t>
  </si>
  <si>
    <t>포항일번지 신용환</t>
  </si>
  <si>
    <t>G6DL</t>
  </si>
  <si>
    <t>부릉부릉닷컴</t>
  </si>
  <si>
    <t>6511102273</t>
  </si>
  <si>
    <t>20260930</t>
  </si>
  <si>
    <t>20251001</t>
  </si>
  <si>
    <t>2025-12-17T10:06:19</t>
  </si>
  <si>
    <t>202512015945</t>
  </si>
  <si>
    <t>[{"type": {"code": "P041", "title": "트렁크 리드"}, "statusTypes": [{"code": "W", "title": "판금/용접"}], "attributes": ["RANK_ONE"]}, {"type": {"code": "P181", "title": "리어 패널"}, "statusTypes": [{"code": "X", "title": "교환(교체)"}], "attributes": ["RANK_A"]}]</t>
  </si>
  <si>
    <t>[{"path": "/carsdata/cars/inspection/41161416_photoFront.jpg", "type": "M1", "title": "앞면"}, {"path": "/carsdata/cars/inspection/41161416_photoBack.jpg", "type": "M2", "title": "뒷면"}]</t>
  </si>
  <si>
    <t>20220718</t>
  </si>
  <si>
    <t>한국자동차진단보증협회 (주)카뷰 조용우</t>
  </si>
  <si>
    <t>6756554031</t>
  </si>
  <si>
    <t>20260717</t>
  </si>
  <si>
    <t>2025-12-12T17:51:17</t>
  </si>
  <si>
    <t>2025227007</t>
  </si>
  <si>
    <t>비금속 또는 탈부착 가능 부품은 점검사항에서 제외되며 중고차 특성상 부분적인 판금, 도색, 부식은 있을 수 있습니다.후드 탈부착</t>
  </si>
  <si>
    <t>20220215</t>
  </si>
  <si>
    <t>G4FM</t>
  </si>
  <si>
    <t>9690002084</t>
  </si>
  <si>
    <t>20260214</t>
  </si>
  <si>
    <t>20250215</t>
  </si>
  <si>
    <t>2025-12-12T11:03:52</t>
  </si>
  <si>
    <t>20251607241</t>
  </si>
  <si>
    <t>[{"type": {"code": "P034", "title": "리어 도어(우)"}, "statusTypes": [{"code": "W", "title": "판금/용접"}], "attributes": ["RANK_ONE"]}, {"type": {"code": "P011", "title": "후드"}, "statusTypes": [{"code": "X", "title": "교환(교체)"}], "attributes": ["RANK_ONE"]}, {"type": {"code": "P041", "title": "트렁크 리드"}, "statusTypes": [{"code": "X", "title": "교환(교체)"}], "attributes": ["RANK_ONE"]}, {"type": {"code": "P062", "title": "쿼터 패널(우)"}, "statusTypes": [{"code": "W", "title": "판금/용접"}], "attributes": ["RANK_TWO"]}, {"type": {"code": "P082", "title": "사이드실 패널(우)"}, "statusTypes": [{"code": "W", "title": "판금/용접"}], "attributes": ["RANK_TWO"]}]</t>
  </si>
  <si>
    <t>[{"path": "/carsdata/cars/inspection/41149660_photoFront.jpg", "type": "M1", "title": "앞면"}, {"path": "/carsdata/cars/inspection/41149660_photoBack.jpg", "type": "M2", "title": "뒷면"}]</t>
  </si>
  <si>
    <t>20010718</t>
  </si>
  <si>
    <t>22</t>
  </si>
  <si>
    <t>엠체크</t>
  </si>
  <si>
    <t>20251211</t>
  </si>
  <si>
    <t xml:space="preserve">2001  </t>
  </si>
  <si>
    <t>g4ec</t>
  </si>
  <si>
    <t>1701000230</t>
  </si>
  <si>
    <t>20270717</t>
  </si>
  <si>
    <t>20250718</t>
  </si>
  <si>
    <t>249180</t>
  </si>
  <si>
    <t>2025-12-11T17:14:42</t>
  </si>
  <si>
    <t>202512003299</t>
  </si>
  <si>
    <t>[{"type": {"code": "P034", "title": "리어 도어(우)"}, "statusTypes": [{"code": "W", "title": "판금/용접"}], "attributes": ["RANK_ONE"]}]</t>
  </si>
  <si>
    <t>[{"path": "/carsdata/cars/inspection/41148444_I1.jpg", "type": "I1", "title": "자동차 기본정보&amp;종합상태\n사고 교환 수리 등 이력"}, {"path": "/carsdata/cars/inspection/41148444_I2.jpg", "type": "I2", "title": "자동차 세부상태"}, {"path": "/carsdata/cars/inspection/41148444_I5.jpg", "type": "I5", "title": "자동차 세부상태&amp;기타정보"}, {"path": "/carsdata/cars/inspection/41148444_I3.jpg", "type": "I3", "title": "유의사항"}]</t>
  </si>
  <si>
    <t>2025-12-11T15:01:55</t>
  </si>
  <si>
    <t>2025166568</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</si>
  <si>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</si>
  <si>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0.03</t>
  </si>
  <si>
    <t>20180402</t>
  </si>
  <si>
    <t>g6dl</t>
  </si>
  <si>
    <t>9200018251</t>
  </si>
  <si>
    <t>20270401</t>
  </si>
  <si>
    <t>20250402</t>
  </si>
  <si>
    <t>159724</t>
  </si>
  <si>
    <t>2025-12-12T17:00:13</t>
  </si>
  <si>
    <t>202511013286</t>
  </si>
  <si>
    <t>20230612</t>
  </si>
  <si>
    <t>20250828</t>
  </si>
  <si>
    <t>G4FP</t>
  </si>
  <si>
    <t>(주)태양모터스매매상사</t>
  </si>
  <si>
    <t>3122013018</t>
  </si>
  <si>
    <t>20270611</t>
  </si>
  <si>
    <t>2025-08-28T16:53:56</t>
  </si>
  <si>
    <t>202508059842</t>
  </si>
  <si>
    <t xml:space="preserve"> 리콜관련제조사 사전고지 예정, 부분판금도장, 운전석 인사이드패널 충격변형</t>
  </si>
  <si>
    <t>20230405</t>
  </si>
  <si>
    <t>엠파크오토서비스(주)허브 유정길</t>
  </si>
  <si>
    <t>20251017</t>
  </si>
  <si>
    <t xml:space="preserve">주식회사 시우자동차 권영인 </t>
  </si>
  <si>
    <t>2510171011</t>
  </si>
  <si>
    <t>20260424</t>
  </si>
  <si>
    <t>20250425</t>
  </si>
  <si>
    <t>2025-10-23T10:46:15</t>
  </si>
  <si>
    <t>2025131222</t>
  </si>
  <si>
    <t>[{"type": {"code": "P021", "title": "프론트 휀더(좌)"}, "statusTypes": [{"code": "X", "title": "교환(교체)"}], "attributes": ["RANK_ONE"]}]</t>
  </si>
  <si>
    <t>진단기 고장코드 없는 경우-소음(웜기어,MDPS,엔진내부부품)충격(미션,솔레노이드,밸브바디,토크컨버터)은 보험보상 제외</t>
  </si>
  <si>
    <t>20240328</t>
  </si>
  <si>
    <t>11</t>
  </si>
  <si>
    <t>(사)전국자동차성능평가협회 동대구차차차점 강재현</t>
  </si>
  <si>
    <t>20250731</t>
  </si>
  <si>
    <t>1001000531</t>
  </si>
  <si>
    <t>20260327</t>
  </si>
  <si>
    <t>KMHP581LHRU</t>
  </si>
  <si>
    <t>2025-08-01T17:16:48</t>
  </si>
  <si>
    <t>20200619</t>
  </si>
  <si>
    <t>강석근</t>
  </si>
  <si>
    <t>20250821</t>
  </si>
  <si>
    <t>베스트</t>
  </si>
  <si>
    <t>3818051500</t>
  </si>
  <si>
    <t>20260418</t>
  </si>
  <si>
    <t>20240419</t>
  </si>
  <si>
    <t>363712</t>
  </si>
  <si>
    <t>2026-01-07T14:10:18</t>
  </si>
  <si>
    <t>[{"type": {"code": "P033", "title": "리어 도어(좌)"}, "statusTypes": [{"code": "X", "title": "교환(교체)"}], "attributes": ["RANK_ONE"]}, {"type": {"code": "P041", "title": "트렁크 리드"}, "statusTypes": [{"code": "X", "title": "교환(교체)"}], "attributes": ["RANK_ONE"]}, {"type": {"code": "P031", "title": "프론트 도어(좌)"}, "statusTypes": [{"code": "X", "title": "교환(교체)"}], "attributes": ["RANK_ONE"]}, {"type": {"code": "P061", "title": "쿼터 패널(좌)"}, "statusTypes": [{"code": "X", "title": "교환(교체)"}], "attributes": ["RANK_TWO"]}]</t>
  </si>
  <si>
    <t>GET failed after retries: https://api.encar.com/v1/readside/inspection/vehicle/40815620
last_err=404 Client Error: Not Found for url: https://api.encar.com/v1/readside/inspection/vehicle/40815620</t>
  </si>
  <si>
    <t>GET failed after retries: https://api.encar.com/v1/readside/inspection/vehicle/40815862
last_err=404 Client Error: Not Found for url: https://api.encar.com/v1/readside/inspection/vehicle/40815862</t>
  </si>
  <si>
    <t>0.11</t>
  </si>
  <si>
    <t>20201015</t>
  </si>
  <si>
    <t>성서자동차검사정비 안갑수</t>
  </si>
  <si>
    <t>(주) 고려자동차</t>
  </si>
  <si>
    <t>2503505208</t>
  </si>
  <si>
    <t>20261014</t>
  </si>
  <si>
    <t>20251015</t>
  </si>
  <si>
    <t>072597</t>
  </si>
  <si>
    <t>2025-11-12T17:39:54</t>
  </si>
  <si>
    <t>[{"path": "/carsdata/cars/inspection/40943677_photoFront.jpg", "type": "M1", "title": "앞면"}, {"path": "/carsdata/cars/inspection/40943677_photoBack.jpg",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</si>
  <si>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</si>
  <si>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단순부분판금및도장있음</t>
  </si>
  <si>
    <t>20180614</t>
  </si>
  <si>
    <t>엠파크오토서비스(주) 최부영</t>
  </si>
  <si>
    <t>20251030</t>
  </si>
  <si>
    <t>25103008081</t>
  </si>
  <si>
    <t>20260830</t>
  </si>
  <si>
    <t>20240831</t>
  </si>
  <si>
    <t>2025-11-13T16:28:50</t>
  </si>
  <si>
    <t xml:space="preserve">2025136066 </t>
  </si>
  <si>
    <t>[{"path": "/carsdata/cars/inspection/40951140_photoFront.jpg", "type": "M1", "title": "앞면"}, {"path": "/carsdata/cars/inspection/40951140_photoBack.jpg", "type": "M2", "title": "뒷면"}]</t>
  </si>
  <si>
    <t>0.45</t>
  </si>
  <si>
    <t>20220216</t>
  </si>
  <si>
    <t>김종훈</t>
  </si>
  <si>
    <t>20251111</t>
  </si>
  <si>
    <t>G3LC</t>
  </si>
  <si>
    <t>케이모터스</t>
  </si>
  <si>
    <t>1003002753</t>
  </si>
  <si>
    <t>20260215</t>
  </si>
  <si>
    <t>2025-11-14T14:45:12</t>
  </si>
  <si>
    <t>[{"path": "/carsdata/cars/inspection/41289569_photoFront.jpg", "type": "M1", "title": "앞면"}, {"path": "/carsdata/cars/inspection/41289569_photoBack.jpg",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</si>
  <si>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"10", "title": "불량"},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</si>
  <si>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비금속 또는 탈부착 가능 부품은 점검사항에서 제외되며 중고차 특성상 부분적인 판금, 도색, 부식은 있을 수 있습니다./내차 피해 5회 (3,175,272원)/정비이력 3건/국토부 통합이력과 점검내용이 상이할 수 있습니다.(외판 FRP 재질 점검X 보증 제외)/운)쿼터 부분도장/엔진소음</t>
  </si>
  <si>
    <t>20110712</t>
  </si>
  <si>
    <t>1.0</t>
  </si>
  <si>
    <t>블루진단평가(주) 홍순범</t>
  </si>
  <si>
    <t>20261111</t>
  </si>
  <si>
    <t>G6DH</t>
  </si>
  <si>
    <t>주식회사 국민중고차 장영훈</t>
  </si>
  <si>
    <t>2527528614</t>
  </si>
  <si>
    <t>20270711</t>
  </si>
  <si>
    <t>20250712</t>
  </si>
  <si>
    <t>KMHGB41BBCU156006</t>
  </si>
  <si>
    <t>2026-01-06T14:48:22</t>
  </si>
  <si>
    <t>20251550015</t>
  </si>
  <si>
    <t>GET failed after retries: https://api.encar.com/v1/readside/inspection/vehicle/41296449
last_err=404 Client Error: Not Found for url: https://api.encar.com/v1/readside/inspection/vehicle/41296449</t>
  </si>
  <si>
    <t>[{"path": "/carsdata/cars/inspection/41295732_photoPerform1.jpg", "type": "I1", "title": "자동차 기본정보&amp;종합상태\n사고 교환 수리 등 이력"}, {"path": "/carsdata/cars/inspection/41295732_photoPerform2.jpg", "type": "I2", "title": "자동차 세부상태"}]</t>
  </si>
  <si>
    <t>2026-01-07T17:59:13</t>
  </si>
  <si>
    <t>2025237545</t>
  </si>
  <si>
    <t>[{"path": "/carsdata/cars/inspection/41285870_photoFront.jpg", "type": "M1", "title": "앞면"}, {"path": "/carsdata/cars/inspection/41285870_photoBack.jpg",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</si>
  <si>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</si>
  <si>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후드 교정</t>
  </si>
  <si>
    <t>20171211</t>
  </si>
  <si>
    <t>엠파크오토서비스(주) 오선호</t>
  </si>
  <si>
    <t>20251226</t>
  </si>
  <si>
    <t>D4FD</t>
  </si>
  <si>
    <t>25122610039</t>
  </si>
  <si>
    <t>5</t>
  </si>
  <si>
    <t>20271210</t>
  </si>
  <si>
    <t>2026-01-07T17:04:20</t>
  </si>
  <si>
    <t>2025166012</t>
  </si>
  <si>
    <t>[{"path": "/carsdata/cars/inspection/41279771_photoFront.jpg", "type": "M1", "title": "앞면"}, {"path": "/carsdata/cars/inspection/41279771_photoBack.jpg",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</si>
  <si>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{"code": "1", "title": "양호"},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</si>
  <si>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0.05</t>
  </si>
  <si>
    <t>20170706</t>
  </si>
  <si>
    <t>8025010817</t>
  </si>
  <si>
    <t>20270705</t>
  </si>
  <si>
    <t>20250706</t>
  </si>
  <si>
    <t>2026-01-08T13:24:01</t>
  </si>
  <si>
    <t>20251639085</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</si>
  <si>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{"code": "1", "title": "양호"},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</si>
  <si>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비금속 또는 탈부착 가능한 부품은 점검사항에서 제외되며 중고차 특성상 부분적인 판금도색은 있을 수 있습니다.</t>
  </si>
  <si>
    <t>20160930</t>
  </si>
  <si>
    <t>(주)신진카메이크 박이신</t>
  </si>
  <si>
    <t>D4CB</t>
  </si>
  <si>
    <t>MK모터스</t>
  </si>
  <si>
    <t>1125013002</t>
  </si>
  <si>
    <t>20250929</t>
  </si>
  <si>
    <t>20240930</t>
  </si>
  <si>
    <t>2025-09-11T10:32:29</t>
  </si>
  <si>
    <t>20251427995</t>
  </si>
  <si>
    <t>[{"path": "/carsdata/cars/inspection/40648835_photoFront.jpg", "type": "M1", "title": "앞면"}, {"path": "/carsdata/cars/inspection/40648835_photoBack.jpg", "type": "M2", "title": "뒷면"}]</t>
  </si>
  <si>
    <t>부분적인 판금, 도색 및 탈부착 가능한 골격부품 교환은 고지하지 않습니다.</t>
  </si>
  <si>
    <t>20130927</t>
  </si>
  <si>
    <t>청주 단지 성능장 정종수</t>
  </si>
  <si>
    <t>G4FA</t>
  </si>
  <si>
    <t>일이오카주식회사</t>
  </si>
  <si>
    <t>82108025306</t>
  </si>
  <si>
    <t>20250926</t>
  </si>
  <si>
    <t>20230927</t>
  </si>
  <si>
    <t>2025-09-29T18:02:15</t>
  </si>
  <si>
    <t>202509057482</t>
  </si>
  <si>
    <t>[{"type": {"code": "P022", "title": "프론트 휀더(우)"}, "statusTypes": [{"code": "X", "title": "교환(교체)"}], "attributes": ["RANK_ONE"]}, {"type": {"code": "P032", "title": "프론트 도어(우)"}, "statusTypes": [{"code": "X", "title": "교환(교체)"}], "attributes": ["RANK_ONE"]}, {"type": {"code": "P082", "title": "사이드실 패널(우)"}, "statusTypes": [{"code": "X", "title": "교환(교체)"}], "attributes": ["RANK_TWO"]}]</t>
  </si>
  <si>
    <t>[{"path": "/carsdata/cars/inspection/40681023_photoFront.jpg", "type": "M1", "title": "앞면"}, {"path": "/carsdata/cars/inspection/40681023_photoBack.jpg", "type": "M2", "title": "뒷면"}]</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</si>
  <si>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</si>
  <si>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정비이력- [바디]전 · 후패널, [바디]전 · 후펜더(좌/우)/ 내차피해 1회 (743,650원)/     비금속 또는 탈부착 가능한 부품은 점검사항에서 제외되며 중고차 특성상 부분적인 판금도색은 있을 수 있습니다.    외판 및 주요골격부위의 비금속재질(FRP)은 교환또는 판금용접 확인불가 및 보증제외     FRP/크로스멤버 볼트체결방식 점검제외</t>
  </si>
  <si>
    <t>스마트진단 소현수</t>
  </si>
  <si>
    <t>20250925</t>
  </si>
  <si>
    <t>명문자동차 양웅</t>
  </si>
  <si>
    <t>9801020917</t>
  </si>
  <si>
    <t>20250216</t>
  </si>
  <si>
    <t>2025-10-10T17:40:38</t>
  </si>
  <si>
    <t>20251475458</t>
  </si>
  <si>
    <t>20160922</t>
  </si>
  <si>
    <t>1.3</t>
  </si>
  <si>
    <t>(사)전국자동차성능평가협회(뉴) 박상우</t>
  </si>
  <si>
    <t>20250912</t>
  </si>
  <si>
    <t>1201026791</t>
  </si>
  <si>
    <t>20240922</t>
  </si>
  <si>
    <t>2025-09-15T11:35:54</t>
  </si>
  <si>
    <t>2025091222</t>
  </si>
  <si>
    <t>[{"type": {"code": "P022", "title": "프론트 휀더(우)"}, "statusTypes": [{"code": "X", "title": "교환(교체)"}], "attributes": ["RANK_ONE"]}, {"type": {"code": "P011", "title": "후드"}, "statusTypes": [{"code": "X", "title": "교환(교체)"}], "attributes": ["RANK_ONE"]}, {"type": {"code": "P041", "title": "트렁크 리드"}, "statusTypes": [{"code": "X", "title": "교환(교체)"}], "attributes": ["RANK_ONE"]}, {"type": {"code": "P051", "title": "라디에이터 서포트(볼트체결부품)"}, "statusTypes": [{"code": "X", "title": "교환(교체)"}], "attributes": ["RANK_ONE"]}]</t>
  </si>
  <si>
    <t>윤동혁</t>
  </si>
  <si>
    <t>20140211</t>
  </si>
  <si>
    <t>20250324</t>
  </si>
  <si>
    <t>(사)전국자동차진단평가협회</t>
  </si>
  <si>
    <t>6517104537</t>
  </si>
  <si>
    <t>20260210</t>
  </si>
  <si>
    <t>20240211</t>
  </si>
  <si>
    <t>2025-03-24T10:27:02</t>
  </si>
  <si>
    <t>[{"type": {"code": "P111", "title": "인사이드 패널(좌)"}, "statusTypes": [{"code": "W", "title": "판금/용접"}], "attributes": ["RANK_A"]}, {"type": {"code": "P121", "title": "프론트 사이드 멤버(좌)"}, "statusTypes": [{"code": "W", "title": "판금/용접"}], "attributes": ["RANK_B"]}, {"type": {"code": "P011", "title": "후드"}, "statusTypes": [{"code": "X", "title": "교환(교체)"}], "attributes": ["RANK_ONE"]}, {"type": {"code": "P021", "title": "프론트 휀더(좌)"}, "statusTypes": [{"code": "X", "title": "교환(교체)"}], "attributes": ["RANK_ONE"]}, {"type": {"code": "P091", "title": "프론트 패널"}, "statusTypes": [{"code": "W", "title": "판금/용접"}], "attributes": ["RANK_A"]}]</t>
  </si>
  <si>
    <t>20150109</t>
  </si>
  <si>
    <t>라성센터 정현도</t>
  </si>
  <si>
    <t>20250620</t>
  </si>
  <si>
    <t>3007044279</t>
  </si>
  <si>
    <t>20270108</t>
  </si>
  <si>
    <t>20250109</t>
  </si>
  <si>
    <t>2025-06-26T16:54:21</t>
  </si>
  <si>
    <t xml:space="preserve">	20251283431</t>
  </si>
  <si>
    <t>[{"path": "/carsdata/cars/inspection/40006270_I1.jpg", "type": "I1", "title": "자동차 기본정보&amp;종합상태\n사고 교환 수리 등 이력"}, {"path": "/carsdata/cars/inspection/40006270_I2.jpg", "type": "I2", "title": "자동차 세부상태"}, {"path": "/carsdata/cars/inspection/40006270_I5.jpg", "type": "I5", "title": "자동차 세부상태&amp;기타정보"}, {"path": "/carsdata/cars/inspection/40006270_I3.jpg", "type": "I3", "title": "유의사항"}]</t>
  </si>
  <si>
    <t>2025-07-04T14:01:13</t>
  </si>
  <si>
    <t>1804002833</t>
  </si>
  <si>
    <t>[{"path": "/carsdata/cars/inspection/40730683_photoFront.jpg", "type": "M1", "title": "앞면"}, {"path": "/carsdata/cars/inspection/40730683_photoBack.jpg", "type": "M2", "title": "뒷면"}]</t>
  </si>
  <si>
    <t>20180612</t>
  </si>
  <si>
    <t>(주)디몰성능센터 김대원</t>
  </si>
  <si>
    <t>2510013207</t>
  </si>
  <si>
    <t>20260611</t>
  </si>
  <si>
    <t>20240612</t>
  </si>
  <si>
    <t>2025-10-16T14:25:11</t>
  </si>
  <si>
    <t>20251016</t>
  </si>
  <si>
    <t>20220617</t>
  </si>
  <si>
    <t>오토컬렉션 플레이카 최현식</t>
  </si>
  <si>
    <t>4501036476</t>
  </si>
  <si>
    <t>20260719</t>
  </si>
  <si>
    <t>20250720</t>
  </si>
  <si>
    <t>2025-11-11T19:33:42</t>
  </si>
  <si>
    <t xml:space="preserve">20251535729 </t>
  </si>
  <si>
    <t>GET failed after retries: https://api.encar.com/v1/readside/inspection/vehicle/40854743
last_err=404 Client Error: Not Found for url: https://api.encar.com/v1/readside/inspection/vehicle/40854743</t>
  </si>
  <si>
    <t>GET failed after retries: https://api.encar.com/v1/readside/inspection/vehicle/40851329
last_err=404 Client Error: Not Found for url: https://api.encar.com/v1/readside/inspection/vehicle/40851329</t>
  </si>
  <si>
    <t>조수석 프론트휀더 /후드 탈부착</t>
  </si>
  <si>
    <t>20151113</t>
  </si>
  <si>
    <t>엠파크오토서비스(주) 이지오</t>
  </si>
  <si>
    <t>20251028</t>
  </si>
  <si>
    <t>뉴 AK모터스자동차매매상사</t>
  </si>
  <si>
    <t>25102808054</t>
  </si>
  <si>
    <t>20231222</t>
  </si>
  <si>
    <t>2025-11-03T15:40:13</t>
  </si>
  <si>
    <t>[{"type": {"code": "P033", "title": "리어 도어(좌)"}, "statusTypes": [{"code": "X", "title": "교환(교체)"}], "attributes": ["RANK_ONE"]}]</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</si>
  <si>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{"code": "2", "title": "적정"},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{"code": "1", "title": "양호"},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{"code": "1", "title": "양호"},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</si>
  <si>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비금속(FRP 플라스틱)의 탈부착 가능 부품은 점검사항에서 제외되며 중고차 특성 상 부분적인 판금,도색 차량의 노후화에 따른 자연스러운 부식이 있을 수 있습니다. 배출가스 미측정.</t>
  </si>
  <si>
    <t>20150624</t>
  </si>
  <si>
    <t>한국자동차진단보증협회 강남 진단평가 성능장 박철승</t>
  </si>
  <si>
    <t>3002029341</t>
  </si>
  <si>
    <t>20270623</t>
  </si>
  <si>
    <t>20250624</t>
  </si>
  <si>
    <t>2025-11-13T09:36:11</t>
  </si>
  <si>
    <t>2025150798</t>
  </si>
  <si>
    <t>GET failed after retries: https://api.encar.com/v1/readside/inspection/vehicle/40826466
last_err=404 Client Error: Not Found for url: https://api.encar.com/v1/readside/inspection/vehicle/40826466</t>
  </si>
  <si>
    <t>GET failed after retries: https://api.encar.com/v1/readside/inspection/vehicle/40826410
last_err=404 Client Error: Not Found for url: https://api.encar.com/v1/readside/inspection/vehicle/40826410</t>
  </si>
  <si>
    <t>GET failed after retries: https://api.encar.com/v1/readside/inspection/vehicle/40826273
last_err=404 Client Error: Not Found for url: https://api.encar.com/v1/readside/inspection/vehicle/40826273</t>
  </si>
  <si>
    <t>GET failed after retries: https://api.encar.com/v1/readside/inspection/vehicle/40826207
last_err=404 Client Error: Not Found for url: https://api.encar.com/v1/readside/inspection/vehicle/40826207</t>
  </si>
  <si>
    <t>GET failed after retries: https://api.encar.com/v1/readside/inspection/vehicle/40826187
last_err=404 Client Error: Not Found for url: https://api.encar.com/v1/readside/inspection/vehicle/40826187</t>
  </si>
  <si>
    <t>20230803</t>
  </si>
  <si>
    <t>대전오토월드자동차공업사</t>
  </si>
  <si>
    <t>20251029</t>
  </si>
  <si>
    <t xml:space="preserve">	G4FP</t>
  </si>
  <si>
    <t>2532085</t>
  </si>
  <si>
    <t>20260802</t>
  </si>
  <si>
    <t>20250803</t>
  </si>
  <si>
    <t>2025-10-29T16:23:23</t>
  </si>
  <si>
    <t>202510271013039</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</si>
  <si>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"3", "title": "없음"},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"s0202", "title": "수동변속기(M/T)"}, "statusType": null, "statusItemTypes": [], "description": null, "children": [{"type": {"code": "s016", "title": "오일누유"}, "statusType": null, "statusItemTypes": [{"code": "3", "title": "없음"}, {"code": "4", "title": "미세누수"}, {"code": "5", "title": "누수"}], "description": null}, {"type": {"code": "s017", "title": "기어변속장치"}, "statusType": null, "statusItemTypes": [{"code": "1", "title": "양호"}, {"code": "10", "title": "불량"}], "description": null}, {"type": {"code": "s018", "title": "오일유량 및 상태"}, "statusType": null, "statusItemTypes": [{"code": "2", "title": "적정"}, {"code": "8", "title": "부족"}, {"code": "9", "title": "과다"}], "description": null}, {"type": {"code": "s019", "title": "작동상태(공회전)"}, "statusType": null,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null,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"S08", "title": "고전원전기장치"}, "price": null, "children": [{"type": {"code": "s040", "title": "충전구 절연 상태"}, "statusType": {"code": "1", "title": "양호"}, "statusItemTypes": [{"code": "1", "title": "양호"}, {"code": "10", "title": "불량"}], "description": null, "children": []}, {"type": {"code": "s041", "title": "구동축전지 격리 상태"}, "statusType": {"code": "1", "title": "양호"}, "statusItemTypes": [{"code": "1", "title": "양호"}, {"code": "10", "title": "불량"}], "description": null, "children": []}, {"type": {"code": "s042", "title": "고전원전기배선 상태(접속단자, 피복, 보호기구)"},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</si>
  <si>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FRP재질또는비금속 탈부착가능한 부품은 점검사항에서 제외되며,중고차특성상 부분적인 판금도장은 있을수 있습니다.정비수리 이력있음.4(빽도어)판금도색있음</t>
  </si>
  <si>
    <t>20240806</t>
  </si>
  <si>
    <t>평택 남부성능장 김대경</t>
  </si>
  <si>
    <t>20251023</t>
  </si>
  <si>
    <t>0724002849</t>
  </si>
  <si>
    <t>20280805</t>
  </si>
  <si>
    <t>2025-10-27T15:58:45</t>
  </si>
  <si>
    <t>20251509483</t>
  </si>
  <si>
    <t>[{"path": "/carsdata/cars/inspection/41091081_photoFront.jpg", "type": "M1", "title": "앞면"}, {"path": "/carsdata/cars/inspection/41091081_photoBack.jpg", "type": "M2", "title": "뒷면"}]</t>
  </si>
  <si>
    <t>20211214</t>
  </si>
  <si>
    <t>세기자동차정비(주) 마트지점 곽미영</t>
  </si>
  <si>
    <t>D4HE</t>
  </si>
  <si>
    <t>7825008095</t>
  </si>
  <si>
    <t>20261213</t>
  </si>
  <si>
    <t>20251214</t>
  </si>
  <si>
    <t>2025-12-03T12:30:02</t>
  </si>
  <si>
    <t>20251579208</t>
  </si>
  <si>
    <t>[{"type": {"code": "S00", "title": "자기진단"}, "price": null, "children": [{"type": {"code": "s001", "title": "원동기"}, "statusType": {"code": "1", "title": "양호"}, "statusItemTypes": [{"code": "1", "title": "양호"}, {"code": "10", "title": "불량"}], "description": null, "children": []}, {"type": {"code": "s002", "title": "변속기"}, "statusType": {"code": "1", "title": "양호"}, "statusItemTypes": [{"code": "1", "title": "양호"}, {"code": "10", "title": "불량"}], "description": null, "children": []}]}, {"type": {"code": "S01", "title": "원동기"}, "price": null, "children": [{"type": {"code": "s003", "title": "작동상태(공회전)"}, "statusType": {"code": "1", "title": "양호"}, "statusItemTypes": [{"code": "1", "title": "양호"}, {"code": "10", "title": "불량"}], "description": null, "children": []}, {"type": {"code": "s0102", "title": "오일누유"}, "statusType": null, "statusItemTypes": [], "description": null, "children": [{"type": {"code": "s004", "title": "실린더 커버(로커암 커버)"}, "statusType": {"code": "3", "title": "없음"}, "statusItemTypes": [{"code": "3", "title": "없음"}, {"code": "6", "title": "미세누유"}, {"code": "7", "title": "누유"}], "description": null}, {"type": {"code": "s005", "title": "실린더 헤드 / 개스킷"}, "statusType": {"code": "3", "title": "없음"}, "statusItemTypes": [{"code": "3", "title": "없음"}, {"code": "6", "title": "미세누유"}, {"code": "7", "title": "누유"}], "description": null}, {"type": {"code": "s006", "title": "실린더 블록 / 오일팬"}, "statusType": {"code": "6", "title": "미세누유"}, "statusItemTypes": [{"code": "3", "title": "없음"}, {"code": "6", "title": "미세누유"}, {"code": "7", "title": "누유"}], "description": null}]}, {"type": {"code": "s007", "title": "오일 유량"}, "statusType": {"code": "2", "title": "적정"}, "statusItemTypes": [{"code": "2", "title": "적정"}, {"code": "8", "title": "부족"}], "description": null, "children": []}, {"type": {"code": "s0104", "title": "냉각수누수"}, "statusType": null, "statusItemTypes": [], "description": null, "children": [{"type": {"code": "s008", "title": "실린더 헤드 / 개스킷"}, "statusType": {"code": "3", "title": "없음"}, "statusItemTypes": [{"code": "3", "title": "없음"}, {"code": "4", "title": "미세누수"}, {"code": "5", "title": "누수"}], "description": null}, {"type": {"code": "s009", "title": "워터펌프"}, "statusType": {"code": "3", "title": "없음"}, "statusItemTypes": [{"code": "3", "title": "없음"}, {"code": "4", "title": "미세누수"}, {"code": "5", "title": "누수"}], "description": null}, {"type": {"code": "s010", "title": "라디에이터"}, "statusType": {"code": "3", "title": "없음"}, "statusItemTypes": [{"code": "3", "title": "없음"}, {"code": "4", "title": "미세누수"}, {"code": "5", "title": "누수"}], "description": null}, {"type": {"code": "s011", "title": "냉각수 수량"}, "statusType": {"code": "2", "title": "적정"}, "statusItemTypes": [{"code": "2", "title": "적정"}, {"code": "8", "title": "부족"}], "description": null}]}, {"type": {"code": "s012", "title": "커먼레일"}, "statusType": {"code": "1", "title": "양호"}, "statusItemTypes": [{"code": "1", "title": "양호"}, {"code": "10", "title": "불량"}], "description": null, "children": []}]}, {"type": {"code": "S02", "title": "변속기"}, "price": null, "children": [{"type": {"code": "s0201", "title": "자동변속기(A/T)"}, "statusType": null, "statusItemTypes": [], "description": null, "children": [{"type": {"code": "s013", "title": "오일누유"}, "statusType": {"code": "3", "title": "없음"}, "statusItemTypes": [{"code": "3", "title": "없음"}, {"code": "4", "title": "미세누수"}, {"code": "5", "title": "누수"}], "description": null}, {"type": {"code": "s014", "title": "오일유량 및 상태"}, "statusType": null, "statusItemTypes": [{"code": "2", "title": "적정"}, {"code": "8", "title": "부족"}, {"code": "9", "title": "과다"}], "description": null}, {"type": {"code": "s015", "title": "작동상태(공회전)"}, "statusType": {"code": "1", "title": "양호"}, "statusItemTypes": [{"code": "1", "title": "양호"}, {"code": "10", "title": "불량"}], "description": null}]}]}, {"type": {"code": "S03", "title": "동력전달"}, "price": null, "children": [{"type": {"code": "s020", "title": "클러치 어셈블리"}, "statusType": null, "statusItemTypes": [{"code": "1", "title": "양호"}, {"code": "10", "title": "불량"}], "description": null, "children": []}, {"type": {"code": "s021", "title": "등속조인트"}, "statusType": {"code": "1", "title": "양호"}, "statusItemTypes": [{"code": "1", "title": "양호"}, {"code": "10", "title": "불량"}], "description": null, "children": []}, {"type": {"code": "s022", "title": "추친축 및 베어링"}, "statusType": null, "statusItemTypes": [{"code": "1", "title": "양호"}, {"code": "10", "title": "불량"}], "description": null, "children": []}, {"type": {"code": "s037", "title": "디피렌셜 기어"}, "statusType": {"code": "1", "title": "양호"}, "statusItemTypes": [{"code": "1", "title": "양호"}, {"code": "10", "title": "불량"}], "description": null, "children": []}]}, {"type": {"code": "S04", "title": "조향"}, "price": null, "children": [{"type": {"code": "s023", "title": "동력조향 작동 오일 누유"}, "statusType": {"code": "3", "title": "없음"}, "statusItemTypes": [{"code": "3", "title": "없음"}, {"code": "4", "title": "미세누수"}, {"code": "5", "title": "누수"}], "description": null, "children": []}, {"type": {"code": "S0402", "title": "작동상태"}, "statusType": null, "statusItemTypes": [], "description": null, "children": [{"type": {"code": "s025", "title": "스티어링 펌프"}, "statusType": null, "statusItemTypes": [{"code": "1", "title": "양호"}, {"code": "10", "title": "불량"}], "description": null}, {"type": {"code": "s024", "title": "스티어링 기어(MDPS포함)"}, "statusType": {"code": "1", "title": "양호"}, "statusItemTypes": [{"code": "1", "title": "양호"}, {"code": "10", "title": "불량"}], "description": null}, {"type": {"code": "s038", "title": "스티어링 조인트"}, "statusType": {"code": "1", "title": "양호"}, "statusItemTypes": [{"code": "1", "title": "양호"}, {"code": "10", "title": "불량"}], "description": null}, {"type": {"code": "s039", "title": "파워고압호스"}, "statusType": null, "statusItemTypes": [{"code": "1", "title": "양호"}, {"code": "10", "title": "불량"}], "description": null}, {"type": {"code": "s026", "title": "타이로드엔드 및 볼 조인트"}, "statusType": {"code": "1", "title": "양호"}, "statusItemTypes": [{"code": "1", "title": "양호"}, {"code": "10", "title": "불량"}], "description": null}]}]}, {"type": {"code": "S05", "title": "제동"}, "price": null, "children": [{"type": {"code": "s027", "title": "브레이크 마스터 실린더오일 누유"}, "statusType": {"code": "3", "title": "없음"}, "statusItemTypes": [{"code": "3", "title": "없음"}, {"code": "4", "title": "미세누수"}, {"code": "5", "title": "누수"}], "description": null, "children": []}, {"type": {"code": "s028", "title": "브레이크 오일 누유"}, "statusType": {"code": "3", "title": "없음"}, "statusItemTypes": [{"code": "3", "title": "없음"}, {"code": "4", "title": "미세누수"}, {"code": "5", "title": "누수"}], "description": null, "children": []}, {"type": {"code": "s029", "title": "배력장치 상태"}, "statusType": {"code": "1", "title": "양호"}, "statusItemTypes": [{"code": "1", "title": "양호"}, {"code": "10", "title": "불량"}], "description": null, "children": []}]}, {"type": {"code": "S06", "title": "전기"}, "price": null, "children": [{"type": {"code": "s030", "title": "발전기 출력"}, "statusType": {"code": "1", "title": "양호"}, "statusItemTypes": [{"code": "1", "title": "양호"}, {"code": "10", "title": "불량"}], "description": null, "children": []}, {"type": {"code": "s031", "title": "시동 모터"}, "statusType": {"code": "1", "title": "양호"}, "statusItemTypes": [{"code": "1", "title": "양호"}, {"code": "10", "title": "불량"}], "description": null, "children": []}, {"type": {"code": "s032", "title": "와이퍼 모터 기능"}, "statusType": {"code": "1", "title": "양호"}, "statusItemTypes": [{"code": "1", "title": "양호"}, {"code": "10", "title": "불량"}], "description": null, "children": []}, {"type": {"code": "s033", "title": "실내송풍 모터"}, "statusType": {"code": "1", "title": "양호"}, "statusItemTypes": [{"code": "1", "title": "양호"}, {"code": "10", "title": "불량"}], "description": null, "children": []}, {"type": {"code": "s034", "title": "라디에이터 팬 모터"}, "statusType": {"code": "1", "title": "양호"}, "statusItemTypes": [{"code": "1", "title": "양호"}, {"code": "10", "title": "불량"}], "description": null, "children": []}, {"type": {"code": "s035", "title": "윈도우 모터"}, "statusType": {"code": "1", "title": "양호"}, "statusItemTypes": [{"code": "1", "title": "양호"}, {"code": "10", "title": "불량"}], "description": null, "children": []}]}, {"type": {"code": "S07", "title": "연료"}, "price": null, "children": [{"type": {"code": "s036", "title": "연료누출(LP가스포함)"}, "statusType": {"code": "3", "title": "없음"}, "statusItemTypes": [{"code": "3", "title": "없음"}, {"code": "11", "title": "있음"}], "description": null, "children": []}]}]</t>
  </si>
  <si>
    <t>한국지엠동대구서비스</t>
  </si>
  <si>
    <t>20160825</t>
  </si>
  <si>
    <t>20251120</t>
  </si>
  <si>
    <t>D4FB</t>
  </si>
  <si>
    <t>8005007603</t>
  </si>
  <si>
    <t>20270824</t>
  </si>
  <si>
    <t>20250825</t>
  </si>
  <si>
    <t>2025-11-27T18:06:34</t>
  </si>
  <si>
    <t xml:space="preserve"> 2025120068</t>
  </si>
  <si>
    <t>[{"type": {"code": "P011", "title": "후드"}, "statusTypes": [{"code": "X", "title": "교환(교체)"}], "attributes": ["RANK_ONE"]}, {"type": {"code": "P021", "title": "프론트 휀더(좌)"}, "statusTypes": [{"code": "X", "title": "교환(교체)"}], "attributes": ["RANK_ONE"]}, {"type": {"code": "P031", "title": "프론트 도어(좌)"}, "statusTypes": [{"code": "X", "title": "교환(교체)"}], "attributes": ["RANK_ONE"]}]</t>
  </si>
  <si>
    <t>meta.userId</t>
  </si>
  <si>
    <t>user.companyList</t>
  </si>
  <si>
    <t>user.compensateDealer.safeSaleForDaysOnThisYear</t>
  </si>
  <si>
    <t>user.compensateDealer.safeSaleForYear</t>
  </si>
  <si>
    <t>user.compensateDealer.safeSaleStartDate</t>
  </si>
  <si>
    <t>user.joinedDatetime</t>
  </si>
  <si>
    <t>user.latestModifiedDatetime</t>
  </si>
  <si>
    <t>user.nickname</t>
  </si>
  <si>
    <t>user.salesStatus.currentlyOnSales</t>
  </si>
  <si>
    <t>user.salesStatus.extendWarrantSales.domestic</t>
  </si>
  <si>
    <t>user.salesStatus.extendWarrantSales.imported</t>
  </si>
  <si>
    <t>user.salesStatus.recentYearSales</t>
  </si>
  <si>
    <t>user.salesStatus.totalSales</t>
  </si>
  <si>
    <t>user.userConfig.certificateType</t>
  </si>
  <si>
    <t>user.userConfig.certification</t>
  </si>
  <si>
    <t>user.userConfig.escrow</t>
  </si>
  <si>
    <t>user.userConfig.hasPassword</t>
  </si>
  <si>
    <t>user.userConfig.loanPartner</t>
  </si>
  <si>
    <t>user.userConfig.openSellerInformation</t>
  </si>
  <si>
    <t>user.userConfig.receiveEmail</t>
  </si>
  <si>
    <t>user.userConfig.receiveSms</t>
  </si>
  <si>
    <t>user.userConfig.useRelaxNumber</t>
  </si>
  <si>
    <t>user.userId</t>
  </si>
  <si>
    <t>user.userName</t>
  </si>
  <si>
    <t>user.userProfile.contactableTime</t>
  </si>
  <si>
    <t>user.userProfile.extendWarrantDealerLevel.domestic</t>
  </si>
  <si>
    <t>user.userProfile.extendWarrantDealerLevel.imported</t>
  </si>
  <si>
    <t>user.userProfile.profileImagePath</t>
  </si>
  <si>
    <t>user.userProfile.useCompanyName</t>
  </si>
  <si>
    <t>user.userProfile.useProfileImage</t>
  </si>
  <si>
    <t>user.userType</t>
  </si>
  <si>
    <t>[{"companyType":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t>
  </si>
  <si>
    <t>2021-01-01</t>
  </si>
  <si>
    <t>2019-11-26T12:11:00</t>
  </si>
  <si>
    <t>2025-08-11T13:30:07</t>
  </si>
  <si>
    <t>godys</t>
  </si>
  <si>
    <t>NONE</t>
  </si>
  <si>
    <t>/userdata/dealer/photo/dnfltnghk92.jpg</t>
  </si>
  <si>
    <t>[{"companyType": "FIRM", "companyName": "고바우", "brn": "410-86-47910", "associationCd": 7, "associationName": "광주 자동차매매사업조합", "associationPhoneNumber": "062-384-3820", "certificatedEmployeeNumber": "18-062-00501", "address": {"zipcode": "62071 ", "location": null, "sido": "광주", "sigungu": "서구", "eupmyeondong": null, "eupmyeondongEtc": null, "address": "광주 서구 매월1로 48", "buildingCd": "2914013200106210018000001"}, "contacts": null, "used": true}]</t>
  </si>
  <si>
    <t>2021-06-30</t>
  </si>
  <si>
    <t>2019-01-09T11:45:05</t>
  </si>
  <si>
    <t>2024-12-27T11:46:06</t>
  </si>
  <si>
    <t>메가라인7</t>
  </si>
  <si>
    <t>/userdata/dealer/photo/dksdudtn9326.jpg</t>
  </si>
  <si>
    <t>[{"companyType": "FIRM", "companyName": "스마일자동차", "brn": "135-30-21365", "associationCd": 28, "associationName": null, "associationPhoneNumber": null, "certificatedEmployeeNumber": "GC25-03160", "address": {"zipcode": "16602 ", "location": null, "sido": "경기", "sigungu": "수원시 권선구", "eupmyeondong": null, "eupmyeondongEtc": null, "address": "경기 수원시 권선구 권선로 308-5", "buildingCd": "4111312800100140134000001"}, "contacts": null, "used": true}]</t>
  </si>
  <si>
    <t>2025-05-29T14:37:31</t>
  </si>
  <si>
    <t>2025-09-13T14:06:41</t>
  </si>
  <si>
    <t>김금성</t>
  </si>
  <si>
    <t>[{"companyType": "FIRM", "companyName": "신한모터스", "brn": "235-12-01495", "associationCd": 12, "associationName": "울산 자동차매매사업조합", "associationPhoneNumber": "052-287-8405", "certificatedEmployeeNumber": "10620213", "address": {"zipcode": "44247 ", "location": null, "sido": "울산", "sigungu": "북구", "eupmyeondong": null, "eupmyeondongEtc": null, "address": "울산 북구 무룡로 68", "buildingCd": "3120012200105070004000002"}, "contacts": null, "used": true}]</t>
  </si>
  <si>
    <t>2016-07-19T11:49:36</t>
  </si>
  <si>
    <t>2025-01-07T21:21:38</t>
  </si>
  <si>
    <t>/userdata/dealer/photo/hwang5533.jpg</t>
  </si>
  <si>
    <t>[{"companyType":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t>
  </si>
  <si>
    <t>2022-04-01</t>
  </si>
  <si>
    <t>2006-02-02T16:58:40</t>
  </si>
  <si>
    <t>2025-09-18T14:11:49</t>
  </si>
  <si>
    <t>영수카</t>
  </si>
  <si>
    <t>/userdata/dealer/photo/rladudtn.jpg</t>
  </si>
  <si>
    <t>[{"companyType": "FIRM", "companyName": "주식회사 설레임 오토모티브", "brn": "271-88-02160", "associationCd": 28, "associationName": "경기 자동차매매사업조합", "associationPhoneNumber": "031-242-8940", "certificatedEmployeeNumber": "GC20-05631", "address": {"zipcode": "16613 ", "location": null, "sido": "경기", "sigungu": "수원시 권선구", "eupmyeondong": null, "eupmyeondongEtc": null, "address": "경기 수원시 권선구", "buildingCd": "4111313100100790009000001"}, "contacts": null, "used": true}]</t>
  </si>
  <si>
    <t>2020-09-28T21:16:37</t>
  </si>
  <si>
    <t>2024-10-23T14:54:16</t>
  </si>
  <si>
    <t>/userdata/dealer/photo/hyeon6209.jpg</t>
  </si>
  <si>
    <t>[{"companyType": "FIRM", "companyName": "엠시티모터스", "brn": "494-47-01155", "associationCd": 14, "associationName": "인천엠파크 자동차매매사업조합", "associationPhoneNumber": "032-715-5533", "certificatedEmployeeNumber": "CB25-00315", "address": {"zipcode": "28754 ", "location": null, "sido": "충북", "sigungu": "청주시 상당구", "eupmyeondong": null, "eupmyeondongEtc": null, "address": "충북 청주시 상당구 1순환로1594번길 56", "buildingCd": "4311112500200890000000001"}, "contacts": null, "used": true}]</t>
  </si>
  <si>
    <t>2021-11-30T14:12:36</t>
  </si>
  <si>
    <t>2026-01-09T16:44:31</t>
  </si>
  <si>
    <t>/userdata/dealer/photo/cks0290.jpg</t>
  </si>
  <si>
    <t>[{"companyType": "FIRM", "companyName": "조이 모터스", "brn": "122-38-50384", "associationCd": 11, "associationName": "충남 자동차매매사업조합", "associationPhoneNumber": "041-572-8444", "certificatedEmployeeNumber": "23-041-00110", "address": {"zipcode": "31074 ", "location": null, "sido": "충남", "sigungu": "천안시 서북구", "eupmyeondong": null, "eupmyeondongEtc": null, "address": "충남 천안시 서북구", "buildingCd": "4413310500103350001040409"}, "contacts": null, "used": true}]</t>
  </si>
  <si>
    <t>2016-01-31T13:49:49</t>
  </si>
  <si>
    <t>2024-10-28T12:12:50</t>
  </si>
  <si>
    <t>쌀방개</t>
  </si>
  <si>
    <t>/userdata/dealer/photo/gold99.jpg</t>
  </si>
  <si>
    <t>[{"companyType": "FIRM", "companyName": "오토플러스(주)", "brn": "105-86-06429", "associationCd": 3, "associationName": "대구 자동차매매사업조합", "associationPhoneNumber": "053-341-7788", "certificatedEmployeeNumber": "2305300328", "address": {"zipcode": "41081 ", "location": null, "sido": "대구", "sigungu": "동구", "eupmyeondong": null, "eupmyeondongEtc": null, "address": "대구 동구", "buildingCd": "2714012300103010001033011"}, "contacts": null, "used": true}]</t>
  </si>
  <si>
    <t>2018-10-17T09:43:40</t>
  </si>
  <si>
    <t>2025-04-15T18:12:50</t>
  </si>
  <si>
    <t>/userdata/dealer/photo/kcardgbyw.jpg</t>
  </si>
  <si>
    <t>[{"companyType": "FIRM", "companyName": "그차는내차", "brn": "130-48-00545", "associationCd": 23, "associationName": "대구연합 자동차매매사업조합", "associationPhoneNumber": "053-584-9900", "certificatedEmployeeNumber": "DG19-00889", "address": {"zipcode": "41752 ", "location": null, "sido": "대구", "sigungu": "서구", "eupmyeondong": null, "eupmyeondongEtc": null, "address": "대구 서구 문화로 37", "buildingCd": "2717010600100420030000001"}, "contacts": null, "used": true}]</t>
  </si>
  <si>
    <t>2016-05-10T13:47:05</t>
  </si>
  <si>
    <t>2026-01-26T11:16:15</t>
  </si>
  <si>
    <t>/userdata/dealer/photo/nobility4569.jpg</t>
  </si>
  <si>
    <t>[{"companyType": "FIRM", "companyName": "미소모터스", "brn": "531-25-01637", "associationCd": 0, "associationName": "서울 자동차매매사업조합", "associationPhoneNumber": "02-847-3448", "certificatedEmployeeNumber": "SE23-00659", "address": {"zipcode": "07909 ", "location": null, "sido": "서울", "sigungu": "양천구", "eupmyeondong": null, "eupmyeondongEtc": null, "address": "서울 양천구", "buildingCd": "1147010300100390001012768"}, "contacts": null, "used": true}]</t>
  </si>
  <si>
    <t>2014-12-26T20:34:48</t>
  </si>
  <si>
    <t>2025-10-01T00:16:02</t>
  </si>
  <si>
    <t>SILVER</t>
  </si>
  <si>
    <t>/userdata/dealer/photo/tankdotcom.jpg</t>
  </si>
  <si>
    <t>[{"companyType": "FIRM", "companyName": "디에이치모터스", "brn": "479-60-00627", "associationCd": 27, "associationName": "인천엠파크 자동차매매사업조합", "associationPhoneNumber": "032-715-5533", "certificatedEmployeeNumber": "IM23-00493", "address": {"zipcode": "22836 ", "location": null, "sido": "인천", "sigungu": "서구", "eupmyeondong": null, "eupmyeondongEtc": null, "address": "인천 서구", "buildingCd": "2826011200101500019000001"}, "contacts": null, "used": true}]</t>
  </si>
  <si>
    <t>2019-12-12</t>
  </si>
  <si>
    <t>2009-04-18T16:58:21</t>
  </si>
  <si>
    <t>2024-10-25T19:44:52</t>
  </si>
  <si>
    <t>나막스</t>
  </si>
  <si>
    <t>/userdata/dealer/photo/ef9550.jpg</t>
  </si>
  <si>
    <t>[{"companyType": "FIRM", "companyName": "세븐", "brn": "555-22-01592", "associationCd": 6, "associationName": "부산 자동차매매사업조합", "associationPhoneNumber": "051-868-8388", "certificatedEmployeeNumber": "23-051-36503", "address": {"zipcode": "49472 ", "location": null, "sido": "부산", "sigungu": "사하구", "eupmyeondong": null, "eupmyeondongEtc": null, "address": "부산 사하구", "buildingCd": "2638010400103700046037836"}, "contacts": null, "used": true}]</t>
  </si>
  <si>
    <t>2007-09-27T15:24:18</t>
  </si>
  <si>
    <t>드림전대표</t>
  </si>
  <si>
    <t>/userdata/dealer/photo/aka3319.jpg</t>
  </si>
  <si>
    <t>[{"companyType": "FIRM", "companyName": "위너모터스", "brn": "450-19-00167", "associationCd": 23, "associationName": null, "associationPhoneNumber": null, "certificatedEmployeeNumber": "2500469", "address": {"zipcode": "41752 ", "location": null, "sido": "대구", "sigungu": "서구", "eupmyeondong": null, "eupmyeondongEtc": null, "address": "대구 서구 문화로 37", "buildingCd": "2717010600100420030000001"}, "contacts": null, "used": true}]</t>
  </si>
  <si>
    <t>2021-10-18T11:18:02</t>
  </si>
  <si>
    <t>2025-12-07T18:27:28</t>
  </si>
  <si>
    <t>/userdata/dealer/photo/qorwogh0827.jpg</t>
  </si>
  <si>
    <t>[{"companyType": "FIRM", "companyName": "큐모터스", "brn": "596-07-01436", "associationCd": 3, "associationName": "대구 자동차매매사업조합", "associationPhoneNumber": "053-341-7788", "certificatedEmployeeNumber": "20-053-00158", "address": {"zipcode": "41081 ", "location": null, "sido": "대구", "sigungu": "동구", "eupmyeondong": null, "eupmyeondongEtc": null, "address": "대구 동구", "buildingCd": "2714012300103010001033011"}, "contacts": null, "used": true}]</t>
  </si>
  <si>
    <t>2018-05-09</t>
  </si>
  <si>
    <t>2015-10-23T16:03:39</t>
  </si>
  <si>
    <t>2026-01-09T08:57:07</t>
  </si>
  <si>
    <t>/userdata/dealer/photo/thirst1234.jpg</t>
  </si>
  <si>
    <t>[{"companyType":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t>
  </si>
  <si>
    <t>2023-02-13T15:45:11</t>
  </si>
  <si>
    <t>2026-01-12T13:32:19</t>
  </si>
  <si>
    <t>/userdata/dealer/photo/lsw30992288.jpg</t>
  </si>
  <si>
    <t>[{"companyType": "FIRM", "companyName": "제이케이 자동차", "brn": "703-86-02533", "associationCd": 7, "associationName": null, "associationPhoneNumber": null, "certificatedEmployeeNumber": "2506200086", "address": {"zipcode": "62071 ", "location": null, "sido": "광주", "sigungu": "서구", "eupmyeondong": null, "eupmyeondongEtc": null, "address": "광주 서구 매월1로62번길 24", "buildingCd": "2914013200106630002000001"}, "contacts": null, "used": true}]</t>
  </si>
  <si>
    <t>2025-04-28T16:08:23</t>
  </si>
  <si>
    <t>2026-01-21T13:50:31</t>
  </si>
  <si>
    <t>/userdata/dealer/photo/skdisk5487.jpeg</t>
  </si>
  <si>
    <t>[{"companyType": "FIRM", "companyName": "오토플러스(주)", "brn": "105-86-06429", "associationCd": 5, "associationName": null, "associationPhoneNumber": null, "certificatedEmployeeNumber": "IC21-00521", "address": {"zipcode": "22850 ", "location": null, "sido": "인천", "sigungu": "서구", "eupmyeondong": null, "eupmyeondongEtc": null, "address": "인천 서구 정서진로 70", "buildingCd": "2826011900115770000000001"}, "contacts": null, "used": true}]</t>
  </si>
  <si>
    <t>2017-08-17T10:36:48</t>
  </si>
  <si>
    <t>2025-12-21T14:14:03</t>
  </si>
  <si>
    <t>/userdata/dealer/photo/autoplusic.jpg</t>
  </si>
  <si>
    <t>[{"companyType": "FIRM", "companyName": "블루오토", "brn": "485-11-02864", "associationCd": 11, "associationName": "충남 자동차매매사업조합", "associationPhoneNumber": "041-572-8444", "certificatedEmployeeNumber": "2204100154", "address": {"zipcode": "31074 ", "location": null, "sido": "충남", "sigungu": "천안시 서북구", "eupmyeondong": null, "eupmyeondongEtc": null, "address": "충남 천안시 서북구 번영로 533", "buildingCd": "4413310500103350001040409"}, "contacts": null, "used": true}]</t>
  </si>
  <si>
    <t>2019-11-27T10:33:13</t>
  </si>
  <si>
    <t>2025-11-13T10:17:17</t>
  </si>
  <si>
    <t>한길승현아빠80</t>
  </si>
  <si>
    <t>/userdata/dealer/photo/wind1511.jpg</t>
  </si>
  <si>
    <t>[{"companyType": "FIRM", "companyName": "블루오토", "brn": "728-01-01142", "associationCd": 28, "associationName": "경기 자동차매매사업조합", "associationPhoneNumber": "031-242-8940", "certificatedEmployeeNumber": "GC24-01112", "address": {"zipcode": "16613 ", "location": null, "sido": "경기", "sigungu": "수원시", "eupmyeondong": null, "eupmyeondongEtc": null, "address": "경기 수원시 권선구", "buildingCd": "4111313100100790009000001"}, "contacts": null, "used": true}]</t>
  </si>
  <si>
    <t>2021-10-22T17:23:02</t>
  </si>
  <si>
    <t>2025-11-05T18:08:26</t>
  </si>
  <si>
    <t>[{"companyType": "FIRM", "companyName": "CNK모터스", "brn": "407-39-00422", "associationCd": 3, "associationName": "대구 자동차매매사업조합", "associationPhoneNumber": "053-341-7788", "certificatedEmployeeNumber": "1234", "address": {"zipcode": "41752 ", "location": null, "sido": "대구", "sigungu": "서구", "eupmyeondong": null, "eupmyeondongEtc": null, "address": "대구 서구", "buildingCd": "2717010600100420030000001"}, "contacts": null, "used": true}]</t>
  </si>
  <si>
    <t>2008-10-10T22:41:10</t>
  </si>
  <si>
    <t>2025-11-24T20:26:55</t>
  </si>
  <si>
    <t>가고파요</t>
  </si>
  <si>
    <t>김홍수</t>
  </si>
  <si>
    <t>/userdata/dealer/photo/ghdtn778.jpg</t>
  </si>
  <si>
    <t>[{"companyType": "FIRM", "companyName": "오토플러스(주)", "brn": "105-86-06429", "associationCd": 3, "associationName": null, "associationPhoneNumber": null, "certificatedEmployeeNumber": "2405300048", "address": {"zipcode": "41081 ", "location": null, "sido": "대구", "sigungu": "동구", "eupmyeondong": null, "eupmyeondongEtc": null, "address": "대구 동구", "buildingCd": "2714012300103010001033011"}, "contacts": null, "used": true}]</t>
  </si>
  <si>
    <t>2024-02-06T10:59:31</t>
  </si>
  <si>
    <t>2025-01-11T11:48:43</t>
  </si>
  <si>
    <t>/userdata/dealer/photo/zxc4055.jpg</t>
  </si>
  <si>
    <t>[{"companyType": "FIRM", "companyName": "유원모터스", "brn": "137-20-00130", "associationCd": 27, "associationName": null, "associationPhoneNumber": null, "certificatedEmployeeNumber": "24-00331", "address": {"zipcode": "22840 ", "location": null, "sido": "인천", "sigungu": "서구", "eupmyeondong": null, "eupmyeondongEtc": null, "address": "인천 서구 봉수대로 158", "buildingCd": "2826011200101780105000001"}, "contacts": null, "used": true}]</t>
  </si>
  <si>
    <t>2025-12-02T15:18:46</t>
  </si>
  <si>
    <t>2025-12-10T18:06:39</t>
  </si>
  <si>
    <t>/userdata/dealer/photo/jkj810115.jpg</t>
  </si>
  <si>
    <t>[{"companyType": "FIRM", "companyName": "일등자동차", "brn": "125-13-66183", "associationCd": 28, "associationName": "경기 자동차매매사업조합", "associationPhoneNumber": "031-242-8940", "certificatedEmployeeNumber": "GC24-03650", "address": {"zipcode": "15431 ", "location": null, "sido": "경기", "sigungu": "안산시 단원구", "eupmyeondong": null, "eupmyeondongEtc": null, "address": "경기 안산시 단원구", "buildingCd": "4127310800109940007000004"}, "contacts": null, "used": true}]</t>
  </si>
  <si>
    <t>2009-05-11T14:59:15</t>
  </si>
  <si>
    <t>2025-04-04T17:48:56</t>
  </si>
  <si>
    <t>와일드윙스</t>
  </si>
  <si>
    <t>/userdata/dealer/photo/bonanet.jpg</t>
  </si>
  <si>
    <t>[{"companyType": "FIRM", "companyName": "(주)지티오토컴퍼니", "brn": "256-87-03519", "associationCd": 27, "associationName": "인천엠파크 자동차매매사업조합", "associationPhoneNumber": "032-715-5533", "certificatedEmployeeNumber": "IM25-00941", "address": {"zipcode": "22840 ", "location": null, "sido": "인천", "sigungu": "서구", "eupmyeondong": null, "eupmyeondongEtc": null, "address": "인천 서구 봉수대로 158", "buildingCd": "2826011200101780105000001"}, "contacts": null, "used": true}]</t>
  </si>
  <si>
    <t>2018-12-04T16:37:20</t>
  </si>
  <si>
    <t>2026-01-02T10:03:30</t>
  </si>
  <si>
    <t>정직한딜러유일</t>
  </si>
  <si>
    <t>/userdata/dealer/photo/yuil8788.jpg</t>
  </si>
  <si>
    <t>[{"companyType": "FIRM", "companyName": "주)올뉴모터스", "brn": "542-87-01426", "associationCd": 0, "associationName": "서울 자동차매매사업조합", "associationPhoneNumber": "02-847-3448", "certificatedEmployeeNumber": "SE25-00597", "address": {"zipcode": "07573 ", "location": null, "sido": "서울", "sigungu": "강서구", "eupmyeondong": null, "eupmyeondongEtc": null, "address": "서울 강서구 양천로 390", "buildingCd": "1150010400100560002028917"}, "contacts": null, "used": true}]</t>
  </si>
  <si>
    <t>2000-05-15T17:04:00</t>
  </si>
  <si>
    <t>2025-11-14T14:35:50</t>
  </si>
  <si>
    <t>달빛</t>
  </si>
  <si>
    <t>/userdata/dealer/photo/nos0909.jpg</t>
  </si>
  <si>
    <t>[{"companyType": "FIRM", "companyName": "아차차", "brn": "603-14-76591", "associationCd": 28, "associationName": "경기 자동차매매사업조합", "associationPhoneNumber": "031-242-8940", "certificatedEmployeeNumber": "GC22-03240", "address": {"zipcode": "16613 ", "location": null, "sido": "경기", "sigungu": "수원시 권선구", "eupmyeondong": null, "eupmyeondongEtc": null, "address": "경기 수원시 권선구", "buildingCd": "4111313100100790009000001"}, "contacts": null, "used": true}]</t>
  </si>
  <si>
    <t>2019-08-12T13:05:53</t>
  </si>
  <si>
    <t>/userdata/dealer/photo/shs71659.jpg</t>
  </si>
  <si>
    <t>[{"companyType": "FIRM", "companyName": "롯데렌탈", "brn": "214-67-79183", "associationCd": 1, "associationName": null, "associationPhoneNumber": null, "certificatedEmployeeNumber": "sw24-00162", "address": {"zipcode": "07528 ", "location": null, "sido": "서울", "sigungu": "강서구", "eupmyeondong": null, "eupmyeondongEtc": null, "address": "서울 강서구 양천로53길 52", "buildingCd": "1150010400100300010010421"}, "contacts": null, "used": true}]</t>
  </si>
  <si>
    <t>2023-09-15T16:21:08</t>
  </si>
  <si>
    <t>2025-05-22T16:21:24</t>
  </si>
  <si>
    <t>/userdata/dealer/photo/pika0060.jpeg</t>
  </si>
  <si>
    <t>[{"companyType": "FIRM", "companyName": "오토프라임", "brn": "176-71-00608", "associationCd": 28, "associationName": "경기 자동차매매사업조합", "associationPhoneNumber": "031-242-8940", "certificatedEmployeeNumber": "13-031-06132", "address": {"zipcode": "16602 ", "location": null, "sido": "경기", "sigungu": "수원시", "eupmyeondong": null, "eupmyeondongEtc": null, "address": "경기 수원시 권선구", "buildingCd": "4111312800100140134000001"}, "contacts": null, "used": true}]</t>
  </si>
  <si>
    <t>2002-03-23T22:46:13</t>
  </si>
  <si>
    <t>2025-04-22T11:07:39</t>
  </si>
  <si>
    <t>[{"companyType": "FIRM", "companyName": "수원중고차", "brn": "658-46-00132", "associationCd": 28, "associationName": "경기 자동차매매사업조합", "associationPhoneNumber": "031-242-8940", "certificatedEmployeeNumber": "1203101227", "address": {"zipcode": "16602 ", "location": null, "sido": "경기", "sigungu": "수원시 권선구", "eupmyeondong": null, "eupmyeondongEtc": null, "address": "경기 수원시 권선구", "buildingCd": "4111312800100140134000001"}, "contacts": null, "used": true}]</t>
  </si>
  <si>
    <t>2002-11-04T14:36:38</t>
  </si>
  <si>
    <t>2025-02-26T14:29:43</t>
  </si>
  <si>
    <t>수원오산중고차</t>
  </si>
  <si>
    <t>[{"companyType": "FIRM", "companyName": "영차", "brn": "555-02-02948", "associationCd": 5, "associationName": null, "associationPhoneNumber": null, "certificatedEmployeeNumber": "IM23-00805", "address": {"zipcode": "21500 ", "location": null, "sido": "인천", "sigungu": "남동구", "eupmyeondong": null, "eupmyeondongEtc": null, "address": "인천 남동구 방축로 414", "buildingCd": "2820010200106160085000824"}, "contacts": null, "used": true}]</t>
  </si>
  <si>
    <t>2020-11-24T02:40:20</t>
  </si>
  <si>
    <t>2025-06-23T14:25:30</t>
  </si>
  <si>
    <t>/userdata/dealer/photo/qkrrjsgh333.jpg</t>
  </si>
  <si>
    <t>[{"companyType": "FIRM", "companyName": "(주)예스카", "brn": "751-86-00738", "associationCd": 28, "associationName": null, "associationPhoneNumber": null, "certificatedEmployeeNumber": "GC18-00234", "address": {"zipcode": "16600 ", "location": null, "sido": "경기", "sigungu": "수원시", "eupmyeondong": null, "eupmyeondongEtc": null, "address": "경기 수원시 권선구 평동로79번길 45", "buildingCd": "4111312700100040011000001"}, "contacts": null, "used": true}]</t>
  </si>
  <si>
    <t>2019-04-01T14:05:57</t>
  </si>
  <si>
    <t>2024-10-25T12:42:03</t>
  </si>
  <si>
    <t>만수르g</t>
  </si>
  <si>
    <t>/userdata/dealer/photo/lak8662.jpg</t>
  </si>
  <si>
    <t>[{"companyType": "FIRM", "companyName": "(주)손오공", "brn": "759-85-03009", "associationCd": 21, "associationName": null, "associationPhoneNumber": null, "certificatedEmployeeNumber": "SM25-00494", "address": {"zipcode": "07528 ", "location": null, "sido": "서울", "sigungu": "강서구", "eupmyeondong": null, "eupmyeondongEtc": null, "address": "서울 강서구 양천로53길 30", "buildingCd": "1150010400100500005000001"}, "contacts": null, "used": true}]</t>
  </si>
  <si>
    <t>2025-10-17T14:49:18</t>
  </si>
  <si>
    <t>/userdata/dealer/photo/hb0836.jpg</t>
  </si>
  <si>
    <t>[{"companyType": "FIRM", "companyName": "우진모터스", "brn": "265-79-00302", "associationCd": 23, "associationName": null, "associationPhoneNumber": null, "certificatedEmployeeNumber": "DG23-00650", "address": {"zipcode": "41752 ", "location": null, "sido": "대구", "sigungu": "서구", "eupmyeondong": null, "eupmyeondongEtc": null, "address": "대구 서구", "buildingCd": "2717010600100420030000001"}, "contacts": null, "used": true}]</t>
  </si>
  <si>
    <t>2020-08-14T11:45:14</t>
  </si>
  <si>
    <t>2024-10-25T10:08:37</t>
  </si>
  <si>
    <t>/userdata/dealer/photo/mindssydc79.jpg</t>
  </si>
  <si>
    <t>[{"companyType": "FIRM", "companyName": "공은모터스", "brn": "725-22-01380", "associationCd": 19, "associationName": "경기도1 자동차매매사업조합", "associationPhoneNumber": "031-876-8138", "certificatedEmployeeNumber": "GG22-01310", "address": {"zipcode": "10135 ", "location": null, "sido": "경기", "sigungu": "김포시", "eupmyeondong": null, "eupmyeondongEtc": null, "address": "경기 김포시 아라육로152번길 45", "buildingCd": "4157025325106840000000001"}, "contacts": null, "used": true}]</t>
  </si>
  <si>
    <t>2022-07-14T09:53:54</t>
  </si>
  <si>
    <t>2025-08-22T14:45:14</t>
  </si>
  <si>
    <t>/userdata/dealer/photo/wlals743.jpg</t>
  </si>
  <si>
    <t>[{"companyType": "FIRM", "companyName": "에쓰아이모터스", "brn": "314-07-87244", "associationCd": 28, "associationName": "경기 자동차매매사업조합", "associationPhoneNumber": "031-242-8940", "certificatedEmployeeNumber": "15-031-72357", "address": {"zipcode": "15457 ", "location": null, "sido": "경기", "sigungu": "안산시 단원구", "eupmyeondong": null, "eupmyeondongEtc": null, "address": "경기 안산시 단원구 원포공원1로 16", "buildingCd": "4127310700107450003000001"}, "contacts": null, "used": true}]</t>
  </si>
  <si>
    <t>2016-05-26</t>
  </si>
  <si>
    <t>2015-05-02T12:49:29</t>
  </si>
  <si>
    <t>si길수</t>
  </si>
  <si>
    <t>/userdata/dealer/photo/sopy1764.jpg</t>
  </si>
  <si>
    <t>[{"companyType": "EXPORTER", "companyName": "부릉부릉닷컴(주)", "brn": null, "associationCd": null, "associationName": null, "associationPhoneNumber": null, "certificatedEmployeeNumber": null, "address": {"zipcode": "37659", "location": null, "sido": "경북", "sigungu": "포항시 남구", "eupmyeondong": "희망대로", "eupmyeondongEtc": "480", "address": null, "buildingCd": "4711111700100240000000001"}, "contacts": {"PHONE": ["0542720222"]}, "used": true}, {"companyType": "FIRM", "companyName": "부릉부릉닷컴(주)", "brn": "835-86-01151", "associationCd": 8, "associationName": "경북 자동차매매사업조합", "associationPhoneNumber": "053-254-0555", "certificatedEmployeeNumber": "19-054-15727", "address": {"zipcode": "37659 ", "location": null, "sido": "경북", "sigungu": "포항시 남구", "eupmyeondong": null, "eupmyeondongEtc": null, "address": "경북 포항시 남구 희망대로 480", "buildingCd": "4711111700100240000000001"}, "contacts": null, "used": true}]</t>
  </si>
  <si>
    <t>2020-08-02T12:23:19</t>
  </si>
  <si>
    <t>2025-08-07T15:42:16</t>
  </si>
  <si>
    <t>/userdata/dealer/photo/vvcar78.jpg</t>
  </si>
  <si>
    <t>[{"companyType": "FIRM", "companyName": "차마이카", "brn": "155-19-02450", "associationCd": 19, "associationName": "경기도1 자동차매매사업조합", "associationPhoneNumber": "031-876-8138", "certificatedEmployeeNumber": "GG25-01656", "address": {"zipcode": "11366 ", "location": null, "sido": "경기", "sigungu": "동두천시", "eupmyeondong": null, "eupmyeondongEtc": null, "address": "경기 동두천시 평화로 2120", "buildingCd": "4125010100104830005009355"}, "contacts": null, "used": true}]</t>
  </si>
  <si>
    <t>2022-08-18T14:15:50</t>
  </si>
  <si>
    <t>2025-11-12T10:25:10</t>
  </si>
  <si>
    <t>/userdata/dealer/photo/chaseunggun7.jpg</t>
  </si>
  <si>
    <t>[{"companyType": "FIRM", "companyName": "지니모터스", "brn": "313-11-63019", "associationCd": 3, "associationName": "대구 자동차매매사업조합", "associationPhoneNumber": "053-341-7788", "certificatedEmployeeNumber": "2305300244", "address": {"zipcode": "41844 ", "location": null, "sido": "대구", "sigungu": "서구", "eupmyeondong": null, "eupmyeondongEtc": null, "address": "대구 서구", "buildingCd": "2717010500111200009022740"}, "contacts": null, "used": true}]</t>
  </si>
  <si>
    <t>2023-07-13T10:56:48</t>
  </si>
  <si>
    <t>2024-12-02T01:45:50</t>
  </si>
  <si>
    <t>/userdata/dealer/photo/kami0870.jpg</t>
  </si>
  <si>
    <t>[{"companyType": "FIRM", "companyName": "주뉴카뱅크", "brn": "878-88-01400", "associationCd": 0, "associationName": "서울 자동차매매사업조합", "associationPhoneNumber": "02-847-3448", "certificatedEmployeeNumber": "SE23-00505", "address": {"zipcode": "06378 ", "location": null, "sido": "서울", "sigungu": "강남구", "eupmyeondong": null, "eupmyeondongEtc": null, "address": "서울 강남구", "buildingCd": "1168011300101080009000001"}, "contacts": null, "used": true}]</t>
  </si>
  <si>
    <t>2014-07-04T13:57:51</t>
  </si>
  <si>
    <t>2024-10-24T06:57:59</t>
  </si>
  <si>
    <t>삼신산</t>
  </si>
  <si>
    <t>/userdata/dealer/photo/silvercoin.jpg</t>
  </si>
  <si>
    <t>[{"companyType": "FIRM", "companyName": "모던모터스 대표", "brn": "218-02-61349", "associationCd": 3, "associationName": null, "associationPhoneNumber": null, "certificatedEmployeeNumber": "17-053-00212", "address": {"zipcode": "41080 ", "location": null, "sido": "대구", "sigungu": "동구", "eupmyeondong": null, "eupmyeondongEtc": null, "address": "대구 동구 안심로69길 35", "buildingCd": "2714012400106380006032957"}, "contacts": null, "used": true}]</t>
  </si>
  <si>
    <t>2013-08-29T16:49:59</t>
  </si>
  <si>
    <t>2025-01-17T21:18:19</t>
  </si>
  <si>
    <t>이경준님</t>
  </si>
  <si>
    <t>/userdata/dealer/photo/zuzusl.jpg</t>
  </si>
  <si>
    <t>[{"companyType": "FIRM", "companyName": "(주)태양모터스", "brn": "704-86-02384", "associationCd": 11, "associationName": "충남 자동차매매사업조합", "associationPhoneNumber": "041-572-8444", "certificatedEmployeeNumber": "대2022-2-002", "address": {"zipcode": "31068 ", "location": null, "sido": "충남", "sigungu": "천안시 동남구", "eupmyeondong": null, "eupmyeondongEtc": null, "address": "충남 천안시 동남구 유량로 108", "buildingCd": "4413111200103530001000001"}, "contacts": null, "used": true}]</t>
  </si>
  <si>
    <t>2012-09-07T13:14:26</t>
  </si>
  <si>
    <t>2025-07-29T14:26:47</t>
  </si>
  <si>
    <t>gddong1007</t>
  </si>
  <si>
    <t>/userdata/dealer/photo/kdy1007.jpg</t>
  </si>
  <si>
    <t>[{"companyType": "FIRM", "companyName": "(주)시우자동차", "brn": "347-87-00540", "associationCd": 27, "associationName": "인천엠파크 자동차매매사업조합", "associationPhoneNumber": "032-715-5533", "certificatedEmployeeNumber": "IM17-02903", "address": {"zipcode": "22836 ", "location": null, "sido": "인천", "sigungu": "서구", "eupmyeondong": null, "eupmyeondongEtc": null, "address": "인천 서구", "buildingCd": "2826011200101500019000001"}, "contacts": null, "used": true}]</t>
  </si>
  <si>
    <t>2018-06-15</t>
  </si>
  <si>
    <t>2014-12-01T12:05:38</t>
  </si>
  <si>
    <t>2024-11-04T08:40:33</t>
  </si>
  <si>
    <t>아빠중고차</t>
  </si>
  <si>
    <t>/userdata/dealer/photo/rnjsduddls.jpg</t>
  </si>
  <si>
    <t>[{"companyType": "FIRM", "companyName": "카보스", "brn": "772-45-00386", "associationCd": 23, "associationName": null, "associationPhoneNumber": null, "certificatedEmployeeNumber": "1905300036", "address": {"zipcode": "41076 ", "location": null, "sido": "대구", "sigungu": "동구", "eupmyeondong": null, "eupmyeondongEtc": null, "address": "대구 동구", "buildingCd": "2714012400104800001025121"}, "contacts": null, "used": true}]</t>
  </si>
  <si>
    <t>2018-01-05</t>
  </si>
  <si>
    <t>2016-11-04T17:34:09</t>
  </si>
  <si>
    <t>2024-10-29T18:18:40</t>
  </si>
  <si>
    <t>버팔로호야</t>
  </si>
  <si>
    <t>/userdata/dealer/photo/mmm486.jpg</t>
  </si>
  <si>
    <t>[{"companyType": "FIRM", "companyName": "베스트자동차", "brn": "125-22-49022", "associationCd": 28, "associationName": "경기 자동차매매사업조합", "associationPhoneNumber": "031-242-8940", "certificatedEmployeeNumber": "10-031-03778", "address": {"zipcode": "17878 ", "location": null, "sido": "경기", "sigungu": "평택시", "eupmyeondong": null, "eupmyeondongEtc": null, "address": "경기 평택시", "buildingCd": "4122011700101210008001618"}, "contacts": null, "used": true}]</t>
  </si>
  <si>
    <t>2005-05-17T18:16:08</t>
  </si>
  <si>
    <t>2024-10-23T13:48:24</t>
  </si>
  <si>
    <t>/userdata/dealer/photo/ashssw.jpg</t>
  </si>
  <si>
    <t>2025-10-02T14:15:56</t>
  </si>
  <si>
    <t>2025-10-31T10:04:45</t>
  </si>
  <si>
    <t>전담 매니저</t>
  </si>
  <si>
    <t>/userdata/dealer/photo/icar07072.jpg</t>
  </si>
  <si>
    <t>[{"companyType": "FIRM", "companyName": "(주)고려자동차", "brn": "503-81-15938", "associationCd": 3, "associationName": null, "associationPhoneNumber": null, "certificatedEmployeeNumber": "24-053-00327", "address": {"zipcode": "42721 ", "location": null, "sido": "대구", "sigungu": "달서구", "eupmyeondong": null, "eupmyeondongEtc": null, "address": "대구 달서구", "buildingCd": "2729012100110130000004084"}, "contacts": null, "used": true}]</t>
  </si>
  <si>
    <t>2024-10-29T12:48:57</t>
  </si>
  <si>
    <t>/userdata/dealer/photo/wlghks7592.jpg</t>
  </si>
  <si>
    <t>[{"companyType": "FIRM", "companyName": "주식회사 투게더카", "brn": "487-87-03092", "associationCd": 27, "associationName": null, "associationPhoneNumber": null, "certificatedEmployeeNumber": "IM24-00095", "address": {"zipcode": "22840 ", "location": null, "sido": "인천", "sigungu": "서구", "eupmyeondong": null, "eupmyeondongEtc": null, "address": "인천 서구 봉수대로 158", "buildingCd": "2826011200101780105000001"}, "contacts": null, "used": true}]</t>
  </si>
  <si>
    <t>2024-03-15T09:04:53</t>
  </si>
  <si>
    <t>2026-01-13T13:45:16</t>
  </si>
  <si>
    <t>/userdata/dealer/photo/smasu2024.jpg</t>
  </si>
  <si>
    <t>[{"companyType": "FIRM", "companyName": "케이모터스", "brn": "888-43-00843", "associationCd": 3, "associationName": null, "associationPhoneNumber": null, "certificatedEmployeeNumber": "2505300097", "address": {"zipcode": "41081 ", "location": null, "sido": "대구", "sigungu": "동구", "eupmyeondong": null, "eupmyeondongEtc": null, "address": "대구 동구 안심로 327", "buildingCd": "2714012300103000007000005"}, "contacts": null, "used": true}]</t>
  </si>
  <si>
    <t>2025-04-09T17:28:43</t>
  </si>
  <si>
    <t>2025-10-15T14:52:35</t>
  </si>
  <si>
    <t>/userdata/dealer/photo/is98381.jpg</t>
  </si>
  <si>
    <t>[{"companyType": "FIRM", "companyName": "국민중고차", "brn": "775-86-03366", "associationCd": 28, "associationName": null, "associationPhoneNumber": null, "certificatedEmployeeNumber": "GC2503077", "address": {"zipcode": "16613 ", "location": null, "sido": "경기", "sigungu": "수원시 권선구", "eupmyeondong": null, "eupmyeondongEtc": null, "address": "경기 수원시 권선구 권선로 343", "buildingCd": "4111313100100660000078173"}, "contacts": null, "used": true}]</t>
  </si>
  <si>
    <t>2025-05-28T10:23:21</t>
  </si>
  <si>
    <t>2025-12-29T16:54:37</t>
  </si>
  <si>
    <t>/userdata/dealer/photo/whwqkq18.jpg</t>
  </si>
  <si>
    <t>[{"companyType": "FIRM", "companyName": "준 모터스", "brn": "604-24-30355", "associationCd": 3, "associationName": null, "associationPhoneNumber": null, "certificatedEmployeeNumber": "2405300141", "address": {"zipcode": "42721 ", "location": null, "sido": "대구", "sigungu": "달서구", "eupmyeondong": null, "eupmyeondongEtc": null, "address": "대구 달서구", "buildingCd": "2729012100110130000004084"}, "contacts": null, "used": true}]</t>
  </si>
  <si>
    <t>2014-10-22T04:46:19</t>
  </si>
  <si>
    <t>2025-02-04T22:24:14</t>
  </si>
  <si>
    <t>/userdata/dealer/photo/cht0109.jpg</t>
  </si>
  <si>
    <t>[{"companyType": "FIRM", "companyName": "롯데렌탈", "brn": "214-87-79183", "associationCd": 19, "associationName": null, "associationPhoneNumber": null, "certificatedEmployeeNumber": "GG25-00352", "address": {"zipcode": "14449 ", "location": null, "sido": "경기", "sigungu": "부천시", "eupmyeondong": null, "eupmyeondongEtc": null, "address": "경기 부천시 오정구", "buildingCd": "4119910700103660001044268"}, "contacts": null, "used": true}]</t>
  </si>
  <si>
    <t>2025-02-18T16:53:18</t>
  </si>
  <si>
    <t>2025-07-01T10:36:49</t>
  </si>
  <si>
    <t>/userdata/dealer/photo/lotte03.jpg</t>
  </si>
  <si>
    <t>[{"companyType": "FIRM", "companyName": "세원자동차", "brn": "724-29-00432", "associationCd": 27, "associationName": "인천엠파크 자동차매매사업조합", "associationPhoneNumber": "032-715-5533", "certificatedEmployeeNumber": "IM25-00857", "address": {"zipcode": "22840 ", "location": null, "sido": "인천", "sigungu": "서구", "eupmyeondong": null, "eupmyeondongEtc": null, "address": "인천 서구 봉수대로 158", "buildingCd": "2826011200101780105000001"}, "contacts": null, "used": true}]</t>
  </si>
  <si>
    <t>2020-06-29</t>
  </si>
  <si>
    <t>2009-01-09T11:48:00</t>
  </si>
  <si>
    <t>2025-11-28T15:13:33</t>
  </si>
  <si>
    <t>황카차</t>
  </si>
  <si>
    <t>/userdata/dealer/photo/hsj227.jpg</t>
  </si>
  <si>
    <t>[{"companyType": "FIRM", "companyName": "드림모터스", "brn": "134-16-50712", "associationCd": 28, "associationName": null, "associationPhoneNumber": null, "certificatedEmployeeNumber": "GC20-00639", "address": {"zipcode": "15457 ", "location": null, "sido": "경기", "sigungu": "안산시", "eupmyeondong": null, "eupmyeondongEtc": null, "address": "경기 안산시 단원구 원포공원1로 16", "buildingCd": "4127310700107450003000001"}, "contacts": null, "used": true}]</t>
  </si>
  <si>
    <t>2020-02-14T16:31:01</t>
  </si>
  <si>
    <t>2025-04-17T08:34:59</t>
  </si>
  <si>
    <t>[{"companyType": "FIRM", "companyName": "MK모터스", "brn": "135-28-60050", "associationCd": 28, "associationName": "경기 자동차매매사업조합", "associationPhoneNumber": "031-242-8940", "certificatedEmployeeNumber": "13-031-82055", "address": {"zipcode": "17095 ", "location": null, "sido": "경기", "sigungu": "용인시", "eupmyeondong": null, "eupmyeondongEtc": null, "address": "경기 용인시 기흥구 중부대로 242", "buildingCd": "4146311100100210001000001"}, "contacts": null, "used": true}]</t>
  </si>
  <si>
    <t>2008-07-26T13:14:22</t>
  </si>
  <si>
    <t>2025-01-14T15:49:31</t>
  </si>
  <si>
    <t>차파리</t>
  </si>
  <si>
    <t>/userdata/dealer/photo/CHO01020.jpg</t>
  </si>
  <si>
    <t>[{"companyType": "FIRM", "companyName": "(주)더챔", "brn": "696-73-00256", "associationCd": 14, "associationName": null, "associationPhoneNumber": null, "certificatedEmployeeNumber": "CB22-00002", "address": {"zipcode": "28308 ", "location": null, "sido": "충북", "sigungu": "청주시 청원구", "eupmyeondong": null, "eupmyeondongEtc": null, "address": "충북 청주시 청원구 2순환로 292", "buildingCd": "4311113200101850022000001"}, "contacts": null, "used": true}]</t>
  </si>
  <si>
    <t>2017-10-31T15:14:20</t>
  </si>
  <si>
    <t>2025-04-15T11:40:34</t>
  </si>
  <si>
    <t>추니추니</t>
  </si>
  <si>
    <t>/userdata/dealer/photo/chun9993.jpg</t>
  </si>
  <si>
    <t>[{"companyType": "FIRM", "companyName": "명문자동차", "brn": "347-01-00338", "associationCd": 28, "associationName": null, "associationPhoneNumber": null, "certificatedEmployeeNumber": "GC24-01348", "address": {"zipcode": "16602 ", "location": null, "sido": "경기", "sigungu": "수원시 권선구", "eupmyeondong": null, "eupmyeondongEtc": null, "address": "경기 수원시 권선구 권선로 308", "buildingCd": "4111312800100140134000001"}, "contacts": null, "used": true}]</t>
  </si>
  <si>
    <t>2021-07-26T15:52:28</t>
  </si>
  <si>
    <t>2025-04-08T18:11:30</t>
  </si>
  <si>
    <t>/userdata/dealer/photo/glakehtk95.jpeg</t>
  </si>
  <si>
    <t>[{"companyType": "FIRM", "companyName": "(주)이수오토", "brn": "615-87-00540", "associationCd": 29, "associationName": "대전 자동차매매사업조합", "associationPhoneNumber": "042-222-1551", "certificatedEmployeeNumber": "da13-03369", "address": {"zipcode": "34202 ", "location": null, "sido": "대전", "sigungu": "유성구", "eupmyeondong": null, "eupmyeondongEtc": null, "address": "대전 유성구", "buildingCd": "3020011600101890003015610"}, "contacts": null, "used": true}]</t>
  </si>
  <si>
    <t>2001-06-28T21:19:14</t>
  </si>
  <si>
    <t>2024-11-05T11:17:33</t>
  </si>
  <si>
    <t>이수오토</t>
  </si>
  <si>
    <t>/userdata/dealer/photo/sunleepre.jpg</t>
  </si>
  <si>
    <t>[{"companyType": "FIRM", "companyName": "넘버원모터스", "brn": "442-39-00261", "associationCd": 17, "associationName": "경남 자동차매매사업조합", "associationPhoneNumber": "055-256-0077", "certificatedEmployeeNumber": "23-055-00115", "address": {"zipcode": "51339 ", "location": null, "sido": "경남", "sigungu": "창원시 마산회원구", "eupmyeondong": null, "eupmyeondongEtc": null, "address": "경남 창원시 마산회원구", "buildingCd": "4812710500109740021000001"}, "contacts": null, "used": true}]</t>
  </si>
  <si>
    <t>2017-06-08T22:30:29</t>
  </si>
  <si>
    <t>2024-11-21T15:06:23</t>
  </si>
  <si>
    <t>dib모터스 최지훈</t>
  </si>
  <si>
    <t>/userdata/dealer/photo/manful83.jpg</t>
  </si>
  <si>
    <t>[{"companyType": "FIRM", "companyName": "기운 모터스", "brn": "111-02-71420", "associationCd": 28, "associationName": "경기 자동차매매사업조합", "associationPhoneNumber": "031-242-8940", "certificatedEmployeeNumber": "GC21-00639", "address": {"zipcode": "15082 ", "location": null, "sido": "경기", "sigungu": "시흥시", "eupmyeondong": null, "eupmyeondongEtc": null, "address": "경기 시흥시", "buildingCd": "4139013200121670002019332"}, "contacts": null, "used": true}]</t>
  </si>
  <si>
    <t>2015-11-04</t>
  </si>
  <si>
    <t>2013-04-29T13:02:58</t>
  </si>
  <si>
    <t>2024-12-10T10:41:37</t>
  </si>
  <si>
    <t>곰돌이카메니저</t>
  </si>
  <si>
    <t>/userdata/dealer/photo/rla7910aa.jpg</t>
  </si>
  <si>
    <t>[{"companyType": "FIRM", "companyName": "한국모터스", "brn": "508-02-95155", "associationCd": 8, "associationName": "경북 자동차매매사업조합", "associationPhoneNumber": "053-254-0555", "certificatedEmployeeNumber": "1905412057", "address": {"zipcode": "36621 ", "location": null, "sido": "경북", "sigungu": "안동시", "eupmyeondong": null, "eupmyeondongEtc": null, "address": "경북 안동시", "buildingCd": "4717025030107920001093523"}, "contacts": null, "used": true}]</t>
  </si>
  <si>
    <t>2020-09-24T17:27:22</t>
  </si>
  <si>
    <t>2024-10-24T13:57:41</t>
  </si>
  <si>
    <t>/userdata/dealer/photo/yunwh300.jpg</t>
  </si>
  <si>
    <t>[{"companyType": "FIRM", "companyName": "세종자동차", "brn": "740-88-00732", "associationCd": 29, "associationName": "대전 자동차매매사업조합", "associationPhoneNumber": "042-222-1551", "certificatedEmployeeNumber": "1004201188", "address": {"zipcode": "34202 ", "location": null, "sido": "대전", "sigungu": "유성구", "eupmyeondong": null, "eupmyeondongEtc": null, "address": "대전 유성구", "buildingCd": "3020011600102360000016826"}, "contacts": null, "used": true}]</t>
  </si>
  <si>
    <t>2006-07-07T17:03:57</t>
  </si>
  <si>
    <t>2024-11-21T10:00:37</t>
  </si>
  <si>
    <t>2025-10-21T17:04:05</t>
  </si>
  <si>
    <t>2025-10-31T10:04:58</t>
  </si>
  <si>
    <t>/userdata/dealer/photo/tokky123.jpg</t>
  </si>
  <si>
    <t>[{"companyType": "FIRM", "companyName": "뉴AK모터스자동차매매상사", "brn": "705-10-00652", "associationCd": 27, "associationName": "인천엠파크 자동차매매사업조합", "associationPhoneNumber": "032-715-5533", "certificatedEmployeeNumber": "2023-2025", "address": {"zipcode": "22840 ", "location": null, "sido": "인천", "sigungu": "서구", "eupmyeondong": null, "eupmyeondongEtc": null, "address": "인천 서구", "buildingCd": "2826011200101780105000001"}, "contacts": null, "used": true}]</t>
  </si>
  <si>
    <t>2023-03-16T09:21:50</t>
  </si>
  <si>
    <t>2024-11-04T23:59:55</t>
  </si>
  <si>
    <t>[{"companyType": "FIRM", "companyName": "(주)하나모터스", "brn": "804-88-00676", "associationCd": 0, "associationName": "강남 자동차매매사업조합", "associationPhoneNumber": "02-3414-7300", "certificatedEmployeeNumber": "SE22-01023", "address": {"zipcode": "06378 ", "location": null, "sido": "서울", "sigungu": "강남구", "eupmyeondong": null, "eupmyeondongEtc": null, "address": "서울 강남구 헌릉로745길 25", "buildingCd": "1168011300101080009000001"}, "contacts": null, "used": true}]</t>
  </si>
  <si>
    <t>2004-01-27T17:14:02</t>
  </si>
  <si>
    <t>2025-10-20T14:56:32</t>
  </si>
  <si>
    <t>신한조영주</t>
  </si>
  <si>
    <t>IPIN</t>
  </si>
  <si>
    <t>/userdata/dealer/photo/cho5136.jpg</t>
  </si>
  <si>
    <t>[{"companyType": "FIRM", "companyName": "형채와자동차", "brn": "314-86-35019", "associationCd": 24, "associationName": "대전오토월드 자동차매매사업조합", "associationPhoneNumber": "042-604-8800", "certificatedEmployeeNumber": "12-0623", "address": {"zipcode": "34202 ", "location": null, "sido": "대전", "sigungu": "유성구", "eupmyeondong": null, "eupmyeondongEtc": null, "address": "대전 유성구", "buildingCd": "3020011600101890003015610"}, "contacts": null, "used": true}]</t>
  </si>
  <si>
    <t>2016-09-26</t>
  </si>
  <si>
    <t>2002-09-10T23:58:01</t>
  </si>
  <si>
    <t>2025-01-02T11:51:46</t>
  </si>
  <si>
    <t>/userdata/dealer/photo/q1234qazxs.jpg</t>
  </si>
  <si>
    <t>[{"companyType": "FIRM", "companyName": "금화모터스", "brn": "516-25-01623", "associationCd": 28, "associationName": "경기 자동차매매사업조합", "associationPhoneNumber": "031-242-8940", "certificatedEmployeeNumber": "10-031-04525", "address": {"zipcode": "17878 ", "location": null, "sido": "경기", "sigungu": "평택시", "eupmyeondong": null, "eupmyeondongEtc": null, "address": "경기 평택시", "buildingCd": "4122011700101210008001618"}, "contacts": null, "used": true}]</t>
  </si>
  <si>
    <t>2004-02-14T11:41:08</t>
  </si>
  <si>
    <t>2024-10-28T13:56:31</t>
  </si>
  <si>
    <t>평택카마트</t>
  </si>
  <si>
    <t>[{"companyType": "FIRM", "companyName": "에이원모터스", "brn": "208-20-56386", "associationCd": 28, "associationName": null, "associationPhoneNumber": null, "certificatedEmployeeNumber": "GC23-00934", "address": {"zipcode": "15457 ", "location": null, "sido": "경기", "sigungu": "안산시 단원구", "eupmyeondong": null, "eupmyeondongEtc": null, "address": "경기 안산시 단원구", "buildingCd": "4127310700107440003010154"}, "contacts": null, "used": true}]</t>
  </si>
  <si>
    <t>2021-03-04T14:18:19</t>
  </si>
  <si>
    <t>2025-04-17T16:04:23</t>
  </si>
  <si>
    <t>/userdata/dealer/photo/jesus8801.jpg</t>
  </si>
  <si>
    <t>[{"companyType": "FIRM", "companyName": "세븐", "brn": "502-30-93375", "associationCd": 3, "associationName": null, "associationPhoneNumber": null, "certificatedEmployeeNumber": "23-053-00282", "address": {"zipcode": "41080 ", "location": null, "sido": "대구", "sigungu": "동구", "eupmyeondong": null, "eupmyeondongEtc": null, "address": "대구 동구 안심로59길 54", "buildingCd": "2714012300102920008000001"}, "contacts": null, "used": true}]</t>
  </si>
  <si>
    <t>2023-10-26T17:14:30</t>
  </si>
  <si>
    <t>2026-01-07T12:31:59</t>
  </si>
  <si>
    <t>/userdata/dealer/photo/dpdltpqms.jpg</t>
  </si>
  <si>
    <t>depth</t>
  </si>
  <si>
    <t>description</t>
  </si>
  <si>
    <t>exists</t>
  </si>
  <si>
    <t>parent.code</t>
  </si>
  <si>
    <t>parent.title</t>
  </si>
  <si>
    <t>path</t>
  </si>
  <si>
    <t>price</t>
  </si>
  <si>
    <t>section</t>
  </si>
  <si>
    <t>status.code</t>
  </si>
  <si>
    <t>status.title</t>
  </si>
  <si>
    <t>statusItemTypes</t>
  </si>
  <si>
    <t>statusTypes</t>
  </si>
  <si>
    <t>type.code</t>
  </si>
  <si>
    <t>type.title</t>
  </si>
  <si>
    <t>vehicleId</t>
  </si>
  <si>
    <t>inners</t>
  </si>
  <si>
    <t>S00</t>
  </si>
  <si>
    <t>자기진단</t>
  </si>
  <si>
    <t>inners &gt; 자기진단</t>
  </si>
  <si>
    <t>[{"code": "1", "title": "양호"}, {"code": "10", "title": "불량"}]</t>
  </si>
  <si>
    <t>s001</t>
  </si>
  <si>
    <t>원동기</t>
  </si>
  <si>
    <t>s002</t>
  </si>
  <si>
    <t>변속기</t>
  </si>
  <si>
    <t>S01</t>
  </si>
  <si>
    <t>inners &gt; 원동기</t>
  </si>
  <si>
    <t>s003</t>
  </si>
  <si>
    <t>작동상태(공회전)</t>
  </si>
  <si>
    <t>s0102</t>
  </si>
  <si>
    <t>오일누유</t>
  </si>
  <si>
    <t>inners &gt; 원동기 &gt; 오일누유</t>
  </si>
  <si>
    <t>없음</t>
  </si>
  <si>
    <t>[{"code": "3", "title": "없음"}, {"code": "6", "title": "미세누유"}, {"code": "7", "title": "누유"}]</t>
  </si>
  <si>
    <t>s004</t>
  </si>
  <si>
    <t>실린더 커버(로커암 커버)</t>
  </si>
  <si>
    <t>s005</t>
  </si>
  <si>
    <t>실린더 헤드 / 개스킷</t>
  </si>
  <si>
    <t>s006</t>
  </si>
  <si>
    <t>실린더 블록 / 오일팬</t>
  </si>
  <si>
    <t>적정</t>
  </si>
  <si>
    <t>[{"code": "2", "title": "적정"}, {"code": "8", "title": "부족"}]</t>
  </si>
  <si>
    <t>s007</t>
  </si>
  <si>
    <t>오일 유량</t>
  </si>
  <si>
    <t>s0104</t>
  </si>
  <si>
    <t>냉각수누수</t>
  </si>
  <si>
    <t>inners &gt; 원동기 &gt; 냉각수누수</t>
  </si>
  <si>
    <t>[{"code": "3", "title": "없음"}, {"code": "4", "title": "미세누수"}, {"code": "5", "title": "누수"}]</t>
  </si>
  <si>
    <t>s008</t>
  </si>
  <si>
    <t>s009</t>
  </si>
  <si>
    <t>워터펌프</t>
  </si>
  <si>
    <t>s010</t>
  </si>
  <si>
    <t>라디에이터</t>
  </si>
  <si>
    <t>s011</t>
  </si>
  <si>
    <t>냉각수 수량</t>
  </si>
  <si>
    <t>S02</t>
  </si>
  <si>
    <t>inners &gt; 변속기</t>
  </si>
  <si>
    <t>s0201</t>
  </si>
  <si>
    <t>자동변속기(A/T)</t>
  </si>
  <si>
    <t>inners &gt; 변속기 &gt; 자동변속기(A/T)</t>
  </si>
  <si>
    <t>s013</t>
  </si>
  <si>
    <t>[{"code": "2", "title": "적정"}, {"code": "8", "title": "부족"}, {"code": "9", "title": "과다"}]</t>
  </si>
  <si>
    <t>s014</t>
  </si>
  <si>
    <t>오일유량 및 상태</t>
  </si>
  <si>
    <t>s015</t>
  </si>
  <si>
    <t>s0202</t>
  </si>
  <si>
    <t>수동변속기(M/T)</t>
  </si>
  <si>
    <t>inners &gt; 변속기 &gt; 수동변속기(M/T)</t>
  </si>
  <si>
    <t>s016</t>
  </si>
  <si>
    <t>s017</t>
  </si>
  <si>
    <t>기어변속장치</t>
  </si>
  <si>
    <t>s018</t>
  </si>
  <si>
    <t>s019</t>
  </si>
  <si>
    <t>S03</t>
  </si>
  <si>
    <t>동력전달</t>
  </si>
  <si>
    <t>inners &gt; 동력전달</t>
  </si>
  <si>
    <t>s020</t>
  </si>
  <si>
    <t>클러치 어셈블리</t>
  </si>
  <si>
    <t>s021</t>
  </si>
  <si>
    <t>등속조인트</t>
  </si>
  <si>
    <t>s022</t>
  </si>
  <si>
    <t>추친축 및 베어링</t>
  </si>
  <si>
    <t>s037</t>
  </si>
  <si>
    <t>디피렌셜 기어</t>
  </si>
  <si>
    <t>S04</t>
  </si>
  <si>
    <t>조향</t>
  </si>
  <si>
    <t>inners &gt; 조향</t>
  </si>
  <si>
    <t>s023</t>
  </si>
  <si>
    <t>동력조향 작동 오일 누유</t>
  </si>
  <si>
    <t>S0402</t>
  </si>
  <si>
    <t>작동상태</t>
  </si>
  <si>
    <t>inners &gt; 조향 &gt; 작동상태</t>
  </si>
  <si>
    <t>s025</t>
  </si>
  <si>
    <t>스티어링 펌프</t>
  </si>
  <si>
    <t>s024</t>
  </si>
  <si>
    <t>스티어링 기어(MDPS포함)</t>
  </si>
  <si>
    <t>s038</t>
  </si>
  <si>
    <t>스티어링 조인트</t>
  </si>
  <si>
    <t>s039</t>
  </si>
  <si>
    <t>파워고압호스</t>
  </si>
  <si>
    <t>s026</t>
  </si>
  <si>
    <t>타이로드엔드 및 볼 조인트</t>
  </si>
  <si>
    <t>S05</t>
  </si>
  <si>
    <t>제동</t>
  </si>
  <si>
    <t>inners &gt; 제동</t>
  </si>
  <si>
    <t>s027</t>
  </si>
  <si>
    <t>브레이크 마스터 실린더오일 누유</t>
  </si>
  <si>
    <t>s028</t>
  </si>
  <si>
    <t>브레이크 오일 누유</t>
  </si>
  <si>
    <t>s029</t>
  </si>
  <si>
    <t>배력장치 상태</t>
  </si>
  <si>
    <t>S06</t>
  </si>
  <si>
    <t>전기</t>
  </si>
  <si>
    <t>inners &gt; 전기</t>
  </si>
  <si>
    <t>s030</t>
  </si>
  <si>
    <t>발전기 출력</t>
  </si>
  <si>
    <t>s031</t>
  </si>
  <si>
    <t>시동 모터</t>
  </si>
  <si>
    <t>s032</t>
  </si>
  <si>
    <t>와이퍼 모터 기능</t>
  </si>
  <si>
    <t>s033</t>
  </si>
  <si>
    <t>실내송풍 모터</t>
  </si>
  <si>
    <t>s034</t>
  </si>
  <si>
    <t>라디에이터 팬 모터</t>
  </si>
  <si>
    <t>s035</t>
  </si>
  <si>
    <t>윈도우 모터</t>
  </si>
  <si>
    <t>S07</t>
  </si>
  <si>
    <t>연료</t>
  </si>
  <si>
    <t>inners &gt; 연료</t>
  </si>
  <si>
    <t>[{"code": "3", "title": "없음"}, {"code": "11", "title": "있음"}]</t>
  </si>
  <si>
    <t>s036</t>
  </si>
  <si>
    <t>연료누출(LP가스포함)</t>
  </si>
  <si>
    <t>s012</t>
  </si>
  <si>
    <t>커먼레일</t>
  </si>
  <si>
    <t>outers</t>
  </si>
  <si>
    <t>[{"code": "W", "title": "판금/용접"}, {"code": "WC", "title": "용접,절단"}]</t>
  </si>
  <si>
    <t>P062</t>
  </si>
  <si>
    <t>쿼터 패널(우)</t>
  </si>
  <si>
    <t>[{"code": "W", "title": "판금/용접"}]</t>
  </si>
  <si>
    <t>P011</t>
  </si>
  <si>
    <t>후드</t>
  </si>
  <si>
    <t>[{"code": "X", "title": "교환(교체)"}]</t>
  </si>
  <si>
    <t>P021</t>
  </si>
  <si>
    <t>프론트 휀더(좌)</t>
  </si>
  <si>
    <t>P061</t>
  </si>
  <si>
    <t>쿼터 패널(좌)</t>
  </si>
  <si>
    <t>6</t>
  </si>
  <si>
    <t>미세누유</t>
  </si>
  <si>
    <t>S08</t>
  </si>
  <si>
    <t>고전원전기장치</t>
  </si>
  <si>
    <t>inners &gt; 고전원전기장치</t>
  </si>
  <si>
    <t>s040</t>
  </si>
  <si>
    <t>충전구 절연 상태</t>
  </si>
  <si>
    <t>s041</t>
  </si>
  <si>
    <t>구동축전지 격리 상태</t>
  </si>
  <si>
    <t>s042</t>
  </si>
  <si>
    <t>고전원전기배선 상태(접속단자, 피복, 보호기구)</t>
  </si>
  <si>
    <t>P022</t>
  </si>
  <si>
    <t>프론트 휀더(우)</t>
  </si>
  <si>
    <t>P051</t>
  </si>
  <si>
    <t>라디에이터 서포트(볼트체결부품)</t>
  </si>
  <si>
    <t>P032</t>
  </si>
  <si>
    <t>프론트 도어(우)</t>
  </si>
  <si>
    <t>P034</t>
  </si>
  <si>
    <t>리어 도어(우)</t>
  </si>
  <si>
    <t>P031</t>
  </si>
  <si>
    <t>프론트 도어(좌)</t>
  </si>
  <si>
    <t>P041</t>
  </si>
  <si>
    <t>트렁크 리드</t>
  </si>
  <si>
    <t>P181</t>
  </si>
  <si>
    <t>리어 패널</t>
  </si>
  <si>
    <t>P082</t>
  </si>
  <si>
    <t>사이드실 패널(우)</t>
  </si>
  <si>
    <t>P033</t>
  </si>
  <si>
    <t>리어 도어(좌)</t>
  </si>
  <si>
    <t>불량</t>
  </si>
  <si>
    <t>P111</t>
  </si>
  <si>
    <t>인사이드 패널(좌)</t>
  </si>
  <si>
    <t>P121</t>
  </si>
  <si>
    <t>프론트 사이드 멤버(좌)</t>
  </si>
  <si>
    <t>P091</t>
  </si>
  <si>
    <t>프론트 패널</t>
  </si>
  <si>
    <t>title</t>
  </si>
  <si>
    <t>type</t>
  </si>
  <si>
    <t>/carsdata/cars/inspection/41356587_photoPerform1.jpg</t>
  </si>
  <si>
    <t>자동차 기본정보&amp;종합상태
사고 교환 수리 등 이력</t>
  </si>
  <si>
    <t>I1</t>
  </si>
  <si>
    <t>/carsdata/cars/inspection/41356587_photoPerform2.jpg</t>
  </si>
  <si>
    <t>자동차 세부상태</t>
  </si>
  <si>
    <t>I2</t>
  </si>
  <si>
    <t>/carsdata/cars/inspection/41356587_photoPerform3.jpg</t>
  </si>
  <si>
    <t>자동차 세부상태&amp;기타정보</t>
  </si>
  <si>
    <t>I5</t>
  </si>
  <si>
    <t>/carsdata/cars/inspection/41356587_photoPerform4.jpg</t>
  </si>
  <si>
    <t>유의사항</t>
  </si>
  <si>
    <t>I3</t>
  </si>
  <si>
    <t>/carsdata/cars/inspection/41353573_photoPerform1.jpg</t>
  </si>
  <si>
    <t>/carsdata/cars/inspection/41353573_photoPerform2.jpg</t>
  </si>
  <si>
    <t>/carsdata/cars/inspection/41353573_photoPerform3.jpg</t>
  </si>
  <si>
    <t>/carsdata/cars/inspection/41353573_photoPerform4.jpg</t>
  </si>
  <si>
    <t>/carsdata/cars/inspection/41403456_photoPerform1.jpg</t>
  </si>
  <si>
    <t>/carsdata/cars/inspection/41403456_photoPerform2.jpg</t>
  </si>
  <si>
    <t>/carsdata/cars/inspection/41403456_photoPerform4.jpg</t>
  </si>
  <si>
    <t>/carsdata/cars/inspection/41390361_photoPerform1.jpg</t>
  </si>
  <si>
    <t>/carsdata/cars/inspection/41390361_photoPerform2.jpg</t>
  </si>
  <si>
    <t>/carsdata/cars/inspection/41390361_photoPerform3.jpg</t>
  </si>
  <si>
    <t>/carsdata/cars/inspection/41390361_photoPerform4.jpg</t>
  </si>
  <si>
    <t>/carsdata/cars/inspection/41403526_photoPerform1.jpg</t>
  </si>
  <si>
    <t>/carsdata/cars/inspection/41403526_photoPerform2.jpg</t>
  </si>
  <si>
    <t>/carsdata/cars/inspection/41403526_photoPerform3.jpg</t>
  </si>
  <si>
    <t>/carsdata/cars/inspection/41403526_photoPerform4.jpg</t>
  </si>
  <si>
    <t>/carsdata/cars/inspection/40279299_photoPerform1.jpg</t>
  </si>
  <si>
    <t>/carsdata/cars/inspection/40279299_photoPerform2.jpg</t>
  </si>
  <si>
    <t>/carsdata/cars/inspection/40279299_photoPerform3.jpg</t>
  </si>
  <si>
    <t>/carsdata/cars/inspection/40279299_photoPerform4.jpg</t>
  </si>
  <si>
    <t>/carsdata/cars/inspection/41017047_photoPerform1.jpg</t>
  </si>
  <si>
    <t>/carsdata/cars/inspection/41017047_photoPerform2.jpg</t>
  </si>
  <si>
    <t>/carsdata/cars/inspection/41017047_photoPerform3.jpg</t>
  </si>
  <si>
    <t>/carsdata/cars/inspection/41017047_photoPerform4.jpg</t>
  </si>
  <si>
    <t>/carsdata/cars/inspection/41298024_I1.jpg</t>
  </si>
  <si>
    <t>/carsdata/cars/inspection/41298024_I2.jpg</t>
  </si>
  <si>
    <t>/carsdata/cars/inspection/41298024_I5.jpg</t>
  </si>
  <si>
    <t>/carsdata/cars/inspection/41298024_I3.jpg</t>
  </si>
  <si>
    <t>/carsdata/cars/inspection/39870119_I1.jpg</t>
  </si>
  <si>
    <t>/carsdata/cars/inspection/39870119_I2.jpg</t>
  </si>
  <si>
    <t>/carsdata/cars/inspection/39870119_I5.jpg</t>
  </si>
  <si>
    <t>/carsdata/cars/inspection/39870119_I3.jpg</t>
  </si>
  <si>
    <t>/carsdata/cars/inspection/41326098_photoPerform1.jpg</t>
  </si>
  <si>
    <t>/carsdata/cars/inspection/41326098_photoPerform2.jpg</t>
  </si>
  <si>
    <t>/carsdata/cars/inspection/41326098_photoPerform3.jpg</t>
  </si>
  <si>
    <t>/carsdata/cars/inspection/41326098_photoPerform4.jpg</t>
  </si>
  <si>
    <t>/carsdata/cars/inspection/41307028_I1.jpg</t>
  </si>
  <si>
    <t>/carsdata/cars/inspection/41307028_I2.jpg</t>
  </si>
  <si>
    <t>/carsdata/cars/inspection/41307028_I5.jpg</t>
  </si>
  <si>
    <t>/carsdata/cars/inspection/41307028_I3.jpg</t>
  </si>
  <si>
    <t>/carsdata/cars/inspection/41376170_photoPerform1.jpg</t>
  </si>
  <si>
    <t>/carsdata/cars/inspection/41376170_photoPerform2.jpg</t>
  </si>
  <si>
    <t>/carsdata/cars/inspection/41376170_photoPerform3.jpg</t>
  </si>
  <si>
    <t>/carsdata/cars/inspection/41376170_photoPerform4.jpg</t>
  </si>
  <si>
    <t>/carsdata/cars/inspection/41381376_photoPerform1.jpg</t>
  </si>
  <si>
    <t>/carsdata/cars/inspection/41381376_photoPerform2.jpg</t>
  </si>
  <si>
    <t>/carsdata/cars/inspection/41381376_photoPerform3.jpg</t>
  </si>
  <si>
    <t>/carsdata/cars/inspection/41381376_photoPerform4.jpg</t>
  </si>
  <si>
    <t>/carsdata/cars/inspection/41383463_photoPerform1.jpg</t>
  </si>
  <si>
    <t>/carsdata/cars/inspection/41383463_photoPerform2.jpg</t>
  </si>
  <si>
    <t>/carsdata/cars/inspection/41383463_photoPerform3.jpg</t>
  </si>
  <si>
    <t>/carsdata/cars/inspection/41383463_photoPerform4.jpg</t>
  </si>
  <si>
    <t>/carsdata/cars/inspection/41395915_photoPerform1.jpg</t>
  </si>
  <si>
    <t>/carsdata/cars/inspection/41395915_photoPerform2.jpg</t>
  </si>
  <si>
    <t>/carsdata/cars/inspection/41395915_photoPerform3.jpg</t>
  </si>
  <si>
    <t>/carsdata/cars/inspection/41395915_photoPerform4.jpg</t>
  </si>
  <si>
    <t>/carsdata/cars/inspection/41309179_photoPerform1.jpg</t>
  </si>
  <si>
    <t>/carsdata/cars/inspection/41309179_photoPerform2.jpg</t>
  </si>
  <si>
    <t>/carsdata/cars/inspection/41309179_photoPerform3.jpg</t>
  </si>
  <si>
    <t>/carsdata/cars/inspection/41309179_photoPerform4.jpg</t>
  </si>
  <si>
    <t>/carsdata/cars/inspection/41309179_photoPerform5.jpg</t>
  </si>
  <si>
    <t>점검 장면 촬영 사진, 서명</t>
  </si>
  <si>
    <t>I4</t>
  </si>
  <si>
    <t>/carsdata/cars/inspection/40740292_photoPerform1.jpg</t>
  </si>
  <si>
    <t>/carsdata/cars/inspection/40740292_photoPerform2.jpg</t>
  </si>
  <si>
    <t>/carsdata/cars/inspection/40740292_photoPerform3.jpg</t>
  </si>
  <si>
    <t>/carsdata/cars/inspection/40740292_photoPerform4.jpg</t>
  </si>
  <si>
    <t>/carsdata/cars/inspection/40740292_photoPerform5.jpg</t>
  </si>
  <si>
    <t>/carsdata/cars/inspection/41085806_I1.jpg</t>
  </si>
  <si>
    <t>/carsdata/cars/inspection/40151520_I1.jpg</t>
  </si>
  <si>
    <t>/carsdata/cars/inspection/38557627_I1.jpg</t>
  </si>
  <si>
    <t>/carsdata/cars/inspection/41218565_I1.jpg</t>
  </si>
  <si>
    <t>/carsdata/cars/inspection/41218565_I2.jpg</t>
  </si>
  <si>
    <t>/carsdata/cars/inspection/40055487_I1.jpg</t>
  </si>
  <si>
    <t>/carsdata/cars/inspection/40055487_I2.jpg</t>
  </si>
  <si>
    <t>/carsdata/cars/inspection/39345655_I1.jpg</t>
  </si>
  <si>
    <t>/carsdata/cars/inspection/40952759_photoFront.jpg</t>
  </si>
  <si>
    <t>앞면</t>
  </si>
  <si>
    <t>M1</t>
  </si>
  <si>
    <t>/carsdata/cars/inspection/40952759_photoBack.jpg</t>
  </si>
  <si>
    <t>뒷면</t>
  </si>
  <si>
    <t>M2</t>
  </si>
  <si>
    <t>/carsdata/cars/inspection/41370416_photoFront.jpg</t>
  </si>
  <si>
    <t>/carsdata/cars/inspection/41370416_photoBack.jpg</t>
  </si>
  <si>
    <t>/carsdata/cars/inspection/41369527_photoFront.jpg</t>
  </si>
  <si>
    <t>/carsdata/cars/inspection/41369527_photoBack.jpg</t>
  </si>
  <si>
    <t>/carsdata/cars/inspection/41313544_photoFront.jpg</t>
  </si>
  <si>
    <t>/carsdata/cars/inspection/41313544_photoBack.jpg</t>
  </si>
  <si>
    <t>/carsdata/cars/inspection/39193215_photoFront.jpg</t>
  </si>
  <si>
    <t>/carsdata/cars/inspection/39193215_photoBack.jpg</t>
  </si>
  <si>
    <t>/carsdata/cars/inspection/41194026_photoFront.jpg</t>
  </si>
  <si>
    <t>/carsdata/cars/inspection/41194026_photoBack.jpg</t>
  </si>
  <si>
    <t>/carsdata/cars/inspection/41274924_photoFront.jpg</t>
  </si>
  <si>
    <t>/carsdata/cars/inspection/41274924_photoBack.jpg</t>
  </si>
  <si>
    <t>/carsdata/cars/inspection/41259286_photoFront.jpg</t>
  </si>
  <si>
    <t>/carsdata/cars/inspection/41259286_photoBack.jpg</t>
  </si>
  <si>
    <t>/carsdata/cars/inspection/41254301_photoPerform1.jpg</t>
  </si>
  <si>
    <t>/carsdata/cars/inspection/41254301_photoPerform2.jpg</t>
  </si>
  <si>
    <t>/carsdata/cars/inspection/41228721_photoFront.jpg</t>
  </si>
  <si>
    <t>/carsdata/cars/inspection/41228721_photoBack.jpg</t>
  </si>
  <si>
    <t>/carsdata/cars/inspection/41222823_photoFront.jpg</t>
  </si>
  <si>
    <t>/carsdata/cars/inspection/41222823_photoBack.jpg</t>
  </si>
  <si>
    <t>/carsdata/cars/inspection/41189810_photoFront.jpg</t>
  </si>
  <si>
    <t>/carsdata/cars/inspection/41189810_photoBack.jpg</t>
  </si>
  <si>
    <t>/carsdata/cars/inspection/41179282_photoFront.jpg</t>
  </si>
  <si>
    <t>/carsdata/cars/inspection/41179282_photoBack.jpg</t>
  </si>
  <si>
    <t>/carsdata/cars/inspection/41161416_photoFront.jpg</t>
  </si>
  <si>
    <t>/carsdata/cars/inspection/41161416_photoBack.jpg</t>
  </si>
  <si>
    <t>/carsdata/cars/inspection/41149660_photoFront.jpg</t>
  </si>
  <si>
    <t>/carsdata/cars/inspection/41149660_photoBack.jpg</t>
  </si>
  <si>
    <t>/carsdata/cars/inspection/41148444_I1.jpg</t>
  </si>
  <si>
    <t>/carsdata/cars/inspection/41148444_I2.jpg</t>
  </si>
  <si>
    <t>/carsdata/cars/inspection/41148444_I5.jpg</t>
  </si>
  <si>
    <t>/carsdata/cars/inspection/41148444_I3.jpg</t>
  </si>
  <si>
    <t>/carsdata/cars/inspection/40943677_photoFront.jpg</t>
  </si>
  <si>
    <t>/carsdata/cars/inspection/40943677_photoBack.jpg</t>
  </si>
  <si>
    <t>/carsdata/cars/inspection/40951140_photoFront.jpg</t>
  </si>
  <si>
    <t>/carsdata/cars/inspection/40951140_photoBack.jpg</t>
  </si>
  <si>
    <t>/carsdata/cars/inspection/41289569_photoFront.jpg</t>
  </si>
  <si>
    <t>/carsdata/cars/inspection/41289569_photoBack.jpg</t>
  </si>
  <si>
    <t>/carsdata/cars/inspection/41295732_photoPerform1.jpg</t>
  </si>
  <si>
    <t>/carsdata/cars/inspection/41295732_photoPerform2.jpg</t>
  </si>
  <si>
    <t>/carsdata/cars/inspection/41285870_photoFront.jpg</t>
  </si>
  <si>
    <t>/carsdata/cars/inspection/41285870_photoBack.jpg</t>
  </si>
  <si>
    <t>/carsdata/cars/inspection/41279771_photoFront.jpg</t>
  </si>
  <si>
    <t>/carsdata/cars/inspection/41279771_photoBack.jpg</t>
  </si>
  <si>
    <t>/carsdata/cars/inspection/40648835_photoFront.jpg</t>
  </si>
  <si>
    <t>/carsdata/cars/inspection/40648835_photoBack.jpg</t>
  </si>
  <si>
    <t>/carsdata/cars/inspection/40681023_photoFront.jpg</t>
  </si>
  <si>
    <t>/carsdata/cars/inspection/40681023_photoBack.jpg</t>
  </si>
  <si>
    <t>/carsdata/cars/inspection/40006270_I1.jpg</t>
  </si>
  <si>
    <t>/carsdata/cars/inspection/40006270_I2.jpg</t>
  </si>
  <si>
    <t>/carsdata/cars/inspection/40006270_I5.jpg</t>
  </si>
  <si>
    <t>/carsdata/cars/inspection/40006270_I3.jpg</t>
  </si>
  <si>
    <t>/carsdata/cars/inspection/40730683_photoFront.jpg</t>
  </si>
  <si>
    <t>/carsdata/cars/inspection/40730683_photoBack.jpg</t>
  </si>
  <si>
    <t>/carsdata/cars/inspection/41091081_photoFront.jpg</t>
  </si>
  <si>
    <t>/carsdata/cars/inspection/41091081_photoBack.jpg</t>
  </si>
  <si>
    <t>etcs</t>
  </si>
  <si>
    <t>수리필요</t>
  </si>
  <si>
    <t>etcs &gt; 수리필요</t>
  </si>
  <si>
    <t>e001</t>
  </si>
  <si>
    <t>외장</t>
  </si>
  <si>
    <t>e002</t>
  </si>
  <si>
    <t>내장</t>
  </si>
  <si>
    <t>e003</t>
  </si>
  <si>
    <t>광택</t>
  </si>
  <si>
    <t>e004</t>
  </si>
  <si>
    <t>룸 클리링</t>
  </si>
  <si>
    <t>[{"code": "1", "title": "운전석 전"}, {"code": "2", "title": "운전석 후"}, {"code": "3", "title": "동반석 전"}, {"code": "4", "title": "동반석 후"}, {"code": "5", "title": "응급"}]</t>
  </si>
  <si>
    <t>e005</t>
  </si>
  <si>
    <t>휠</t>
  </si>
  <si>
    <t>e006</t>
  </si>
  <si>
    <t>타이어</t>
  </si>
  <si>
    <t>e007</t>
  </si>
  <si>
    <t>유리</t>
  </si>
  <si>
    <t>기본품목</t>
  </si>
  <si>
    <t>etcs &gt; 기본품목</t>
  </si>
  <si>
    <t>[{"code": "1", "title": "사용설명서"}, {"code": "2", "title": "안전삼각대"}, {"code": "3", "title": "잭"}, {"code": "4", "title": "스패너"}]</t>
  </si>
  <si>
    <t>e008</t>
  </si>
  <si>
    <t>보유상태</t>
  </si>
  <si>
    <t>/carsdata/cars/inspection/41403456_photoPerform3.jpg</t>
    <phoneticPr fontId="3" type="noConversion"/>
  </si>
  <si>
    <t>https://ci.encar.com/carsdata/cars/inspection/41403456_photoPerform1.jpg</t>
  </si>
  <si>
    <t>url 전체형식</t>
    <phoneticPr fontId="3" type="noConversion"/>
  </si>
  <si>
    <t>carid</t>
    <phoneticPr fontId="3" type="noConversion"/>
  </si>
  <si>
    <t>판매금액</t>
    <phoneticPr fontId="3" type="noConversion"/>
  </si>
  <si>
    <t>제조사</t>
    <phoneticPr fontId="3" type="noConversion"/>
  </si>
  <si>
    <t>세부모델</t>
    <phoneticPr fontId="3" type="noConversion"/>
  </si>
  <si>
    <t>트림</t>
    <phoneticPr fontId="3" type="noConversion"/>
  </si>
  <si>
    <t>세부트림</t>
    <phoneticPr fontId="3" type="noConversion"/>
  </si>
  <si>
    <t>연식</t>
    <phoneticPr fontId="3" type="noConversion"/>
  </si>
  <si>
    <t>유종</t>
    <phoneticPr fontId="3" type="noConversion"/>
  </si>
  <si>
    <t>주행거리</t>
    <phoneticPr fontId="3" type="noConversion"/>
  </si>
  <si>
    <t>최초등록년월</t>
    <phoneticPr fontId="3" type="noConversion"/>
  </si>
  <si>
    <t>판매자ID</t>
    <phoneticPr fontId="3" type="noConversion"/>
  </si>
  <si>
    <t>판매자명</t>
    <phoneticPr fontId="3" type="noConversion"/>
  </si>
  <si>
    <t>판매자 세부정보(사업자등록번호, 조합, 전화번호, 매매사원번호등)</t>
    <phoneticPr fontId="3" type="noConversion"/>
  </si>
  <si>
    <t>사고이력</t>
    <phoneticPr fontId="3" type="noConversion"/>
  </si>
  <si>
    <t>성능점검등록방식</t>
    <phoneticPr fontId="3" type="noConversion"/>
  </si>
  <si>
    <t>성능점검지 이미지</t>
    <phoneticPr fontId="3" type="noConversion"/>
  </si>
  <si>
    <t>렌트이력</t>
    <phoneticPr fontId="3" type="noConversion"/>
  </si>
  <si>
    <t>차대번호</t>
    <phoneticPr fontId="3" type="noConversion"/>
  </si>
  <si>
    <t>단순수리</t>
    <phoneticPr fontId="3" type="noConversion"/>
  </si>
  <si>
    <t>유상옵션</t>
    <phoneticPr fontId="3" type="noConversion"/>
  </si>
  <si>
    <t>차량번호</t>
    <phoneticPr fontId="3" type="noConversion"/>
  </si>
  <si>
    <t>색상</t>
    <phoneticPr fontId="3" type="noConversion"/>
  </si>
  <si>
    <t>기본옵션</t>
    <phoneticPr fontId="3" type="noConversion"/>
  </si>
  <si>
    <t>차형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</si>
</sst>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_(* \(#,##0\);_(* &quot;-&quot;_);_(@_)"/>
  </numFmts>
  <fonts count="4">
    <font>
      <sz val="11"/>
      <color theme="1"/>
      <name val="맑은 고딕"/>
      <family val="2"/>
      <scheme val="minor"/>
    </font>
    <font>
      <b/>
      <sz val="11"/>
      <name val="맑은 고딕"/>
      <family val="2"/>
      <charset val="129"/>
    </font>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xf numFmtId="41" fontId="2" fillId="0" borderId="0" applyFont="0" applyFill="0" applyBorder="0" applyAlignment="0" applyProtection="0">
      <alignment vertical="center"/>
    </xf>
  </cellStyleXfs>
  <cellXfs count="3">
    <xf numFmtId="0" fontId="0" fillId="0" borderId="0" xfId="0"/>
    <xf numFmtId="0" fontId="1" fillId="0" borderId="0" xfId="0" applyFont="1" applyAlignment="1">
      <alignment vertical="center" wrapText="1"/>
    </xf>
    <xf numFmtId="41" fontId="0" fillId="0" borderId="0" xfId="1" applyFont="1" applyAlignment="1"/>
  </cellXfs>
  <cellStyles count="2">
    <cellStyle name="쉼표 [0]" xfId="1" builtinId="6"/>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6D08E-1F40-D94E-8C38-CF2ABBE17959}">
  <dimension ref="A1:Z101"/>
  <sheetViews>
    <sheetView tabSelected="1" workbookViewId="0">
      <selection activeCell="H31" sqref="H31"/>
    </sheetView>
  </sheetViews>
  <sheetFormatPr baseColWidth="10" defaultRowHeight="17"/>
  <cols>
    <col min="1" max="3" width="10" customWidth="1"/>
    <col min="14" max="14" width="12" bestFit="1" customWidth="1"/>
    <col min="16" max="16" width="17.6640625" customWidth="1"/>
    <col min="19" max="19" width="26.5" bestFit="1" customWidth="1"/>
  </cols>
  <sheetData>
    <row r="1" spans="1:26" ht="18">
      <c r="A1" s="1" t="s">
        <v>3681</v>
      </c>
      <c r="B1" s="1" t="s">
        <v>3701</v>
      </c>
      <c r="C1" s="1" t="s">
        <v>3702</v>
      </c>
      <c r="D1" t="s">
        <v>3683</v>
      </c>
      <c r="E1" t="s">
        <v>3684</v>
      </c>
      <c r="F1" t="s">
        <v>3685</v>
      </c>
      <c r="G1" t="s">
        <v>3686</v>
      </c>
      <c r="H1" t="s">
        <v>3687</v>
      </c>
      <c r="I1" t="s">
        <v>3688</v>
      </c>
      <c r="J1" t="s">
        <v>3704</v>
      </c>
      <c r="K1" t="s">
        <v>3682</v>
      </c>
      <c r="L1" t="s">
        <v>3689</v>
      </c>
      <c r="M1" t="s">
        <v>3690</v>
      </c>
      <c r="N1" t="s">
        <v>3691</v>
      </c>
      <c r="O1" t="s">
        <v>3692</v>
      </c>
      <c r="P1" t="s">
        <v>3693</v>
      </c>
      <c r="Q1" t="s">
        <v>3695</v>
      </c>
      <c r="R1" t="s">
        <v>3696</v>
      </c>
      <c r="S1" t="s">
        <v>3697</v>
      </c>
      <c r="V1" t="s">
        <v>3698</v>
      </c>
      <c r="W1" t="s">
        <v>3699</v>
      </c>
      <c r="X1" t="s">
        <v>3694</v>
      </c>
      <c r="Y1" t="s">
        <v>3700</v>
      </c>
      <c r="Z1" t="s">
        <v>3703</v>
      </c>
    </row>
    <row r="2" spans="1:26">
      <c r="A2" t="s">
        <v>1</v>
      </c>
      <c r="B2" t="str">
        <f>VLOOKUP(A2,vehicle_detail!$A$2:$DK$101,111,FALSE)</f>
        <v>157더9839</v>
      </c>
      <c r="C2" t="str">
        <f>VLOOKUP(A2,vehicle_detail!$A$2:$DK$101,101,FALSE)</f>
        <v>쥐색</v>
      </c>
      <c r="D2" t="str">
        <f>VLOOKUP(A2,list_100!$B$2:$P$101,9,FALSE)</f>
        <v>현대</v>
      </c>
      <c r="E2" t="str">
        <f>VLOOKUP(A2,list_100!$B$2:$P$101,11,FALSE)</f>
        <v>아반떼 (CN7)</v>
      </c>
      <c r="F2" t="str">
        <f>VLOOKUP(A2,list_100!$B$2:$P$101,2,FALSE)</f>
        <v>1.6</v>
      </c>
      <c r="G2" t="str">
        <f>VLOOKUP(A2,list_100!$B$2:$P$101,3,FALSE)</f>
        <v>모던</v>
      </c>
      <c r="H2" t="str">
        <f>VLOOKUP(A2,list_100!$B$2:$P$101,6,FALSE)</f>
        <v>2021</v>
      </c>
      <c r="I2" t="str">
        <f>VLOOKUP(A2,list_100!$B$2:$P$101,7,FALSE)</f>
        <v>가솔린</v>
      </c>
      <c r="J2" t="str">
        <f>VLOOKUP(A2,vehicle_detail!$A$2:$DK$101,100,FALSE)</f>
        <v>준중형차</v>
      </c>
      <c r="K2" s="2">
        <f>VLOOKUP(A2,list_100!$B$2:$P$101,15,FALSE)</f>
        <v>1219</v>
      </c>
      <c r="L2" s="2">
        <f>VLOOKUP(A2,list_100!$B$2:$P$101,10,FALSE)</f>
        <v>154242</v>
      </c>
      <c r="M2">
        <f>VLOOKUP(A2,list_100!$B$2:$V$101,21,FALSE)</f>
        <v>202010</v>
      </c>
      <c r="N2" t="str">
        <f>VLOOKUP(A2,seller_user!$A$2:$Y$101,2,FALSE)</f>
        <v>dnfltnghk92</v>
      </c>
      <c r="O2" t="str">
        <f>VLOOKUP(A2,seller_user!$A$2:$Y$101,25,FALSE)</f>
        <v>신윤석</v>
      </c>
      <c r="P2" t="str">
        <f>VLOOKUP(A2,seller_user!$A$2:$Y$101,3,FALSE)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2" t="str">
        <f>VLOOKUP(A2,inspection_detail_raw!A2:BK101,4,FALSE)</f>
        <v>["IMAGE"]</v>
      </c>
      <c r="R2" t="str">
        <f>IFERROR("https://ci.encar.com"&amp;VLOOKUP(A2,'성능점검 이미지정보'!A:E,2,FALSE),"")</f>
        <v>https://ci.encar.com/carsdata/cars/inspection/41356587_photoPerform1.jpg</v>
      </c>
      <c r="S2">
        <f>IFERROR(VLOOKUP(TEXT(A2,"0"), inspection_detail_raw!A:BK, 50, FALSE), "알수없음")</f>
        <v>0</v>
      </c>
      <c r="T2">
        <f>IFERROR(VLOOKUP(TEXT(A2,"0"), inspection_detail_raw!A:BK, 51, FALSE), "알수없음")</f>
        <v>0</v>
      </c>
      <c r="U2">
        <f>IFERROR(VLOOKUP(TEXT(A2,"0"), inspection_detail_raw!A:BK, 52, FALSE), "알수없음")</f>
        <v>0</v>
      </c>
      <c r="V2">
        <f>IFERROR(VLOOKUP(TEXT(A2,"0"), inspection_detail_raw!A:BK, 54, FALSE), "알수없음")</f>
        <v>0</v>
      </c>
      <c r="W2" t="b">
        <f>IFERROR(VLOOKUP(TEXT(A2,"0"), inspection_detail_raw!A:BK, 57, FALSE), "알수없음")</f>
        <v>1</v>
      </c>
      <c r="X2" t="str">
        <f>IFERROR(VLOOKUP(TEXT(A2,"0"), inspection_detail_raw!A:BK, 59, FALSE), "알수없음")</f>
        <v>[]</v>
      </c>
      <c r="Y2" t="str">
        <f>VLOOKUP(A2,vehicle_detail!$A$2:$DK$101,78,FALSE)</f>
        <v>["10001", "10008", "10006", "10002"]</v>
      </c>
      <c r="Z2" t="str">
        <f>VLOOKUP(A2,vehicle_detail!$A$2:$DK$101,80,FALSE)</f>
        <v>["001", "005", "006", "007", "008", "014", "015", "017", "019", "020", "021", "022", "023", "024", "026", "027", "030", "031", "032", "033", "034", "051", "055", "056", "057", "058", "072", "074", "077", "079", "082", "088", "094", "096", "097"]</v>
      </c>
    </row>
    <row r="3" spans="1:26">
      <c r="A3" t="s">
        <v>3</v>
      </c>
      <c r="B3" t="str">
        <f>VLOOKUP(A3,vehicle_detail!$A$2:$DK$101,111,FALSE)</f>
        <v>41모5330</v>
      </c>
      <c r="C3" t="str">
        <f>VLOOKUP(A3,vehicle_detail!$A$2:$DK$101,101,FALSE)</f>
        <v>쥐색</v>
      </c>
      <c r="D3" t="str">
        <f>VLOOKUP(A3,list_100!$B$2:$P$101,9,FALSE)</f>
        <v>현대</v>
      </c>
      <c r="E3" t="str">
        <f>VLOOKUP(A3,list_100!$B$2:$P$101,11,FALSE)</f>
        <v>싼타페 더 프라임</v>
      </c>
      <c r="F3" t="str">
        <f>VLOOKUP(A3,list_100!$B$2:$P$101,2,FALSE)</f>
        <v>디젤 2.0 2WD</v>
      </c>
      <c r="G3" t="str">
        <f>VLOOKUP(A3,list_100!$B$2:$P$101,3,FALSE)</f>
        <v>익스클루시브</v>
      </c>
      <c r="H3" t="str">
        <f>VLOOKUP(A3,list_100!$B$2:$P$101,6,FALSE)</f>
        <v>2016</v>
      </c>
      <c r="I3" t="str">
        <f>VLOOKUP(A3,list_100!$B$2:$P$101,7,FALSE)</f>
        <v>디젤</v>
      </c>
      <c r="J3" t="str">
        <f>VLOOKUP(A3,vehicle_detail!$A$2:$DK$101,100,FALSE)</f>
        <v>SUV</v>
      </c>
      <c r="K3" s="2">
        <f>VLOOKUP(A3,list_100!$B$2:$P$101,15,FALSE)</f>
        <v>1039</v>
      </c>
      <c r="L3" s="2">
        <f>VLOOKUP(A3,list_100!$B$2:$P$101,10,FALSE)</f>
        <v>179987</v>
      </c>
      <c r="M3">
        <f>VLOOKUP(A3,list_100!$B$2:$V$101,21,FALSE)</f>
        <v>201506</v>
      </c>
      <c r="N3" t="str">
        <f>VLOOKUP(A3,seller_user!$A$2:$Y$101,2,FALSE)</f>
        <v>dnfltnghk92</v>
      </c>
      <c r="O3" t="str">
        <f>VLOOKUP(A3,seller_user!$A$2:$Y$101,25,FALSE)</f>
        <v>신윤석</v>
      </c>
      <c r="P3" t="str">
        <f>VLOOKUP(A3,seller_user!$A$2:$Y$101,3,FALSE)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3" t="str">
        <f>VLOOKUP(A3,inspection_detail_raw!A3:BK102,4,FALSE)</f>
        <v>["IMAGE"]</v>
      </c>
      <c r="R3" t="str">
        <f>IFERROR("https://ci.encar.com"&amp;VLOOKUP(A3,'성능점검 이미지정보'!A:E,2,FALSE),"")</f>
        <v>https://ci.encar.com/carsdata/cars/inspection/41353573_photoPerform1.jpg</v>
      </c>
      <c r="S3">
        <f>VLOOKUP(A3,inspection_detail_raw!A3:BK102,50,FALSE)</f>
        <v>0</v>
      </c>
      <c r="T3">
        <f>IFERROR(VLOOKUP(TEXT(A3,"0"), inspection_detail_raw!A:BK, 51, FALSE), "알수없음")</f>
        <v>0</v>
      </c>
      <c r="U3">
        <f>IFERROR(VLOOKUP(TEXT(A3,"0"), inspection_detail_raw!A:BK, 52, FALSE), "알수없음")</f>
        <v>0</v>
      </c>
      <c r="V3">
        <f>IFERROR(VLOOKUP(TEXT(A3,"0"), inspection_detail_raw!A:BK, 54, FALSE), "알수없음")</f>
        <v>0</v>
      </c>
      <c r="W3" t="b">
        <f>IFERROR(VLOOKUP(TEXT(A3,"0"), inspection_detail_raw!A:BK, 57, FALSE), "알수없음")</f>
        <v>0</v>
      </c>
      <c r="X3" t="str">
        <f>IFERROR(VLOOKUP(TEXT(A3,"0"), inspection_detail_raw!A:BK, 59, FALSE), "알수없음")</f>
        <v>[]</v>
      </c>
      <c r="Y3" t="str">
        <f>VLOOKUP(A3,vehicle_detail!$A$2:$DK$101,78,FALSE)</f>
        <v>["1124", "1126", "1094"]</v>
      </c>
      <c r="Z3" t="str">
        <f>VLOOKUP(A3,vehicle_detail!$A$2:$DK$101,80,FALSE)</f>
        <v>["001", "003", "005", "006", "007", "008", "010", "014", "015", "017", "019", "020", "021", "022", "023", "024", "026", "027", "029", "030", "031", "032", "033", "034", "035", "051", "055", "056", "057", "058", "062", "063", "068", "071", "072", "074", "077", "082", "085", "092", "094", "096", "097"]</v>
      </c>
    </row>
    <row r="4" spans="1:26">
      <c r="A4" t="s">
        <v>4</v>
      </c>
      <c r="B4" t="str">
        <f>VLOOKUP(A4,vehicle_detail!$A$2:$DK$101,111,FALSE)</f>
        <v>57모1896</v>
      </c>
      <c r="C4" t="str">
        <f>VLOOKUP(A4,vehicle_detail!$A$2:$DK$101,101,FALSE)</f>
        <v>흰색</v>
      </c>
      <c r="D4" t="str">
        <f>VLOOKUP(A4,list_100!$B$2:$P$101,9,FALSE)</f>
        <v>현대</v>
      </c>
      <c r="E4" t="str">
        <f>VLOOKUP(A4,list_100!$B$2:$P$101,11,FALSE)</f>
        <v>그랜저 HG</v>
      </c>
      <c r="F4" t="str">
        <f>VLOOKUP(A4,list_100!$B$2:$P$101,2,FALSE)</f>
        <v>HG240 모던</v>
      </c>
      <c r="G4">
        <f>VLOOKUP(A4,list_100!$B$2:$P$101,3,FALSE)</f>
        <v>0</v>
      </c>
      <c r="H4" t="str">
        <f>VLOOKUP(A4,list_100!$B$2:$P$101,6,FALSE)</f>
        <v>2014</v>
      </c>
      <c r="I4" t="str">
        <f>VLOOKUP(A4,list_100!$B$2:$P$101,7,FALSE)</f>
        <v>가솔린</v>
      </c>
      <c r="J4" t="str">
        <f>VLOOKUP(A4,vehicle_detail!$A$2:$DK$101,100,FALSE)</f>
        <v>대형차</v>
      </c>
      <c r="K4" s="2">
        <f>VLOOKUP(A4,list_100!$B$2:$P$101,15,FALSE)</f>
        <v>459</v>
      </c>
      <c r="L4" s="2">
        <f>VLOOKUP(A4,list_100!$B$2:$P$101,10,FALSE)</f>
        <v>196565</v>
      </c>
      <c r="M4">
        <f>VLOOKUP(A4,list_100!$B$2:$V$101,21,FALSE)</f>
        <v>201306</v>
      </c>
      <c r="N4" t="str">
        <f>VLOOKUP(A4,seller_user!$A$2:$Y$101,2,FALSE)</f>
        <v>dnfltnghk92</v>
      </c>
      <c r="O4" t="str">
        <f>VLOOKUP(A4,seller_user!$A$2:$Y$101,25,FALSE)</f>
        <v>신윤석</v>
      </c>
      <c r="P4" t="str">
        <f>VLOOKUP(A4,seller_user!$A$2:$Y$101,3,FALSE)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4" t="str">
        <f>VLOOKUP(A4,inspection_detail_raw!A4:BK103,4,FALSE)</f>
        <v>["IMAGE"]</v>
      </c>
      <c r="R4" t="str">
        <f>IFERROR("https://ci.encar.com"&amp;VLOOKUP(A4,'성능점검 이미지정보'!A:E,2,FALSE),"")</f>
        <v>https://ci.encar.com/carsdata/cars/inspection/41403456_photoPerform1.jpg</v>
      </c>
      <c r="S4">
        <f>VLOOKUP(A4,inspection_detail_raw!A4:BK103,50,FALSE)</f>
        <v>0</v>
      </c>
      <c r="T4">
        <f>IFERROR(VLOOKUP(TEXT(A4,"0"), inspection_detail_raw!A:BK, 51, FALSE), "알수없음")</f>
        <v>0</v>
      </c>
      <c r="U4">
        <f>IFERROR(VLOOKUP(TEXT(A4,"0"), inspection_detail_raw!A:BK, 52, FALSE), "알수없음")</f>
        <v>0</v>
      </c>
      <c r="V4">
        <f>IFERROR(VLOOKUP(TEXT(A4,"0"), inspection_detail_raw!A:BK, 54, FALSE), "알수없음")</f>
        <v>0</v>
      </c>
      <c r="W4" t="b">
        <f>IFERROR(VLOOKUP(TEXT(A4,"0"), inspection_detail_raw!A:BK, 57, FALSE), "알수없음")</f>
        <v>0</v>
      </c>
      <c r="X4" t="str">
        <f>IFERROR(VLOOKUP(TEXT(A4,"0"), inspection_detail_raw!A:BK, 59, FALSE), "알수없음")</f>
        <v>[]</v>
      </c>
      <c r="Y4" t="str">
        <f>VLOOKUP(A4,vehicle_detail!$A$2:$DK$101,78,FALSE)</f>
        <v>["1128", "1125", "1129", "1109"]</v>
      </c>
      <c r="Z4" t="str">
        <f>VLOOKUP(A4,vehicle_detail!$A$2:$DK$101,80,FALSE)</f>
        <v>["001", "003", "005", "006", "007", "008", "010", "014", "015", "017", "019", "020", "021", "022", "023", "024", "026", "027", "030", "031", "032", "033", "034", "035", "051", "055", "056", "057", "058", "063", "068", "071", "072", "074", "077", "082", "085", "094", "096", "097"]</v>
      </c>
    </row>
    <row r="5" spans="1:26">
      <c r="A5" t="s">
        <v>5</v>
      </c>
      <c r="B5" t="str">
        <f>VLOOKUP(A5,vehicle_detail!$A$2:$DK$101,111,FALSE)</f>
        <v>166어8176</v>
      </c>
      <c r="C5" t="str">
        <f>VLOOKUP(A5,vehicle_detail!$A$2:$DK$101,101,FALSE)</f>
        <v>흰색</v>
      </c>
      <c r="D5" t="str">
        <f>VLOOKUP(A5,list_100!$B$2:$P$101,9,FALSE)</f>
        <v>현대</v>
      </c>
      <c r="E5" t="str">
        <f>VLOOKUP(A5,list_100!$B$2:$P$101,11,FALSE)</f>
        <v>더 뉴 아반떼 AD</v>
      </c>
      <c r="F5" t="str">
        <f>VLOOKUP(A5,list_100!$B$2:$P$101,2,FALSE)</f>
        <v>1.6</v>
      </c>
      <c r="G5" t="str">
        <f>VLOOKUP(A5,list_100!$B$2:$P$101,3,FALSE)</f>
        <v>스마트</v>
      </c>
      <c r="H5" t="str">
        <f>VLOOKUP(A5,list_100!$B$2:$P$101,6,FALSE)</f>
        <v>2019</v>
      </c>
      <c r="I5" t="str">
        <f>VLOOKUP(A5,list_100!$B$2:$P$101,7,FALSE)</f>
        <v>가솔린</v>
      </c>
      <c r="J5" t="str">
        <f>VLOOKUP(A5,vehicle_detail!$A$2:$DK$101,100,FALSE)</f>
        <v>준중형차</v>
      </c>
      <c r="K5" s="2">
        <f>VLOOKUP(A5,list_100!$B$2:$P$101,15,FALSE)</f>
        <v>999</v>
      </c>
      <c r="L5" s="2">
        <f>VLOOKUP(A5,list_100!$B$2:$P$101,10,FALSE)</f>
        <v>94655</v>
      </c>
      <c r="M5">
        <f>VLOOKUP(A5,list_100!$B$2:$V$101,21,FALSE)</f>
        <v>201810</v>
      </c>
      <c r="N5" t="str">
        <f>VLOOKUP(A5,seller_user!$A$2:$Y$101,2,FALSE)</f>
        <v>dnfltnghk92</v>
      </c>
      <c r="O5" t="str">
        <f>VLOOKUP(A5,seller_user!$A$2:$Y$101,25,FALSE)</f>
        <v>신윤석</v>
      </c>
      <c r="P5" t="str">
        <f>VLOOKUP(A5,seller_user!$A$2:$Y$101,3,FALSE)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5" t="str">
        <f>VLOOKUP(A5,inspection_detail_raw!A5:BK104,4,FALSE)</f>
        <v>["IMAGE"]</v>
      </c>
      <c r="R5" t="str">
        <f>IFERROR("https://ci.encar.com"&amp;VLOOKUP(A5,'성능점검 이미지정보'!A:E,2,FALSE),"")</f>
        <v>https://ci.encar.com/carsdata/cars/inspection/41390361_photoPerform1.jpg</v>
      </c>
      <c r="S5">
        <f>VLOOKUP(A5,inspection_detail_raw!A5:BK104,50,FALSE)</f>
        <v>0</v>
      </c>
      <c r="T5">
        <f>IFERROR(VLOOKUP(TEXT(A5,"0"), inspection_detail_raw!A:BK, 51, FALSE), "알수없음")</f>
        <v>0</v>
      </c>
      <c r="U5">
        <f>IFERROR(VLOOKUP(TEXT(A5,"0"), inspection_detail_raw!A:BK, 52, FALSE), "알수없음")</f>
        <v>0</v>
      </c>
      <c r="V5">
        <f>IFERROR(VLOOKUP(TEXT(A5,"0"), inspection_detail_raw!A:BK, 54, FALSE), "알수없음")</f>
        <v>0</v>
      </c>
      <c r="W5" t="b">
        <f>IFERROR(VLOOKUP(TEXT(A5,"0"), inspection_detail_raw!A:BK, 57, FALSE), "알수없음")</f>
        <v>1</v>
      </c>
      <c r="X5" t="str">
        <f>IFERROR(VLOOKUP(TEXT(A5,"0"), inspection_detail_raw!A:BK, 59, FALSE), "알수없음")</f>
        <v>[]</v>
      </c>
      <c r="Y5" t="str">
        <f>VLOOKUP(A5,vehicle_detail!$A$2:$DK$101,78,FALSE)</f>
        <v>["1143", "1144", "1142"]</v>
      </c>
      <c r="Z5" t="str">
        <f>VLOOKUP(A5,vehicle_detail!$A$2:$DK$101,80,FALSE)</f>
        <v>["001", "005", "006", "007", "008", "014", "015", "017", "019", "020", "022", "023", "024", "026", "027", "030", "031", "032", "033", "055", "056", "057", "058", "071", "072", "074", "075", "082", "088", "096", "097"]</v>
      </c>
    </row>
    <row r="6" spans="1:26">
      <c r="A6" t="s">
        <v>6</v>
      </c>
      <c r="B6" t="str">
        <f>VLOOKUP(A6,vehicle_detail!$A$2:$DK$101,111,FALSE)</f>
        <v>46로4665</v>
      </c>
      <c r="C6" t="str">
        <f>VLOOKUP(A6,vehicle_detail!$A$2:$DK$101,101,FALSE)</f>
        <v>흰색</v>
      </c>
      <c r="D6" t="str">
        <f>VLOOKUP(A6,list_100!$B$2:$P$101,9,FALSE)</f>
        <v>현대</v>
      </c>
      <c r="E6" t="str">
        <f>VLOOKUP(A6,list_100!$B$2:$P$101,11,FALSE)</f>
        <v>i30(신형)</v>
      </c>
      <c r="F6" t="str">
        <f>VLOOKUP(A6,list_100!$B$2:$P$101,2,FALSE)</f>
        <v>디젤 1.6 VGT 익스트림</v>
      </c>
      <c r="G6">
        <f>VLOOKUP(A6,list_100!$B$2:$P$101,3,FALSE)</f>
        <v>0</v>
      </c>
      <c r="H6" t="str">
        <f>VLOOKUP(A6,list_100!$B$2:$P$101,6,FALSE)</f>
        <v>2012</v>
      </c>
      <c r="I6" t="str">
        <f>VLOOKUP(A6,list_100!$B$2:$P$101,7,FALSE)</f>
        <v>디젤</v>
      </c>
      <c r="J6" t="str">
        <f>VLOOKUP(A6,vehicle_detail!$A$2:$DK$101,100,FALSE)</f>
        <v>준중형차</v>
      </c>
      <c r="K6" s="2">
        <f>VLOOKUP(A6,list_100!$B$2:$P$101,15,FALSE)</f>
        <v>549</v>
      </c>
      <c r="L6" s="2">
        <f>VLOOKUP(A6,list_100!$B$2:$P$101,10,FALSE)</f>
        <v>165201</v>
      </c>
      <c r="M6">
        <f>VLOOKUP(A6,list_100!$B$2:$V$101,21,FALSE)</f>
        <v>201212</v>
      </c>
      <c r="N6" t="str">
        <f>VLOOKUP(A6,seller_user!$A$2:$Y$101,2,FALSE)</f>
        <v>dnfltnghk92</v>
      </c>
      <c r="O6" t="str">
        <f>VLOOKUP(A6,seller_user!$A$2:$Y$101,25,FALSE)</f>
        <v>신윤석</v>
      </c>
      <c r="P6" t="str">
        <f>VLOOKUP(A6,seller_user!$A$2:$Y$101,3,FALSE)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6" t="str">
        <f>VLOOKUP(A6,inspection_detail_raw!A6:BK105,4,FALSE)</f>
        <v>["IMAGE"]</v>
      </c>
      <c r="R6" t="str">
        <f>IFERROR("https://ci.encar.com"&amp;VLOOKUP(A6,'성능점검 이미지정보'!A:E,2,FALSE),"")</f>
        <v>https://ci.encar.com/carsdata/cars/inspection/41403526_photoPerform1.jpg</v>
      </c>
      <c r="S6">
        <f>VLOOKUP(A6,inspection_detail_raw!A6:BK105,50,FALSE)</f>
        <v>0</v>
      </c>
      <c r="T6">
        <f>IFERROR(VLOOKUP(TEXT(A6,"0"), inspection_detail_raw!A:BK, 51, FALSE), "알수없음")</f>
        <v>0</v>
      </c>
      <c r="U6">
        <f>IFERROR(VLOOKUP(TEXT(A6,"0"), inspection_detail_raw!A:BK, 52, FALSE), "알수없음")</f>
        <v>0</v>
      </c>
      <c r="V6">
        <f>IFERROR(VLOOKUP(TEXT(A6,"0"), inspection_detail_raw!A:BK, 54, FALSE), "알수없음")</f>
        <v>0</v>
      </c>
      <c r="W6" t="b">
        <f>IFERROR(VLOOKUP(TEXT(A6,"0"), inspection_detail_raw!A:BK, 57, FALSE), "알수없음")</f>
        <v>0</v>
      </c>
      <c r="X6" t="str">
        <f>IFERROR(VLOOKUP(TEXT(A6,"0"), inspection_detail_raw!A:BK, 59, FALSE), "알수없음")</f>
        <v>[]</v>
      </c>
      <c r="Y6" t="str">
        <f>VLOOKUP(A6,vehicle_detail!$A$2:$DK$101,78,FALSE)</f>
        <v>["1005", "1007", "1004", "1010"]</v>
      </c>
      <c r="Z6" t="str">
        <f>VLOOKUP(A6,vehicle_detail!$A$2:$DK$101,80,FALSE)</f>
        <v>["001", "003", "005", "006", "007", "008", "010", "014", "015", "017", "019", "020", "021", "022", "023", "024", "026", "027", "029", "030", "031", "032", "055", "056", "057", "058", "071", "072", "074", "094", "096", "097"]</v>
      </c>
    </row>
    <row r="7" spans="1:26">
      <c r="A7" t="s">
        <v>7</v>
      </c>
      <c r="B7" t="str">
        <f>VLOOKUP(A7,vehicle_detail!$A$2:$DK$101,111,FALSE)</f>
        <v>69부0622</v>
      </c>
      <c r="C7" t="str">
        <f>VLOOKUP(A7,vehicle_detail!$A$2:$DK$101,101,FALSE)</f>
        <v>은색</v>
      </c>
      <c r="D7" t="str">
        <f>VLOOKUP(A7,list_100!$B$2:$P$101,9,FALSE)</f>
        <v>현대</v>
      </c>
      <c r="E7" t="str">
        <f>VLOOKUP(A7,list_100!$B$2:$P$101,11,FALSE)</f>
        <v>LF 쏘나타</v>
      </c>
      <c r="F7" t="str">
        <f>VLOOKUP(A7,list_100!$B$2:$P$101,2,FALSE)</f>
        <v>2.0 스마트</v>
      </c>
      <c r="G7" t="str">
        <f>VLOOKUP(A7,list_100!$B$2:$P$101,3,FALSE)</f>
        <v>스페셜</v>
      </c>
      <c r="H7" t="str">
        <f>VLOOKUP(A7,list_100!$B$2:$P$101,6,FALSE)</f>
        <v>2016</v>
      </c>
      <c r="I7" t="str">
        <f>VLOOKUP(A7,list_100!$B$2:$P$101,7,FALSE)</f>
        <v>가솔린</v>
      </c>
      <c r="J7" t="str">
        <f>VLOOKUP(A7,vehicle_detail!$A$2:$DK$101,100,FALSE)</f>
        <v>중형차</v>
      </c>
      <c r="K7" s="2">
        <f>VLOOKUP(A7,list_100!$B$2:$P$101,15,FALSE)</f>
        <v>669</v>
      </c>
      <c r="L7" s="2">
        <f>VLOOKUP(A7,list_100!$B$2:$P$101,10,FALSE)</f>
        <v>182436</v>
      </c>
      <c r="M7">
        <f>VLOOKUP(A7,list_100!$B$2:$V$101,21,FALSE)</f>
        <v>201609</v>
      </c>
      <c r="N7" t="str">
        <f>VLOOKUP(A7,seller_user!$A$2:$Y$101,2,FALSE)</f>
        <v>dnfltnghk92</v>
      </c>
      <c r="O7" t="str">
        <f>VLOOKUP(A7,seller_user!$A$2:$Y$101,25,FALSE)</f>
        <v>신윤석</v>
      </c>
      <c r="P7" t="str">
        <f>VLOOKUP(A7,seller_user!$A$2:$Y$101,3,FALSE)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7" t="str">
        <f>VLOOKUP(A7,inspection_detail_raw!A7:BK106,4,FALSE)</f>
        <v>["IMAGE"]</v>
      </c>
      <c r="R7" t="str">
        <f>IFERROR("https://ci.encar.com"&amp;VLOOKUP(A7,'성능점검 이미지정보'!A:E,2,FALSE),"")</f>
        <v>https://ci.encar.com/carsdata/cars/inspection/40279299_photoPerform1.jpg</v>
      </c>
      <c r="S7">
        <f>VLOOKUP(A7,inspection_detail_raw!A7:BK106,50,FALSE)</f>
        <v>0</v>
      </c>
      <c r="T7">
        <f>IFERROR(VLOOKUP(TEXT(A7,"0"), inspection_detail_raw!A:BK, 51, FALSE), "알수없음")</f>
        <v>0</v>
      </c>
      <c r="U7">
        <f>IFERROR(VLOOKUP(TEXT(A7,"0"), inspection_detail_raw!A:BK, 52, FALSE), "알수없음")</f>
        <v>0</v>
      </c>
      <c r="V7">
        <f>IFERROR(VLOOKUP(TEXT(A7,"0"), inspection_detail_raw!A:BK, 54, FALSE), "알수없음")</f>
        <v>0</v>
      </c>
      <c r="W7" t="b">
        <f>IFERROR(VLOOKUP(TEXT(A7,"0"), inspection_detail_raw!A:BK, 57, FALSE), "알수없음")</f>
        <v>1</v>
      </c>
      <c r="X7" t="str">
        <f>IFERROR(VLOOKUP(TEXT(A7,"0"), inspection_detail_raw!A:BK, 59, FALSE), "알수없음")</f>
        <v>[]</v>
      </c>
      <c r="Y7" t="str">
        <f>VLOOKUP(A7,vehicle_detail!$A$2:$DK$101,78,FALSE)</f>
        <v>[]</v>
      </c>
      <c r="Z7" t="str">
        <f>VLOOKUP(A7,vehicle_detail!$A$2:$DK$101,80,FALSE)</f>
        <v>["001", "003", "005", "006", "007", "008", "014", "015", "017", "019", "020", "021", "022", "023", "024", "026", "027", "030", "031", "032", "033", "034", "035", "055", "056", "057", "058", "068", "071", "072", "074", "077", "082", "086", "094", "096", "097"]</v>
      </c>
    </row>
    <row r="8" spans="1:26">
      <c r="A8" t="s">
        <v>8</v>
      </c>
      <c r="B8" t="str">
        <f>VLOOKUP(A8,vehicle_detail!$A$2:$DK$101,111,FALSE)</f>
        <v>87너0218</v>
      </c>
      <c r="C8" t="str">
        <f>VLOOKUP(A8,vehicle_detail!$A$2:$DK$101,101,FALSE)</f>
        <v>은색</v>
      </c>
      <c r="D8" t="str">
        <f>VLOOKUP(A8,list_100!$B$2:$P$101,9,FALSE)</f>
        <v>현대</v>
      </c>
      <c r="E8" t="str">
        <f>VLOOKUP(A8,list_100!$B$2:$P$101,11,FALSE)</f>
        <v>더 뉴 그랜드 스타렉스</v>
      </c>
      <c r="F8" t="str">
        <f>VLOOKUP(A8,list_100!$B$2:$P$101,2,FALSE)</f>
        <v>밴 5인승</v>
      </c>
      <c r="G8" t="str">
        <f>VLOOKUP(A8,list_100!$B$2:$P$101,3,FALSE)</f>
        <v>스타일</v>
      </c>
      <c r="H8" t="str">
        <f>VLOOKUP(A8,list_100!$B$2:$P$101,6,FALSE)</f>
        <v>2021</v>
      </c>
      <c r="I8" t="str">
        <f>VLOOKUP(A8,list_100!$B$2:$P$101,7,FALSE)</f>
        <v>디젤</v>
      </c>
      <c r="J8" t="str">
        <f>VLOOKUP(A8,vehicle_detail!$A$2:$DK$101,100,FALSE)</f>
        <v>승합차</v>
      </c>
      <c r="K8" s="2">
        <f>VLOOKUP(A8,list_100!$B$2:$P$101,15,FALSE)</f>
        <v>1419</v>
      </c>
      <c r="L8" s="2">
        <f>VLOOKUP(A8,list_100!$B$2:$P$101,10,FALSE)</f>
        <v>64214</v>
      </c>
      <c r="M8">
        <f>VLOOKUP(A8,list_100!$B$2:$V$101,21,FALSE)</f>
        <v>202010</v>
      </c>
      <c r="N8" t="str">
        <f>VLOOKUP(A8,seller_user!$A$2:$Y$101,2,FALSE)</f>
        <v>dnfltnghk92</v>
      </c>
      <c r="O8" t="str">
        <f>VLOOKUP(A8,seller_user!$A$2:$Y$101,25,FALSE)</f>
        <v>신윤석</v>
      </c>
      <c r="P8" t="str">
        <f>VLOOKUP(A8,seller_user!$A$2:$Y$101,3,FALSE)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8" t="str">
        <f>VLOOKUP(A8,inspection_detail_raw!A8:BK107,4,FALSE)</f>
        <v>["IMAGE"]</v>
      </c>
      <c r="R8" t="str">
        <f>IFERROR("https://ci.encar.com"&amp;VLOOKUP(A8,'성능점검 이미지정보'!A:E,2,FALSE),"")</f>
        <v>https://ci.encar.com/carsdata/cars/inspection/41017047_photoPerform1.jpg</v>
      </c>
      <c r="S8">
        <f>VLOOKUP(A8,inspection_detail_raw!A8:BK107,50,FALSE)</f>
        <v>0</v>
      </c>
      <c r="T8">
        <f>IFERROR(VLOOKUP(TEXT(A8,"0"), inspection_detail_raw!A:BK, 51, FALSE), "알수없음")</f>
        <v>0</v>
      </c>
      <c r="U8">
        <f>IFERROR(VLOOKUP(TEXT(A8,"0"), inspection_detail_raw!A:BK, 52, FALSE), "알수없음")</f>
        <v>0</v>
      </c>
      <c r="V8">
        <f>IFERROR(VLOOKUP(TEXT(A8,"0"), inspection_detail_raw!A:BK, 54, FALSE), "알수없음")</f>
        <v>0</v>
      </c>
      <c r="W8" t="b">
        <f>IFERROR(VLOOKUP(TEXT(A8,"0"), inspection_detail_raw!A:BK, 57, FALSE), "알수없음")</f>
        <v>1</v>
      </c>
      <c r="X8" t="str">
        <f>IFERROR(VLOOKUP(TEXT(A8,"0"), inspection_detail_raw!A:BK, 59, FALSE), "알수없음")</f>
        <v>[]</v>
      </c>
      <c r="Y8" t="str">
        <f>VLOOKUP(A8,vehicle_detail!$A$2:$DK$101,78,FALSE)</f>
        <v>["1009"]</v>
      </c>
      <c r="Z8" t="str">
        <f>VLOOKUP(A8,vehicle_detail!$A$2:$DK$101,80,FALSE)</f>
        <v>["001", "006", "007", "008", "014", "015", "019", "020", "024", "026", "027", "032", "033", "055", "071", "072"]</v>
      </c>
    </row>
    <row r="9" spans="1:26">
      <c r="A9" t="s">
        <v>9</v>
      </c>
      <c r="B9" t="str">
        <f>VLOOKUP(A9,vehicle_detail!$A$2:$DK$101,111,FALSE)</f>
        <v>238루8208</v>
      </c>
      <c r="C9" t="str">
        <f>VLOOKUP(A9,vehicle_detail!$A$2:$DK$101,101,FALSE)</f>
        <v>흰색</v>
      </c>
      <c r="D9" t="str">
        <f>VLOOKUP(A9,list_100!$B$2:$P$101,9,FALSE)</f>
        <v>현대</v>
      </c>
      <c r="E9" t="str">
        <f>VLOOKUP(A9,list_100!$B$2:$P$101,11,FALSE)</f>
        <v>더 뉴 싼타페</v>
      </c>
      <c r="F9" t="str">
        <f>VLOOKUP(A9,list_100!$B$2:$P$101,2,FALSE)</f>
        <v>디젤 2.2 2WD</v>
      </c>
      <c r="G9" t="str">
        <f>VLOOKUP(A9,list_100!$B$2:$P$101,3,FALSE)</f>
        <v>프리미엄 초이스</v>
      </c>
      <c r="H9" t="str">
        <f>VLOOKUP(A9,list_100!$B$2:$P$101,6,FALSE)</f>
        <v>2021</v>
      </c>
      <c r="I9" t="str">
        <f>VLOOKUP(A9,list_100!$B$2:$P$101,7,FALSE)</f>
        <v>디젤</v>
      </c>
      <c r="J9" t="str">
        <f>VLOOKUP(A9,vehicle_detail!$A$2:$DK$101,100,FALSE)</f>
        <v>SUV</v>
      </c>
      <c r="K9" s="2">
        <f>VLOOKUP(A9,list_100!$B$2:$P$101,15,FALSE)</f>
        <v>2180</v>
      </c>
      <c r="L9" s="2">
        <f>VLOOKUP(A9,list_100!$B$2:$P$101,10,FALSE)</f>
        <v>117174</v>
      </c>
      <c r="M9">
        <f>VLOOKUP(A9,list_100!$B$2:$V$101,21,FALSE)</f>
        <v>202012</v>
      </c>
      <c r="N9" t="str">
        <f>VLOOKUP(A9,seller_user!$A$2:$Y$101,2,FALSE)</f>
        <v>dksdudtn9326</v>
      </c>
      <c r="O9" t="str">
        <f>VLOOKUP(A9,seller_user!$A$2:$Y$101,25,FALSE)</f>
        <v>안영수</v>
      </c>
      <c r="P9" t="str">
        <f>VLOOKUP(A9,seller_user!$A$2:$Y$101,3,FALSE)</f>
        <v>[{"companyType": "FIRM", "companyName": "고바우", "brn": "410-86-47910", "associationCd": 7, "associationName": "광주 자동차매매사업조합", "associationPhoneNumber": "062-384-3820", "certificatedEmployeeNumber": "18-062-00501", "address": {"zipcode": "62071 ", "location": null, "sido": "광주", "sigungu": "서구", "eupmyeondong": null, "eupmyeondongEtc": null, "address": "광주 서구 매월1로 48", "buildingCd": "2914013200106210018000001"}, "contacts": null, "used": true}]</v>
      </c>
      <c r="Q9" t="str">
        <f>VLOOKUP(A9,inspection_detail_raw!A9:BK108,4,FALSE)</f>
        <v>["IMAGE"]</v>
      </c>
      <c r="R9" t="str">
        <f>IFERROR("https://ci.encar.com"&amp;VLOOKUP(A9,'성능점검 이미지정보'!A:E,2,FALSE),"")</f>
        <v>https://ci.encar.com/carsdata/cars/inspection/41298024_I1.jpg</v>
      </c>
      <c r="S9">
        <f>VLOOKUP(A9,inspection_detail_raw!A9:BK108,50,FALSE)</f>
        <v>0</v>
      </c>
      <c r="T9">
        <f>IFERROR(VLOOKUP(TEXT(A9,"0"), inspection_detail_raw!A:BK, 51, FALSE), "알수없음")</f>
        <v>0</v>
      </c>
      <c r="U9">
        <f>IFERROR(VLOOKUP(TEXT(A9,"0"), inspection_detail_raw!A:BK, 52, FALSE), "알수없음")</f>
        <v>0</v>
      </c>
      <c r="V9">
        <f>IFERROR(VLOOKUP(TEXT(A9,"0"), inspection_detail_raw!A:BK, 54, FALSE), "알수없음")</f>
        <v>0</v>
      </c>
      <c r="W9" t="b">
        <f>IFERROR(VLOOKUP(TEXT(A9,"0"), inspection_detail_raw!A:BK, 57, FALSE), "알수없음")</f>
        <v>0</v>
      </c>
      <c r="X9" t="str">
        <f>IFERROR(VLOOKUP(TEXT(A9,"0"), inspection_detail_raw!A:BK, 59, FALSE), "알수없음")</f>
        <v>[]</v>
      </c>
      <c r="Y9" t="str">
        <f>VLOOKUP(A9,vehicle_detail!$A$2:$DK$101,78,FALSE)</f>
        <v>["1035", "10002"]</v>
      </c>
      <c r="Z9" t="str">
        <f>VLOOKUP(A9,vehicle_detail!$A$2:$DK$101,80,FALSE)</f>
        <v>["001", "004", "005", "006", "007", "008", "014", "015", "017", "019", "020", "021", "022", "023", "024", "026", "027", "031", "032", "033", "034", "035", "055", "056", "057", "058", "059", "063", "068", "072", "074", "075", "077", "082", "084", "085", "088", "094", "096", "097"]</v>
      </c>
    </row>
    <row r="10" spans="1:26">
      <c r="A10" t="s">
        <v>11</v>
      </c>
      <c r="B10" t="str">
        <f>VLOOKUP(A10,vehicle_detail!$A$2:$DK$101,111,FALSE)</f>
        <v>25수3077</v>
      </c>
      <c r="C10" t="str">
        <f>VLOOKUP(A10,vehicle_detail!$A$2:$DK$101,101,FALSE)</f>
        <v>검정색</v>
      </c>
      <c r="D10" t="str">
        <f>VLOOKUP(A10,list_100!$B$2:$P$101,9,FALSE)</f>
        <v>현대</v>
      </c>
      <c r="E10" t="str">
        <f>VLOOKUP(A10,list_100!$B$2:$P$101,11,FALSE)</f>
        <v>그랜저 HG</v>
      </c>
      <c r="F10" t="str">
        <f>VLOOKUP(A10,list_100!$B$2:$P$101,2,FALSE)</f>
        <v>HG300 프라임</v>
      </c>
      <c r="G10">
        <f>VLOOKUP(A10,list_100!$B$2:$P$101,3,FALSE)</f>
        <v>0</v>
      </c>
      <c r="H10" t="str">
        <f>VLOOKUP(A10,list_100!$B$2:$P$101,6,FALSE)</f>
        <v>2012</v>
      </c>
      <c r="I10" t="str">
        <f>VLOOKUP(A10,list_100!$B$2:$P$101,7,FALSE)</f>
        <v>가솔린</v>
      </c>
      <c r="J10" t="str">
        <f>VLOOKUP(A10,vehicle_detail!$A$2:$DK$101,100,FALSE)</f>
        <v>대형차</v>
      </c>
      <c r="K10" s="2">
        <f>VLOOKUP(A10,list_100!$B$2:$P$101,15,FALSE)</f>
        <v>550</v>
      </c>
      <c r="L10" s="2">
        <f>VLOOKUP(A10,list_100!$B$2:$P$101,10,FALSE)</f>
        <v>123680</v>
      </c>
      <c r="M10">
        <f>VLOOKUP(A10,list_100!$B$2:$V$101,21,FALSE)</f>
        <v>201206</v>
      </c>
      <c r="N10" t="str">
        <f>VLOOKUP(A10,seller_user!$A$2:$Y$101,2,FALSE)</f>
        <v>dksdudtn9326</v>
      </c>
      <c r="O10" t="str">
        <f>VLOOKUP(A10,seller_user!$A$2:$Y$101,25,FALSE)</f>
        <v>안영수</v>
      </c>
      <c r="P10" t="str">
        <f>VLOOKUP(A10,seller_user!$A$2:$Y$101,3,FALSE)</f>
        <v>[{"companyType": "FIRM", "companyName": "고바우", "brn": "410-86-47910", "associationCd": 7, "associationName": "광주 자동차매매사업조합", "associationPhoneNumber": "062-384-3820", "certificatedEmployeeNumber": "18-062-00501", "address": {"zipcode": "62071 ", "location": null, "sido": "광주", "sigungu": "서구", "eupmyeondong": null, "eupmyeondongEtc": null, "address": "광주 서구 매월1로 48", "buildingCd": "2914013200106210018000001"}, "contacts": null, "used": true}]</v>
      </c>
      <c r="Q10" t="str">
        <f>VLOOKUP(A10,inspection_detail_raw!A10:BK109,4,FALSE)</f>
        <v>["IMAGE"]</v>
      </c>
      <c r="R10" t="str">
        <f>IFERROR("https://ci.encar.com"&amp;VLOOKUP(A10,'성능점검 이미지정보'!A:E,2,FALSE),"")</f>
        <v>https://ci.encar.com/carsdata/cars/inspection/39870119_I1.jpg</v>
      </c>
      <c r="S10">
        <f>VLOOKUP(A10,inspection_detail_raw!A10:BK109,50,FALSE)</f>
        <v>0</v>
      </c>
      <c r="T10">
        <f>IFERROR(VLOOKUP(TEXT(A10,"0"), inspection_detail_raw!A:BK, 51, FALSE), "알수없음")</f>
        <v>0</v>
      </c>
      <c r="U10">
        <f>IFERROR(VLOOKUP(TEXT(A10,"0"), inspection_detail_raw!A:BK, 52, FALSE), "알수없음")</f>
        <v>0</v>
      </c>
      <c r="V10">
        <f>IFERROR(VLOOKUP(TEXT(A10,"0"), inspection_detail_raw!A:BK, 54, FALSE), "알수없음")</f>
        <v>0</v>
      </c>
      <c r="W10" t="b">
        <f>IFERROR(VLOOKUP(TEXT(A10,"0"), inspection_detail_raw!A:BK, 57, FALSE), "알수없음")</f>
        <v>0</v>
      </c>
      <c r="X10" t="str">
        <f>IFERROR(VLOOKUP(TEXT(A10,"0"), inspection_detail_raw!A:BK, 59, FALSE), "알수없음")</f>
        <v>[]</v>
      </c>
      <c r="Y10" t="str">
        <f>VLOOKUP(A10,vehicle_detail!$A$2:$DK$101,78,FALSE)</f>
        <v>["1031"]</v>
      </c>
      <c r="Z10" t="str">
        <f>VLOOKUP(A10,vehicle_detail!$A$2:$DK$101,80,FALSE)</f>
        <v>["001", "003", "004", "005", "006", "007", "008", "014", "015", "017", "019", "020", "021", "022", "023", "024", "026", "027", "030", "031", "032", "033", "034", "035", "055", "056", "057", "058", "063", "068", "071", "072", "074", "077", "082", "085", "096", "097"]</v>
      </c>
    </row>
    <row r="11" spans="1:26">
      <c r="A11" t="s">
        <v>12</v>
      </c>
      <c r="B11" t="str">
        <f>VLOOKUP(A11,vehicle_detail!$A$2:$DK$101,111,FALSE)</f>
        <v>358저1935</v>
      </c>
      <c r="C11" t="str">
        <f>VLOOKUP(A11,vehicle_detail!$A$2:$DK$101,101,FALSE)</f>
        <v>흰색</v>
      </c>
      <c r="D11" t="str">
        <f>VLOOKUP(A11,list_100!$B$2:$P$101,9,FALSE)</f>
        <v>현대</v>
      </c>
      <c r="E11" t="str">
        <f>VLOOKUP(A11,list_100!$B$2:$P$101,11,FALSE)</f>
        <v>아반떼 (CN7)</v>
      </c>
      <c r="F11" t="str">
        <f>VLOOKUP(A11,list_100!$B$2:$P$101,2,FALSE)</f>
        <v>1.6 LPi (렌터카)</v>
      </c>
      <c r="G11" t="str">
        <f>VLOOKUP(A11,list_100!$B$2:$P$101,3,FALSE)</f>
        <v>스마트</v>
      </c>
      <c r="H11" t="str">
        <f>VLOOKUP(A11,list_100!$B$2:$P$101,6,FALSE)</f>
        <v>2023</v>
      </c>
      <c r="I11" t="str">
        <f>VLOOKUP(A11,list_100!$B$2:$P$101,7,FALSE)</f>
        <v>LPG(일반인 구입)</v>
      </c>
      <c r="J11" t="str">
        <f>VLOOKUP(A11,vehicle_detail!$A$2:$DK$101,100,FALSE)</f>
        <v>준중형차</v>
      </c>
      <c r="K11" s="2">
        <f>VLOOKUP(A11,list_100!$B$2:$P$101,15,FALSE)</f>
        <v>1099</v>
      </c>
      <c r="L11" s="2">
        <f>VLOOKUP(A11,list_100!$B$2:$P$101,10,FALSE)</f>
        <v>90742</v>
      </c>
      <c r="M11">
        <f>VLOOKUP(A11,list_100!$B$2:$V$101,21,FALSE)</f>
        <v>202205</v>
      </c>
      <c r="N11" t="str">
        <f>VLOOKUP(A11,seller_user!$A$2:$Y$101,2,FALSE)</f>
        <v>dnfltnghk92</v>
      </c>
      <c r="O11" t="str">
        <f>VLOOKUP(A11,seller_user!$A$2:$Y$101,25,FALSE)</f>
        <v>신윤석</v>
      </c>
      <c r="P11" t="str">
        <f>VLOOKUP(A11,seller_user!$A$2:$Y$101,3,FALSE)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1" t="str">
        <f>VLOOKUP(A11,inspection_detail_raw!A11:BK110,4,FALSE)</f>
        <v>["IMAGE"]</v>
      </c>
      <c r="R11" t="str">
        <f>IFERROR("https://ci.encar.com"&amp;VLOOKUP(A11,'성능점검 이미지정보'!A:E,2,FALSE),"")</f>
        <v>https://ci.encar.com/carsdata/cars/inspection/41326098_photoPerform1.jpg</v>
      </c>
      <c r="S11">
        <f>VLOOKUP(A11,inspection_detail_raw!A11:BK110,50,FALSE)</f>
        <v>0</v>
      </c>
      <c r="T11">
        <f>IFERROR(VLOOKUP(TEXT(A11,"0"), inspection_detail_raw!A:BK, 51, FALSE), "알수없음")</f>
        <v>0</v>
      </c>
      <c r="U11">
        <f>IFERROR(VLOOKUP(TEXT(A11,"0"), inspection_detail_raw!A:BK, 52, FALSE), "알수없음")</f>
        <v>0</v>
      </c>
      <c r="V11">
        <f>IFERROR(VLOOKUP(TEXT(A11,"0"), inspection_detail_raw!A:BK, 54, FALSE), "알수없음")</f>
        <v>0</v>
      </c>
      <c r="W11" t="b">
        <f>IFERROR(VLOOKUP(TEXT(A11,"0"), inspection_detail_raw!A:BK, 57, FALSE), "알수없음")</f>
        <v>1</v>
      </c>
      <c r="X11" t="str">
        <f>IFERROR(VLOOKUP(TEXT(A11,"0"), inspection_detail_raw!A:BK, 59, FALSE), "알수없음")</f>
        <v>[]</v>
      </c>
      <c r="Y11" t="str">
        <f>VLOOKUP(A11,vehicle_detail!$A$2:$DK$101,78,FALSE)</f>
        <v>["1045"]</v>
      </c>
      <c r="Z11" t="str">
        <f>VLOOKUP(A11,vehicle_detail!$A$2:$DK$101,80,FALSE)</f>
        <v>["001", "004", "006", "007", "008", "014", "015", "017", "019", "020", "022", "024", "026", "027", "030", "031", "032", "033", "055", "056", "057", "058", "068", "072", "074", "088", "096", "097"]</v>
      </c>
    </row>
    <row r="12" spans="1:26">
      <c r="A12" t="s">
        <v>13</v>
      </c>
      <c r="B12" t="str">
        <f>VLOOKUP(A12,vehicle_detail!$A$2:$DK$101,111,FALSE)</f>
        <v>03어9563</v>
      </c>
      <c r="C12" t="str">
        <f>VLOOKUP(A12,vehicle_detail!$A$2:$DK$101,101,FALSE)</f>
        <v>흰색</v>
      </c>
      <c r="D12" t="str">
        <f>VLOOKUP(A12,list_100!$B$2:$P$101,9,FALSE)</f>
        <v>현대</v>
      </c>
      <c r="E12" t="str">
        <f>VLOOKUP(A12,list_100!$B$2:$P$101,11,FALSE)</f>
        <v>쏘나타 뉴 라이즈</v>
      </c>
      <c r="F12" t="str">
        <f>VLOOKUP(A12,list_100!$B$2:$P$101,2,FALSE)</f>
        <v>LPI 프리미엄</v>
      </c>
      <c r="G12">
        <f>VLOOKUP(A12,list_100!$B$2:$P$101,3,FALSE)</f>
        <v>0</v>
      </c>
      <c r="H12" t="str">
        <f>VLOOKUP(A12,list_100!$B$2:$P$101,6,FALSE)</f>
        <v>2018</v>
      </c>
      <c r="I12" t="str">
        <f>VLOOKUP(A12,list_100!$B$2:$P$101,7,FALSE)</f>
        <v>LPG(일반인 구입)</v>
      </c>
      <c r="J12" t="str">
        <f>VLOOKUP(A12,vehicle_detail!$A$2:$DK$101,100,FALSE)</f>
        <v>중형차</v>
      </c>
      <c r="K12" s="2">
        <f>VLOOKUP(A12,list_100!$B$2:$P$101,15,FALSE)</f>
        <v>1200</v>
      </c>
      <c r="L12" s="2">
        <f>VLOOKUP(A12,list_100!$B$2:$P$101,10,FALSE)</f>
        <v>137276</v>
      </c>
      <c r="M12">
        <f>VLOOKUP(A12,list_100!$B$2:$V$101,21,FALSE)</f>
        <v>201707</v>
      </c>
      <c r="N12" t="str">
        <f>VLOOKUP(A12,seller_user!$A$2:$Y$101,2,FALSE)</f>
        <v>dksdudtn9326</v>
      </c>
      <c r="O12" t="str">
        <f>VLOOKUP(A12,seller_user!$A$2:$Y$101,25,FALSE)</f>
        <v>안영수</v>
      </c>
      <c r="P12" t="str">
        <f>VLOOKUP(A12,seller_user!$A$2:$Y$101,3,FALSE)</f>
        <v>[{"companyType": "FIRM", "companyName": "고바우", "brn": "410-86-47910", "associationCd": 7, "associationName": "광주 자동차매매사업조합", "associationPhoneNumber": "062-384-3820", "certificatedEmployeeNumber": "18-062-00501", "address": {"zipcode": "62071 ", "location": null, "sido": "광주", "sigungu": "서구", "eupmyeondong": null, "eupmyeondongEtc": null, "address": "광주 서구 매월1로 48", "buildingCd": "2914013200106210018000001"}, "contacts": null, "used": true}]</v>
      </c>
      <c r="Q12" t="str">
        <f>VLOOKUP(A12,inspection_detail_raw!A12:BK111,4,FALSE)</f>
        <v>["IMAGE"]</v>
      </c>
      <c r="R12" t="str">
        <f>IFERROR("https://ci.encar.com"&amp;VLOOKUP(A12,'성능점검 이미지정보'!A:E,2,FALSE),"")</f>
        <v>https://ci.encar.com/carsdata/cars/inspection/41307028_I1.jpg</v>
      </c>
      <c r="S12">
        <f>VLOOKUP(A12,inspection_detail_raw!A12:BK111,50,FALSE)</f>
        <v>0</v>
      </c>
      <c r="T12">
        <f>IFERROR(VLOOKUP(TEXT(A12,"0"), inspection_detail_raw!A:BK, 51, FALSE), "알수없음")</f>
        <v>0</v>
      </c>
      <c r="U12">
        <f>IFERROR(VLOOKUP(TEXT(A12,"0"), inspection_detail_raw!A:BK, 52, FALSE), "알수없음")</f>
        <v>0</v>
      </c>
      <c r="V12">
        <f>IFERROR(VLOOKUP(TEXT(A12,"0"), inspection_detail_raw!A:BK, 54, FALSE), "알수없음")</f>
        <v>0</v>
      </c>
      <c r="W12" t="b">
        <f>IFERROR(VLOOKUP(TEXT(A12,"0"), inspection_detail_raw!A:BK, 57, FALSE), "알수없음")</f>
        <v>1</v>
      </c>
      <c r="X12" t="str">
        <f>IFERROR(VLOOKUP(TEXT(A12,"0"), inspection_detail_raw!A:BK, 59, FALSE), "알수없음")</f>
        <v>[]</v>
      </c>
      <c r="Y12" t="str">
        <f>VLOOKUP(A12,vehicle_detail!$A$2:$DK$101,78,FALSE)</f>
        <v>[]</v>
      </c>
      <c r="Z12" t="str">
        <f>VLOOKUP(A12,vehicle_detail!$A$2:$DK$101,80,FALSE)</f>
        <v>["001", "004", "006", "007", "008", "014", "015", "017", "019", "020", "021", "022", "023", "024", "026", "027", "030", "031", "032", "033", "034", "035", "051", "055", "056", "057", "058", "063", "068", "071", "072", "074", "077", "082", "087", "094", "096", "097"]</v>
      </c>
    </row>
    <row r="13" spans="1:26">
      <c r="A13" t="s">
        <v>14</v>
      </c>
      <c r="B13" t="str">
        <f>VLOOKUP(A13,vehicle_detail!$A$2:$DK$101,111,FALSE)</f>
        <v>320머9540</v>
      </c>
      <c r="C13" t="str">
        <f>VLOOKUP(A13,vehicle_detail!$A$2:$DK$101,101,FALSE)</f>
        <v>검정색</v>
      </c>
      <c r="D13" t="str">
        <f>VLOOKUP(A13,list_100!$B$2:$P$101,9,FALSE)</f>
        <v>현대</v>
      </c>
      <c r="E13" t="str">
        <f>VLOOKUP(A13,list_100!$B$2:$P$101,11,FALSE)</f>
        <v>쏘나타 (DN8)</v>
      </c>
      <c r="F13" t="str">
        <f>VLOOKUP(A13,list_100!$B$2:$P$101,2,FALSE)</f>
        <v>2.0</v>
      </c>
      <c r="G13" t="str">
        <f>VLOOKUP(A13,list_100!$B$2:$P$101,3,FALSE)</f>
        <v>프리미엄</v>
      </c>
      <c r="H13" t="str">
        <f>VLOOKUP(A13,list_100!$B$2:$P$101,6,FALSE)</f>
        <v>2020</v>
      </c>
      <c r="I13" t="str">
        <f>VLOOKUP(A13,list_100!$B$2:$P$101,7,FALSE)</f>
        <v>가솔린</v>
      </c>
      <c r="J13" t="str">
        <f>VLOOKUP(A13,vehicle_detail!$A$2:$DK$101,100,FALSE)</f>
        <v>중형차</v>
      </c>
      <c r="K13" s="2">
        <f>VLOOKUP(A13,list_100!$B$2:$P$101,15,FALSE)</f>
        <v>1199</v>
      </c>
      <c r="L13" s="2">
        <f>VLOOKUP(A13,list_100!$B$2:$P$101,10,FALSE)</f>
        <v>131174</v>
      </c>
      <c r="M13">
        <f>VLOOKUP(A13,list_100!$B$2:$V$101,21,FALSE)</f>
        <v>201911</v>
      </c>
      <c r="N13" t="str">
        <f>VLOOKUP(A13,seller_user!$A$2:$Y$101,2,FALSE)</f>
        <v>dnfltnghk92</v>
      </c>
      <c r="O13" t="str">
        <f>VLOOKUP(A13,seller_user!$A$2:$Y$101,25,FALSE)</f>
        <v>신윤석</v>
      </c>
      <c r="P13" t="str">
        <f>VLOOKUP(A13,seller_user!$A$2:$Y$101,3,FALSE)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3" t="str">
        <f>VLOOKUP(A13,inspection_detail_raw!A13:BK112,4,FALSE)</f>
        <v>["IMAGE"]</v>
      </c>
      <c r="R13" t="str">
        <f>IFERROR("https://ci.encar.com"&amp;VLOOKUP(A13,'성능점검 이미지정보'!A:E,2,FALSE),"")</f>
        <v>https://ci.encar.com/carsdata/cars/inspection/41376170_photoPerform1.jpg</v>
      </c>
      <c r="S13">
        <f>VLOOKUP(A13,inspection_detail_raw!A13:BK112,50,FALSE)</f>
        <v>0</v>
      </c>
      <c r="T13">
        <f>IFERROR(VLOOKUP(TEXT(A13,"0"), inspection_detail_raw!A:BK, 51, FALSE), "알수없음")</f>
        <v>0</v>
      </c>
      <c r="U13">
        <f>IFERROR(VLOOKUP(TEXT(A13,"0"), inspection_detail_raw!A:BK, 52, FALSE), "알수없음")</f>
        <v>0</v>
      </c>
      <c r="V13">
        <f>IFERROR(VLOOKUP(TEXT(A13,"0"), inspection_detail_raw!A:BK, 54, FALSE), "알수없음")</f>
        <v>0</v>
      </c>
      <c r="W13" t="b">
        <f>IFERROR(VLOOKUP(TEXT(A13,"0"), inspection_detail_raw!A:BK, 57, FALSE), "알수없음")</f>
        <v>1</v>
      </c>
      <c r="X13" t="str">
        <f>IFERROR(VLOOKUP(TEXT(A13,"0"), inspection_detail_raw!A:BK, 59, FALSE), "알수없음")</f>
        <v>[]</v>
      </c>
      <c r="Y13" t="str">
        <f>VLOOKUP(A13,vehicle_detail!$A$2:$DK$101,78,FALSE)</f>
        <v>["10004"]</v>
      </c>
      <c r="Z13" t="str">
        <f>VLOOKUP(A13,vehicle_detail!$A$2:$DK$101,80,FALSE)</f>
        <v>["001", "004", "005", "006", "007", "008", "014", "015", "017", "019", "020", "021", "022", "023", "024", "026", "027", "030", "031", "032", "033", "055", "056", "057", "058", "068", "072", "074", "075", "082", "084", "088", "094", "096", "097"]</v>
      </c>
    </row>
    <row r="14" spans="1:26">
      <c r="A14" t="s">
        <v>15</v>
      </c>
      <c r="B14" t="str">
        <f>VLOOKUP(A14,vehicle_detail!$A$2:$DK$101,111,FALSE)</f>
        <v>129부2816</v>
      </c>
      <c r="C14" t="str">
        <f>VLOOKUP(A14,vehicle_detail!$A$2:$DK$101,101,FALSE)</f>
        <v>흰색</v>
      </c>
      <c r="D14" t="str">
        <f>VLOOKUP(A14,list_100!$B$2:$P$101,9,FALSE)</f>
        <v>현대</v>
      </c>
      <c r="E14" t="str">
        <f>VLOOKUP(A14,list_100!$B$2:$P$101,11,FALSE)</f>
        <v>쏘나타 뉴 라이즈</v>
      </c>
      <c r="F14" t="str">
        <f>VLOOKUP(A14,list_100!$B$2:$P$101,2,FALSE)</f>
        <v>2.0 스타일</v>
      </c>
      <c r="G14">
        <f>VLOOKUP(A14,list_100!$B$2:$P$101,3,FALSE)</f>
        <v>0</v>
      </c>
      <c r="H14" t="str">
        <f>VLOOKUP(A14,list_100!$B$2:$P$101,6,FALSE)</f>
        <v>2019</v>
      </c>
      <c r="I14" t="str">
        <f>VLOOKUP(A14,list_100!$B$2:$P$101,7,FALSE)</f>
        <v>가솔린</v>
      </c>
      <c r="J14" t="str">
        <f>VLOOKUP(A14,vehicle_detail!$A$2:$DK$101,100,FALSE)</f>
        <v>중형차</v>
      </c>
      <c r="K14" s="2">
        <f>VLOOKUP(A14,list_100!$B$2:$P$101,15,FALSE)</f>
        <v>709</v>
      </c>
      <c r="L14" s="2">
        <f>VLOOKUP(A14,list_100!$B$2:$P$101,10,FALSE)</f>
        <v>120207</v>
      </c>
      <c r="M14">
        <f>VLOOKUP(A14,list_100!$B$2:$V$101,21,FALSE)</f>
        <v>201810</v>
      </c>
      <c r="N14" t="str">
        <f>VLOOKUP(A14,seller_user!$A$2:$Y$101,2,FALSE)</f>
        <v>dnfltnghk92</v>
      </c>
      <c r="O14" t="str">
        <f>VLOOKUP(A14,seller_user!$A$2:$Y$101,25,FALSE)</f>
        <v>신윤석</v>
      </c>
      <c r="P14" t="str">
        <f>VLOOKUP(A14,seller_user!$A$2:$Y$101,3,FALSE)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4" t="str">
        <f>VLOOKUP(A14,inspection_detail_raw!A14:BK113,4,FALSE)</f>
        <v>["IMAGE"]</v>
      </c>
      <c r="R14" t="str">
        <f>IFERROR("https://ci.encar.com"&amp;VLOOKUP(A14,'성능점검 이미지정보'!A:E,2,FALSE),"")</f>
        <v>https://ci.encar.com/carsdata/cars/inspection/41381376_photoPerform1.jpg</v>
      </c>
      <c r="S14">
        <f>VLOOKUP(A14,inspection_detail_raw!A14:BK113,50,FALSE)</f>
        <v>0</v>
      </c>
      <c r="T14">
        <f>IFERROR(VLOOKUP(TEXT(A14,"0"), inspection_detail_raw!A:BK, 51, FALSE), "알수없음")</f>
        <v>0</v>
      </c>
      <c r="U14">
        <f>IFERROR(VLOOKUP(TEXT(A14,"0"), inspection_detail_raw!A:BK, 52, FALSE), "알수없음")</f>
        <v>0</v>
      </c>
      <c r="V14">
        <f>IFERROR(VLOOKUP(TEXT(A14,"0"), inspection_detail_raw!A:BK, 54, FALSE), "알수없음")</f>
        <v>0</v>
      </c>
      <c r="W14" t="b">
        <f>IFERROR(VLOOKUP(TEXT(A14,"0"), inspection_detail_raw!A:BK, 57, FALSE), "알수없음")</f>
        <v>1</v>
      </c>
      <c r="X14" t="str">
        <f>IFERROR(VLOOKUP(TEXT(A14,"0"), inspection_detail_raw!A:BK, 59, FALSE), "알수없음")</f>
        <v>[]</v>
      </c>
      <c r="Y14" t="str">
        <f>VLOOKUP(A14,vehicle_detail!$A$2:$DK$101,78,FALSE)</f>
        <v>[]</v>
      </c>
      <c r="Z14" t="str">
        <f>VLOOKUP(A14,vehicle_detail!$A$2:$DK$101,80,FALSE)</f>
        <v>["001", "006", "007", "008", "014", "015", "017", "019", "020", "022", "024", "026", "027", "031", "032", "033", "055", "056", "058", "071", "072", "096"]</v>
      </c>
    </row>
    <row r="15" spans="1:26">
      <c r="A15" t="s">
        <v>16</v>
      </c>
      <c r="B15" t="str">
        <f>VLOOKUP(A15,vehicle_detail!$A$2:$DK$101,111,FALSE)</f>
        <v>20구0838</v>
      </c>
      <c r="C15" t="str">
        <f>VLOOKUP(A15,vehicle_detail!$A$2:$DK$101,101,FALSE)</f>
        <v>청색</v>
      </c>
      <c r="D15" t="str">
        <f>VLOOKUP(A15,list_100!$B$2:$P$101,9,FALSE)</f>
        <v>현대</v>
      </c>
      <c r="E15" t="str">
        <f>VLOOKUP(A15,list_100!$B$2:$P$101,11,FALSE)</f>
        <v>아반떼 AD</v>
      </c>
      <c r="F15" t="str">
        <f>VLOOKUP(A15,list_100!$B$2:$P$101,2,FALSE)</f>
        <v>1.6 GDI 모던</v>
      </c>
      <c r="G15" t="str">
        <f>VLOOKUP(A15,list_100!$B$2:$P$101,3,FALSE)</f>
        <v>스페셜</v>
      </c>
      <c r="H15" t="str">
        <f>VLOOKUP(A15,list_100!$B$2:$P$101,6,FALSE)</f>
        <v>2016</v>
      </c>
      <c r="I15" t="str">
        <f>VLOOKUP(A15,list_100!$B$2:$P$101,7,FALSE)</f>
        <v>가솔린</v>
      </c>
      <c r="J15" t="str">
        <f>VLOOKUP(A15,vehicle_detail!$A$2:$DK$101,100,FALSE)</f>
        <v>준중형차</v>
      </c>
      <c r="K15" s="2">
        <f>VLOOKUP(A15,list_100!$B$2:$P$101,15,FALSE)</f>
        <v>729</v>
      </c>
      <c r="L15" s="2">
        <f>VLOOKUP(A15,list_100!$B$2:$P$101,10,FALSE)</f>
        <v>156917</v>
      </c>
      <c r="M15">
        <f>VLOOKUP(A15,list_100!$B$2:$V$101,21,FALSE)</f>
        <v>201603</v>
      </c>
      <c r="N15" t="str">
        <f>VLOOKUP(A15,seller_user!$A$2:$Y$101,2,FALSE)</f>
        <v>dnfltnghk92</v>
      </c>
      <c r="O15" t="str">
        <f>VLOOKUP(A15,seller_user!$A$2:$Y$101,25,FALSE)</f>
        <v>신윤석</v>
      </c>
      <c r="P15" t="str">
        <f>VLOOKUP(A15,seller_user!$A$2:$Y$101,3,FALSE)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5" t="str">
        <f>VLOOKUP(A15,inspection_detail_raw!A15:BK114,4,FALSE)</f>
        <v>["IMAGE"]</v>
      </c>
      <c r="R15" t="str">
        <f>IFERROR("https://ci.encar.com"&amp;VLOOKUP(A15,'성능점검 이미지정보'!A:E,2,FALSE),"")</f>
        <v>https://ci.encar.com/carsdata/cars/inspection/41383463_photoPerform1.jpg</v>
      </c>
      <c r="S15">
        <f>VLOOKUP(A15,inspection_detail_raw!A15:BK114,50,FALSE)</f>
        <v>0</v>
      </c>
      <c r="T15">
        <f>IFERROR(VLOOKUP(TEXT(A15,"0"), inspection_detail_raw!A:BK, 51, FALSE), "알수없음")</f>
        <v>0</v>
      </c>
      <c r="U15">
        <f>IFERROR(VLOOKUP(TEXT(A15,"0"), inspection_detail_raw!A:BK, 52, FALSE), "알수없음")</f>
        <v>0</v>
      </c>
      <c r="V15">
        <f>IFERROR(VLOOKUP(TEXT(A15,"0"), inspection_detail_raw!A:BK, 54, FALSE), "알수없음")</f>
        <v>0</v>
      </c>
      <c r="W15" t="b">
        <f>IFERROR(VLOOKUP(TEXT(A15,"0"), inspection_detail_raw!A:BK, 57, FALSE), "알수없음")</f>
        <v>1</v>
      </c>
      <c r="X15" t="str">
        <f>IFERROR(VLOOKUP(TEXT(A15,"0"), inspection_detail_raw!A:BK, 59, FALSE), "알수없음")</f>
        <v>[]</v>
      </c>
      <c r="Y15" t="str">
        <f>VLOOKUP(A15,vehicle_detail!$A$2:$DK$101,78,FALSE)</f>
        <v>["1020"]</v>
      </c>
      <c r="Z15" t="str">
        <f>VLOOKUP(A15,vehicle_detail!$A$2:$DK$101,80,FALSE)</f>
        <v>["001", "003", "006", "007", "008", "014", "015", "017", "019", "020", "022", "023", "024", "026", "027", "029", "031", "032", "033", "055", "056", "057", "068", "071", "072", "082", "086", "096", "097"]</v>
      </c>
    </row>
    <row r="16" spans="1:26">
      <c r="A16" t="s">
        <v>17</v>
      </c>
      <c r="B16" t="str">
        <f>VLOOKUP(A16,vehicle_detail!$A$2:$DK$101,111,FALSE)</f>
        <v>65저0908</v>
      </c>
      <c r="C16" t="str">
        <f>VLOOKUP(A16,vehicle_detail!$A$2:$DK$101,101,FALSE)</f>
        <v>청색</v>
      </c>
      <c r="D16" t="str">
        <f>VLOOKUP(A16,list_100!$B$2:$P$101,9,FALSE)</f>
        <v>현대</v>
      </c>
      <c r="E16" t="str">
        <f>VLOOKUP(A16,list_100!$B$2:$P$101,11,FALSE)</f>
        <v>싼타페 더 프라임</v>
      </c>
      <c r="F16" t="str">
        <f>VLOOKUP(A16,list_100!$B$2:$P$101,2,FALSE)</f>
        <v>디젤 2.0 2WD</v>
      </c>
      <c r="G16" t="str">
        <f>VLOOKUP(A16,list_100!$B$2:$P$101,3,FALSE)</f>
        <v>익스클루시브 스페셜</v>
      </c>
      <c r="H16" t="str">
        <f>VLOOKUP(A16,list_100!$B$2:$P$101,6,FALSE)</f>
        <v>2016</v>
      </c>
      <c r="I16" t="str">
        <f>VLOOKUP(A16,list_100!$B$2:$P$101,7,FALSE)</f>
        <v>디젤</v>
      </c>
      <c r="J16" t="str">
        <f>VLOOKUP(A16,vehicle_detail!$A$2:$DK$101,100,FALSE)</f>
        <v>SUV</v>
      </c>
      <c r="K16" s="2">
        <f>VLOOKUP(A16,list_100!$B$2:$P$101,15,FALSE)</f>
        <v>1069</v>
      </c>
      <c r="L16" s="2">
        <f>VLOOKUP(A16,list_100!$B$2:$P$101,10,FALSE)</f>
        <v>147123</v>
      </c>
      <c r="M16">
        <f>VLOOKUP(A16,list_100!$B$2:$V$101,21,FALSE)</f>
        <v>201601</v>
      </c>
      <c r="N16" t="str">
        <f>VLOOKUP(A16,seller_user!$A$2:$Y$101,2,FALSE)</f>
        <v>dnfltnghk92</v>
      </c>
      <c r="O16" t="str">
        <f>VLOOKUP(A16,seller_user!$A$2:$Y$101,25,FALSE)</f>
        <v>신윤석</v>
      </c>
      <c r="P16" t="str">
        <f>VLOOKUP(A16,seller_user!$A$2:$Y$101,3,FALSE)</f>
        <v>[{"companyType": "FIRM", "companyName": "카메이트", "brn": "438-18-00082", "associationCd": 28, "associationName": "경기 자동차매매사업조합", "associationPhoneNumber": "031-242-8940", "certificatedEmployeeNumber": "GC21-05732", "address": {"zipcode": "16602 ", "location": null, "sido": "경기", "sigungu": "수원시 권선구", "eupmyeondong": null, "eupmyeondongEtc": null, "address": "경기 수원시 권선구 권선로 308", "buildingCd": "4111312800100140134000001"}, "contacts": null, "used": true}]</v>
      </c>
      <c r="Q16" t="str">
        <f>VLOOKUP(A16,inspection_detail_raw!A16:BK115,4,FALSE)</f>
        <v>["IMAGE"]</v>
      </c>
      <c r="R16" t="str">
        <f>IFERROR("https://ci.encar.com"&amp;VLOOKUP(A16,'성능점검 이미지정보'!A:E,2,FALSE),"")</f>
        <v>https://ci.encar.com/carsdata/cars/inspection/41395915_photoPerform1.jpg</v>
      </c>
      <c r="S16">
        <f>VLOOKUP(A16,inspection_detail_raw!A16:BK115,50,FALSE)</f>
        <v>0</v>
      </c>
      <c r="T16">
        <f>IFERROR(VLOOKUP(TEXT(A16,"0"), inspection_detail_raw!A:BK, 51, FALSE), "알수없음")</f>
        <v>0</v>
      </c>
      <c r="U16">
        <f>IFERROR(VLOOKUP(TEXT(A16,"0"), inspection_detail_raw!A:BK, 52, FALSE), "알수없음")</f>
        <v>0</v>
      </c>
      <c r="V16">
        <f>IFERROR(VLOOKUP(TEXT(A16,"0"), inspection_detail_raw!A:BK, 54, FALSE), "알수없음")</f>
        <v>0</v>
      </c>
      <c r="W16" t="b">
        <f>IFERROR(VLOOKUP(TEXT(A16,"0"), inspection_detail_raw!A:BK, 57, FALSE), "알수없음")</f>
        <v>0</v>
      </c>
      <c r="X16" t="str">
        <f>IFERROR(VLOOKUP(TEXT(A16,"0"), inspection_detail_raw!A:BK, 59, FALSE), "알수없음")</f>
        <v>[]</v>
      </c>
      <c r="Y16" t="str">
        <f>VLOOKUP(A16,vehicle_detail!$A$2:$DK$101,78,FALSE)</f>
        <v>["1019"]</v>
      </c>
      <c r="Z16" t="str">
        <f>VLOOKUP(A16,vehicle_detail!$A$2:$DK$101,80,FALSE)</f>
        <v>["001", "003", "005", "006", "007", "008", "014", "015", "017", "019", "020", "021", "022", "023", "024", "026", "027", "029", "030", "031", "032", "033", "034", "035", "051", "055", "056", "057", "058", "062", "063", "068", "071", "072", "074", "077", "081", "082", "085", "092", "094", "096", "097"]</v>
      </c>
    </row>
    <row r="17" spans="1:26">
      <c r="A17" t="s">
        <v>18</v>
      </c>
      <c r="B17" t="str">
        <f>VLOOKUP(A17,vehicle_detail!$A$2:$DK$101,111,FALSE)</f>
        <v>158오7851</v>
      </c>
      <c r="C17" t="str">
        <f>VLOOKUP(A17,vehicle_detail!$A$2:$DK$101,101,FALSE)</f>
        <v>검정색</v>
      </c>
      <c r="D17" t="str">
        <f>VLOOKUP(A17,list_100!$B$2:$P$101,9,FALSE)</f>
        <v>현대</v>
      </c>
      <c r="E17" t="str">
        <f>VLOOKUP(A17,list_100!$B$2:$P$101,11,FALSE)</f>
        <v>스타리아</v>
      </c>
      <c r="F17" t="str">
        <f>VLOOKUP(A17,list_100!$B$2:$P$101,2,FALSE)</f>
        <v>4WD 라운지 7인승</v>
      </c>
      <c r="G17" t="str">
        <f>VLOOKUP(A17,list_100!$B$2:$P$101,3,FALSE)</f>
        <v>인스퍼레이션</v>
      </c>
      <c r="H17" t="str">
        <f>VLOOKUP(A17,list_100!$B$2:$P$101,6,FALSE)</f>
        <v>2025</v>
      </c>
      <c r="I17" t="str">
        <f>VLOOKUP(A17,list_100!$B$2:$P$101,7,FALSE)</f>
        <v>디젤</v>
      </c>
      <c r="J17" t="str">
        <f>VLOOKUP(A17,vehicle_detail!$A$2:$DK$101,100,FALSE)</f>
        <v>승합차</v>
      </c>
      <c r="K17" s="2">
        <f>VLOOKUP(A17,list_100!$B$2:$P$101,15,FALSE)</f>
        <v>7100</v>
      </c>
      <c r="L17" s="2">
        <f>VLOOKUP(A17,list_100!$B$2:$P$101,10,FALSE)</f>
        <v>2164</v>
      </c>
      <c r="M17">
        <f>VLOOKUP(A17,list_100!$B$2:$V$101,21,FALSE)</f>
        <v>202508</v>
      </c>
      <c r="N17" t="str">
        <f>VLOOKUP(A17,seller_user!$A$2:$Y$101,2,FALSE)</f>
        <v>rlarmatjd</v>
      </c>
      <c r="O17" t="str">
        <f>VLOOKUP(A17,seller_user!$A$2:$Y$101,25,FALSE)</f>
        <v>김금성</v>
      </c>
      <c r="P17" t="str">
        <f>VLOOKUP(A17,seller_user!$A$2:$Y$101,3,FALSE)</f>
        <v>[{"companyType": "FIRM", "companyName": "스마일자동차", "brn": "135-30-21365", "associationCd": 28, "associationName": null, "associationPhoneNumber": null, "certificatedEmployeeNumber": "GC25-03160", "address": {"zipcode": "16602 ", "location": null, "sido": "경기", "sigungu": "수원시 권선구", "eupmyeondong": null, "eupmyeondongEtc": null, "address": "경기 수원시 권선구 권선로 308-5", "buildingCd": "4111312800100140134000001"}, "contacts": null, "used": true}]</v>
      </c>
      <c r="Q17" t="str">
        <f>VLOOKUP(A17,inspection_detail_raw!A17:BK116,4,FALSE)</f>
        <v>["IMAGE"]</v>
      </c>
      <c r="R17" t="str">
        <f>IFERROR("https://ci.encar.com"&amp;VLOOKUP(A17,'성능점검 이미지정보'!A:E,2,FALSE),"")</f>
        <v>https://ci.encar.com/carsdata/cars/inspection/41309179_photoPerform1.jpg</v>
      </c>
      <c r="S17">
        <f>VLOOKUP(A17,inspection_detail_raw!A17:BK116,50,FALSE)</f>
        <v>0</v>
      </c>
      <c r="T17">
        <f>IFERROR(VLOOKUP(TEXT(A17,"0"), inspection_detail_raw!A:BK, 51, FALSE), "알수없음")</f>
        <v>0</v>
      </c>
      <c r="U17">
        <f>IFERROR(VLOOKUP(TEXT(A17,"0"), inspection_detail_raw!A:BK, 52, FALSE), "알수없음")</f>
        <v>0</v>
      </c>
      <c r="V17">
        <f>IFERROR(VLOOKUP(TEXT(A17,"0"), inspection_detail_raw!A:BK, 54, FALSE), "알수없음")</f>
        <v>0</v>
      </c>
      <c r="W17" t="b">
        <f>IFERROR(VLOOKUP(TEXT(A17,"0"), inspection_detail_raw!A:BK, 57, FALSE), "알수없음")</f>
        <v>0</v>
      </c>
      <c r="X17" t="str">
        <f>IFERROR(VLOOKUP(TEXT(A17,"0"), inspection_detail_raw!A:BK, 59, FALSE), "알수없음")</f>
        <v>[]</v>
      </c>
      <c r="Y17" t="str">
        <f>VLOOKUP(A17,vehicle_detail!$A$2:$DK$101,78,FALSE)</f>
        <v>[]</v>
      </c>
      <c r="Z17" t="str">
        <f>VLOOKUP(A17,vehicle_detail!$A$2:$DK$101,80,FALSE)</f>
        <v>["001", "004", "005", "006", "007", "008", "014", "015", "017", "019", "020", "021", "022", "023", "024", "026", "027", "030", "031", "032", "033", "034", "035", "055", "056", "057", "058", "059", "063", "072", "074", "075", "077", "079", "081", "082", "084", "085", "086", "087", "088", "090", "094", "096", "097"]</v>
      </c>
    </row>
    <row r="18" spans="1:26">
      <c r="A18" t="s">
        <v>20</v>
      </c>
      <c r="B18" t="str">
        <f>VLOOKUP(A18,vehicle_detail!$A$2:$DK$101,111,FALSE)</f>
        <v>104고9529</v>
      </c>
      <c r="C18" t="str">
        <f>VLOOKUP(A18,vehicle_detail!$A$2:$DK$101,101,FALSE)</f>
        <v>쥐색</v>
      </c>
      <c r="D18" t="str">
        <f>VLOOKUP(A18,list_100!$B$2:$P$101,9,FALSE)</f>
        <v>현대</v>
      </c>
      <c r="E18" t="str">
        <f>VLOOKUP(A18,list_100!$B$2:$P$101,11,FALSE)</f>
        <v>팰리세이드</v>
      </c>
      <c r="F18" t="str">
        <f>VLOOKUP(A18,list_100!$B$2:$P$101,2,FALSE)</f>
        <v>디젤 2.2 4WD</v>
      </c>
      <c r="G18" t="str">
        <f>VLOOKUP(A18,list_100!$B$2:$P$101,3,FALSE)</f>
        <v>프레스티지</v>
      </c>
      <c r="H18" t="str">
        <f>VLOOKUP(A18,list_100!$B$2:$P$101,6,FALSE)</f>
        <v>2020</v>
      </c>
      <c r="I18" t="str">
        <f>VLOOKUP(A18,list_100!$B$2:$P$101,7,FALSE)</f>
        <v>디젤</v>
      </c>
      <c r="J18" t="str">
        <f>VLOOKUP(A18,vehicle_detail!$A$2:$DK$101,100,FALSE)</f>
        <v>SUV</v>
      </c>
      <c r="K18" s="2">
        <f>VLOOKUP(A18,list_100!$B$2:$P$101,15,FALSE)</f>
        <v>3890</v>
      </c>
      <c r="L18" s="2">
        <f>VLOOKUP(A18,list_100!$B$2:$P$101,10,FALSE)</f>
        <v>22589</v>
      </c>
      <c r="M18">
        <f>VLOOKUP(A18,list_100!$B$2:$V$101,21,FALSE)</f>
        <v>201911</v>
      </c>
      <c r="N18" t="str">
        <f>VLOOKUP(A18,seller_user!$A$2:$Y$101,2,FALSE)</f>
        <v>rlarmatjd</v>
      </c>
      <c r="O18" t="str">
        <f>VLOOKUP(A18,seller_user!$A$2:$Y$101,25,FALSE)</f>
        <v>김금성</v>
      </c>
      <c r="P18" t="str">
        <f>VLOOKUP(A18,seller_user!$A$2:$Y$101,3,FALSE)</f>
        <v>[{"companyType": "FIRM", "companyName": "스마일자동차", "brn": "135-30-21365", "associationCd": 28, "associationName": null, "associationPhoneNumber": null, "certificatedEmployeeNumber": "GC25-03160", "address": {"zipcode": "16602 ", "location": null, "sido": "경기", "sigungu": "수원시 권선구", "eupmyeondong": null, "eupmyeondongEtc": null, "address": "경기 수원시 권선구 권선로 308-5", "buildingCd": "4111312800100140134000001"}, "contacts": null, "used": true}]</v>
      </c>
      <c r="Q18" t="str">
        <f>VLOOKUP(A18,inspection_detail_raw!A18:BK117,4,FALSE)</f>
        <v>["IMAGE"]</v>
      </c>
      <c r="R18" t="str">
        <f>IFERROR("https://ci.encar.com"&amp;VLOOKUP(A18,'성능점검 이미지정보'!A:E,2,FALSE),"")</f>
        <v>https://ci.encar.com/carsdata/cars/inspection/40740292_photoPerform1.jpg</v>
      </c>
      <c r="S18">
        <f>VLOOKUP(A18,inspection_detail_raw!A18:BK117,50,FALSE)</f>
        <v>0</v>
      </c>
      <c r="T18">
        <f>IFERROR(VLOOKUP(TEXT(A18,"0"), inspection_detail_raw!A:BK, 51, FALSE), "알수없음")</f>
        <v>0</v>
      </c>
      <c r="U18">
        <f>IFERROR(VLOOKUP(TEXT(A18,"0"), inspection_detail_raw!A:BK, 52, FALSE), "알수없음")</f>
        <v>0</v>
      </c>
      <c r="V18">
        <f>IFERROR(VLOOKUP(TEXT(A18,"0"), inspection_detail_raw!A:BK, 54, FALSE), "알수없음")</f>
        <v>0</v>
      </c>
      <c r="W18" t="b">
        <f>IFERROR(VLOOKUP(TEXT(A18,"0"), inspection_detail_raw!A:BK, 57, FALSE), "알수없음")</f>
        <v>0</v>
      </c>
      <c r="X18" t="str">
        <f>IFERROR(VLOOKUP(TEXT(A18,"0"), inspection_detail_raw!A:BK, 59, FALSE), "알수없음")</f>
        <v>[]</v>
      </c>
      <c r="Y18" t="str">
        <f>VLOOKUP(A18,vehicle_detail!$A$2:$DK$101,78,FALSE)</f>
        <v>[]</v>
      </c>
      <c r="Z18" t="str">
        <f>VLOOKUP(A18,vehicle_detail!$A$2:$DK$101,80,FALSE)</f>
        <v>["001", "004", "005", "006", "007", "008", "014", "015", "017", "019", "020", "021", "022", "023", "024", "026", "027", "030", "031", "032", "033", "034", "051", "055", "056", "057", "058", "059", "062", "063", "072", "074", "075", "077", "079", "081", "082", "084", "085", "086", "088", "094", "096", "097"]</v>
      </c>
    </row>
    <row r="19" spans="1:26">
      <c r="A19" t="s">
        <v>21</v>
      </c>
      <c r="B19" t="str">
        <f>VLOOKUP(A19,vehicle_detail!$A$2:$DK$101,111,FALSE)</f>
        <v>04조0882</v>
      </c>
      <c r="C19" t="str">
        <f>VLOOKUP(A19,vehicle_detail!$A$2:$DK$101,101,FALSE)</f>
        <v>흰색</v>
      </c>
      <c r="D19" t="str">
        <f>VLOOKUP(A19,list_100!$B$2:$P$101,9,FALSE)</f>
        <v>현대</v>
      </c>
      <c r="E19" t="str">
        <f>VLOOKUP(A19,list_100!$B$2:$P$101,11,FALSE)</f>
        <v>아반떼 AD</v>
      </c>
      <c r="F19" t="str">
        <f>VLOOKUP(A19,list_100!$B$2:$P$101,2,FALSE)</f>
        <v>1.6 GDI 스마트</v>
      </c>
      <c r="G19" t="str">
        <f>VLOOKUP(A19,list_100!$B$2:$P$101,3,FALSE)</f>
        <v>스페셜</v>
      </c>
      <c r="H19" t="str">
        <f>VLOOKUP(A19,list_100!$B$2:$P$101,6,FALSE)</f>
        <v>2017</v>
      </c>
      <c r="I19" t="str">
        <f>VLOOKUP(A19,list_100!$B$2:$P$101,7,FALSE)</f>
        <v>가솔린</v>
      </c>
      <c r="J19" t="str">
        <f>VLOOKUP(A19,vehicle_detail!$A$2:$DK$101,100,FALSE)</f>
        <v>준중형차</v>
      </c>
      <c r="K19" s="2">
        <f>VLOOKUP(A19,list_100!$B$2:$P$101,15,FALSE)</f>
        <v>1240</v>
      </c>
      <c r="L19" s="2">
        <f>VLOOKUP(A19,list_100!$B$2:$P$101,10,FALSE)</f>
        <v>50046</v>
      </c>
      <c r="M19">
        <f>VLOOKUP(A19,list_100!$B$2:$V$101,21,FALSE)</f>
        <v>201605</v>
      </c>
      <c r="N19" t="str">
        <f>VLOOKUP(A19,seller_user!$A$2:$Y$101,2,FALSE)</f>
        <v>hwang5533</v>
      </c>
      <c r="O19" t="str">
        <f>VLOOKUP(A19,seller_user!$A$2:$Y$101,25,FALSE)</f>
        <v>황태봉</v>
      </c>
      <c r="P19" t="str">
        <f>VLOOKUP(A19,seller_user!$A$2:$Y$101,3,FALSE)</f>
        <v>[{"companyType": "FIRM", "companyName": "신한모터스", "brn": "235-12-01495", "associationCd": 12, "associationName": "울산 자동차매매사업조합", "associationPhoneNumber": "052-287-8405", "certificatedEmployeeNumber": "10620213", "address": {"zipcode": "44247 ", "location": null, "sido": "울산", "sigungu": "북구", "eupmyeondong": null, "eupmyeondongEtc": null, "address": "울산 북구 무룡로 68", "buildingCd": "3120012200105070004000002"}, "contacts": null, "used": true}]</v>
      </c>
      <c r="Q19" t="str">
        <f>VLOOKUP(A19,inspection_detail_raw!A19:BK118,4,FALSE)</f>
        <v>["TABLE"]</v>
      </c>
      <c r="R19" t="str">
        <f>IFERROR("https://ci.encar.com"&amp;VLOOKUP(A19,'성능점검 이미지정보'!A:E,2,FALSE),"")</f>
        <v/>
      </c>
      <c r="S19" t="str">
        <f>VLOOKUP(A19,inspection_detail_raw!A19:BK118,50,FALSE)</f>
        <v>[]</v>
      </c>
      <c r="T19" t="str">
        <f>IFERROR(VLOOKUP(TEXT(A19,"0"), inspection_detail_raw!A:BK, 51, FALSE), "알수없음")</f>
        <v>20260522</v>
      </c>
      <c r="U19" t="str">
        <f>IFERROR(VLOOKUP(TEXT(A19,"0"), inspection_detail_raw!A:BK, 52, FALSE), "알수없음")</f>
        <v>20240523</v>
      </c>
      <c r="V19" t="str">
        <f>IFERROR(VLOOKUP(TEXT(A19,"0"), inspection_detail_raw!A:BK, 54, FALSE), "알수없음")</f>
        <v>KMHD741DBHU200045</v>
      </c>
      <c r="W19" t="b">
        <f>IFERROR(VLOOKUP(TEXT(A19,"0"), inspection_detail_raw!A:BK, 57, FALSE), "알수없음")</f>
        <v>0</v>
      </c>
      <c r="X19" t="str">
        <f>IFERROR(VLOOKUP(TEXT(A19,"0"), inspection_detail_raw!A:BK, 59, FALSE), "알수없음")</f>
        <v>[]</v>
      </c>
      <c r="Y19" t="str">
        <f>VLOOKUP(A19,vehicle_detail!$A$2:$DK$101,78,FALSE)</f>
        <v>["1017", "1018", "1016"]</v>
      </c>
      <c r="Z19" t="str">
        <f>VLOOKUP(A19,vehicle_detail!$A$2:$DK$101,80,FALSE)</f>
        <v>["001", "004", "005", "006", "007", "008", "014", "015", "017", "019", "020", "022", "023", "024", "026", "027", "029", "030", "031", "032", "033", "055", "056", "057", "058", "071", "072", "074", "082", "096", "097"]</v>
      </c>
    </row>
    <row r="20" spans="1:26">
      <c r="A20" t="s">
        <v>23</v>
      </c>
      <c r="B20" t="str">
        <f>VLOOKUP(A20,vehicle_detail!$A$2:$DK$101,111,FALSE)</f>
        <v>217우6761</v>
      </c>
      <c r="C20" t="str">
        <f>VLOOKUP(A20,vehicle_detail!$A$2:$DK$101,101,FALSE)</f>
        <v>흰색</v>
      </c>
      <c r="D20" t="str">
        <f>VLOOKUP(A20,list_100!$B$2:$P$101,9,FALSE)</f>
        <v>현대</v>
      </c>
      <c r="E20" t="str">
        <f>VLOOKUP(A20,list_100!$B$2:$P$101,11,FALSE)</f>
        <v>투싼 (NX4)</v>
      </c>
      <c r="F20" t="str">
        <f>VLOOKUP(A20,list_100!$B$2:$P$101,2,FALSE)</f>
        <v>가솔린 1.6 터보 2WD</v>
      </c>
      <c r="G20" t="str">
        <f>VLOOKUP(A20,list_100!$B$2:$P$101,3,FALSE)</f>
        <v>모던</v>
      </c>
      <c r="H20" t="str">
        <f>VLOOKUP(A20,list_100!$B$2:$P$101,6,FALSE)</f>
        <v>2021</v>
      </c>
      <c r="I20" t="str">
        <f>VLOOKUP(A20,list_100!$B$2:$P$101,7,FALSE)</f>
        <v>가솔린</v>
      </c>
      <c r="J20" t="str">
        <f>VLOOKUP(A20,vehicle_detail!$A$2:$DK$101,100,FALSE)</f>
        <v>SUV</v>
      </c>
      <c r="K20" s="2">
        <f>VLOOKUP(A20,list_100!$B$2:$P$101,15,FALSE)</f>
        <v>2580</v>
      </c>
      <c r="L20" s="2">
        <f>VLOOKUP(A20,list_100!$B$2:$P$101,10,FALSE)</f>
        <v>26664</v>
      </c>
      <c r="M20">
        <f>VLOOKUP(A20,list_100!$B$2:$V$101,21,FALSE)</f>
        <v>202104</v>
      </c>
      <c r="N20" t="str">
        <f>VLOOKUP(A20,seller_user!$A$2:$Y$101,2,FALSE)</f>
        <v>rladudtn</v>
      </c>
      <c r="O20" t="str">
        <f>VLOOKUP(A20,seller_user!$A$2:$Y$101,25,FALSE)</f>
        <v>김영수</v>
      </c>
      <c r="P20" t="str">
        <f>VLOOKUP(A20,seller_user!$A$2:$Y$101,3,FALSE)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0" t="str">
        <f>VLOOKUP(A20,inspection_detail_raw!A20:BK119,4,FALSE)</f>
        <v>["TABLE"]</v>
      </c>
      <c r="R20" t="str">
        <f>IFERROR("https://ci.encar.com"&amp;VLOOKUP(A20,'성능점검 이미지정보'!A:E,2,FALSE),"")</f>
        <v/>
      </c>
      <c r="S20" t="str">
        <f>VLOOKUP(A20,inspection_detail_raw!A20:BK119,50,FALSE)</f>
        <v>[{"code": "1", "title": "렌트"}]</v>
      </c>
      <c r="T20" t="str">
        <f>IFERROR(VLOOKUP(TEXT(A20,"0"), inspection_detail_raw!A:BK, 51, FALSE), "알수없음")</f>
        <v>20260420</v>
      </c>
      <c r="U20" t="str">
        <f>IFERROR(VLOOKUP(TEXT(A20,"0"), inspection_detail_raw!A:BK, 52, FALSE), "알수없음")</f>
        <v>20250421</v>
      </c>
      <c r="V20" t="str">
        <f>IFERROR(VLOOKUP(TEXT(A20,"0"), inspection_detail_raw!A:BK, 54, FALSE), "알수없음")</f>
        <v>042577</v>
      </c>
      <c r="W20" t="b">
        <f>IFERROR(VLOOKUP(TEXT(A20,"0"), inspection_detail_raw!A:BK, 57, FALSE), "알수없음")</f>
        <v>0</v>
      </c>
      <c r="X20" t="str">
        <f>IFERROR(VLOOKUP(TEXT(A20,"0"), inspection_detail_raw!A:BK, 59, FALSE), "알수없음")</f>
        <v>[]</v>
      </c>
      <c r="Y20" t="str">
        <f>VLOOKUP(A20,vehicle_detail!$A$2:$DK$101,78,FALSE)</f>
        <v>["10004", "1079", "10002"]</v>
      </c>
      <c r="Z20" t="str">
        <f>VLOOKUP(A20,vehicle_detail!$A$2:$DK$101,80,FALSE)</f>
        <v>["001", "004", "005", "006", "007", "008", "010", "014", "015", "017", "019", "020", "022", "023", "024", "026", "027", "030", "031", "032", "033", "034", "055", "056", "057", "058", "062", "068", "072", "074", "077", "082", "084", "088", "094", "096", "097"]</v>
      </c>
    </row>
    <row r="21" spans="1:26">
      <c r="A21" t="s">
        <v>25</v>
      </c>
      <c r="B21" t="str">
        <f>VLOOKUP(A21,vehicle_detail!$A$2:$DK$101,111,FALSE)</f>
        <v>232서3497</v>
      </c>
      <c r="C21" t="str">
        <f>VLOOKUP(A21,vehicle_detail!$A$2:$DK$101,101,FALSE)</f>
        <v>흰색</v>
      </c>
      <c r="D21" t="str">
        <f>VLOOKUP(A21,list_100!$B$2:$P$101,9,FALSE)</f>
        <v>현대</v>
      </c>
      <c r="E21" t="str">
        <f>VLOOKUP(A21,list_100!$B$2:$P$101,11,FALSE)</f>
        <v>올 뉴 투싼</v>
      </c>
      <c r="F21" t="str">
        <f>VLOOKUP(A21,list_100!$B$2:$P$101,2,FALSE)</f>
        <v>디젤 1.6 2WD</v>
      </c>
      <c r="G21" t="str">
        <f>VLOOKUP(A21,list_100!$B$2:$P$101,3,FALSE)</f>
        <v>모던</v>
      </c>
      <c r="H21" t="str">
        <f>VLOOKUP(A21,list_100!$B$2:$P$101,6,FALSE)</f>
        <v>2019</v>
      </c>
      <c r="I21" t="str">
        <f>VLOOKUP(A21,list_100!$B$2:$P$101,7,FALSE)</f>
        <v>디젤</v>
      </c>
      <c r="J21" t="str">
        <f>VLOOKUP(A21,vehicle_detail!$A$2:$DK$101,100,FALSE)</f>
        <v>SUV</v>
      </c>
      <c r="K21" s="2">
        <f>VLOOKUP(A21,list_100!$B$2:$P$101,15,FALSE)</f>
        <v>1780</v>
      </c>
      <c r="L21" s="2">
        <f>VLOOKUP(A21,list_100!$B$2:$P$101,10,FALSE)</f>
        <v>67968</v>
      </c>
      <c r="M21">
        <f>VLOOKUP(A21,list_100!$B$2:$V$101,21,FALSE)</f>
        <v>201910</v>
      </c>
      <c r="N21" t="str">
        <f>VLOOKUP(A21,seller_user!$A$2:$Y$101,2,FALSE)</f>
        <v>rladudtn</v>
      </c>
      <c r="O21" t="str">
        <f>VLOOKUP(A21,seller_user!$A$2:$Y$101,25,FALSE)</f>
        <v>김영수</v>
      </c>
      <c r="P21" t="str">
        <f>VLOOKUP(A21,seller_user!$A$2:$Y$101,3,FALSE)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1" t="str">
        <f>VLOOKUP(A21,inspection_detail_raw!A21:BK120,4,FALSE)</f>
        <v>["TABLE", "IMAGE"]</v>
      </c>
      <c r="R21" t="str">
        <f>IFERROR("https://ci.encar.com"&amp;VLOOKUP(A21,'성능점검 이미지정보'!A:E,2,FALSE),"")</f>
        <v>https://ci.encar.com/carsdata/cars/inspection/41085806_I1.jpg</v>
      </c>
      <c r="S21" t="str">
        <f>VLOOKUP(A21,inspection_detail_raw!A21:BK120,50,FALSE)</f>
        <v>[{"code": "1", "title": "렌트"}]</v>
      </c>
      <c r="T21" t="str">
        <f>IFERROR(VLOOKUP(TEXT(A21,"0"), inspection_detail_raw!A:BK, 51, FALSE), "알수없음")</f>
        <v>20260905</v>
      </c>
      <c r="U21" t="str">
        <f>IFERROR(VLOOKUP(TEXT(A21,"0"), inspection_detail_raw!A:BK, 52, FALSE), "알수없음")</f>
        <v>20250906</v>
      </c>
      <c r="V21" t="str">
        <f>IFERROR(VLOOKUP(TEXT(A21,"0"), inspection_detail_raw!A:BK, 54, FALSE), "알수없음")</f>
        <v>152653</v>
      </c>
      <c r="W21" t="b">
        <f>IFERROR(VLOOKUP(TEXT(A21,"0"), inspection_detail_raw!A:BK, 57, FALSE), "알수없음")</f>
        <v>0</v>
      </c>
      <c r="X21" t="str">
        <f>IFERROR(VLOOKUP(TEXT(A21,"0"), inspection_detail_raw!A:BK, 59, FALSE), "알수없음")</f>
        <v>[{"type": {"code": "P062", "title": "쿼터 패널(우)"}, "statusTypes": [{"code": "W", "title": "판금/용접"}, {"code": "WC", "title": "용접,절단"}], "attributes": ["RANK_TWO"]}]</v>
      </c>
      <c r="Y21" t="str">
        <f>VLOOKUP(A21,vehicle_detail!$A$2:$DK$101,78,FALSE)</f>
        <v>["1048", "10001"]</v>
      </c>
      <c r="Z21" t="str">
        <f>VLOOKUP(A21,vehicle_detail!$A$2:$DK$101,80,FALSE)</f>
        <v>["001", "004", "005", "006", "007", "008", "014", "015", "017", "019", "020", "022", "023", "024", "026", "027", "030", "031", "032", "033", "034", "055", "056", "057", "058", "062", "063", "071", "072", "074", "082", "088", "096", "097"]</v>
      </c>
    </row>
    <row r="22" spans="1:26">
      <c r="A22" t="s">
        <v>26</v>
      </c>
      <c r="B22" t="str">
        <f>VLOOKUP(A22,vehicle_detail!$A$2:$DK$101,111,FALSE)</f>
        <v>159루3237</v>
      </c>
      <c r="C22" t="str">
        <f>VLOOKUP(A22,vehicle_detail!$A$2:$DK$101,101,FALSE)</f>
        <v>흰색</v>
      </c>
      <c r="D22" t="str">
        <f>VLOOKUP(A22,list_100!$B$2:$P$101,9,FALSE)</f>
        <v>현대</v>
      </c>
      <c r="E22" t="str">
        <f>VLOOKUP(A22,list_100!$B$2:$P$101,11,FALSE)</f>
        <v>더 뉴 그랜저 IG</v>
      </c>
      <c r="F22" t="str">
        <f>VLOOKUP(A22,list_100!$B$2:$P$101,2,FALSE)</f>
        <v>2.5</v>
      </c>
      <c r="G22" t="str">
        <f>VLOOKUP(A22,list_100!$B$2:$P$101,3,FALSE)</f>
        <v>캘리그래피</v>
      </c>
      <c r="H22" t="str">
        <f>VLOOKUP(A22,list_100!$B$2:$P$101,6,FALSE)</f>
        <v>2022</v>
      </c>
      <c r="I22" t="str">
        <f>VLOOKUP(A22,list_100!$B$2:$P$101,7,FALSE)</f>
        <v>가솔린</v>
      </c>
      <c r="J22" t="str">
        <f>VLOOKUP(A22,vehicle_detail!$A$2:$DK$101,100,FALSE)</f>
        <v>대형차</v>
      </c>
      <c r="K22" s="2">
        <f>VLOOKUP(A22,list_100!$B$2:$P$101,15,FALSE)</f>
        <v>2850</v>
      </c>
      <c r="L22" s="2">
        <f>VLOOKUP(A22,list_100!$B$2:$P$101,10,FALSE)</f>
        <v>84458</v>
      </c>
      <c r="M22">
        <f>VLOOKUP(A22,list_100!$B$2:$V$101,21,FALSE)</f>
        <v>202109</v>
      </c>
      <c r="N22" t="str">
        <f>VLOOKUP(A22,seller_user!$A$2:$Y$101,2,FALSE)</f>
        <v>rladudtn</v>
      </c>
      <c r="O22" t="str">
        <f>VLOOKUP(A22,seller_user!$A$2:$Y$101,25,FALSE)</f>
        <v>김영수</v>
      </c>
      <c r="P22" t="str">
        <f>VLOOKUP(A22,seller_user!$A$2:$Y$101,3,FALSE)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2" t="str">
        <f>VLOOKUP(A22,inspection_detail_raw!A22:BK121,4,FALSE)</f>
        <v>["TABLE", "IMAGE"]</v>
      </c>
      <c r="R22" t="str">
        <f>IFERROR("https://ci.encar.com"&amp;VLOOKUP(A22,'성능점검 이미지정보'!A:E,2,FALSE),"")</f>
        <v>https://ci.encar.com/carsdata/cars/inspection/40151520_I1.jpg</v>
      </c>
      <c r="S22" t="str">
        <f>VLOOKUP(A22,inspection_detail_raw!A22:BK121,50,FALSE)</f>
        <v>[{"code": "1", "title": "렌트"}]</v>
      </c>
      <c r="T22" t="str">
        <f>IFERROR(VLOOKUP(TEXT(A22,"0"), inspection_detail_raw!A:BK, 51, FALSE), "알수없음")</f>
        <v>20250902</v>
      </c>
      <c r="U22" t="str">
        <f>IFERROR(VLOOKUP(TEXT(A22,"0"), inspection_detail_raw!A:BK, 52, FALSE), "알수없음")</f>
        <v>20240903</v>
      </c>
      <c r="V22" t="str">
        <f>IFERROR(VLOOKUP(TEXT(A22,"0"), inspection_detail_raw!A:BK, 54, FALSE), "알수없음")</f>
        <v>456808</v>
      </c>
      <c r="W22" t="b">
        <f>IFERROR(VLOOKUP(TEXT(A22,"0"), inspection_detail_raw!A:BK, 57, FALSE), "알수없음")</f>
        <v>0</v>
      </c>
      <c r="X22" t="str">
        <f>IFERROR(VLOOKUP(TEXT(A22,"0"), inspection_detail_raw!A:BK, 59, FALSE), "알수없음")</f>
        <v>[]</v>
      </c>
      <c r="Y22" t="str">
        <f>VLOOKUP(A22,vehicle_detail!$A$2:$DK$101,78,FALSE)</f>
        <v>[]</v>
      </c>
      <c r="Z22" t="str">
        <f>VLOOKUP(A22,vehicle_detail!$A$2:$DK$101,80,FALSE)</f>
        <v>["001", "004", "005", "006", "007", "008", "014", "015", "017", "019", "020", "021", "022", "023", "024", "026", "027", "030", "031", "032", "033", "034", "035", "051", "055", "056", "057", "058", "059", "063", "072", "074", "075", "077", "079", "081", "082", "083", "084", "085", "086", "087", "088", "092", "093", "094", "095", "096", "097"]</v>
      </c>
    </row>
    <row r="23" spans="1:26">
      <c r="A23" t="s">
        <v>27</v>
      </c>
      <c r="B23" t="str">
        <f>VLOOKUP(A23,vehicle_detail!$A$2:$DK$101,111,FALSE)</f>
        <v>223도6348</v>
      </c>
      <c r="C23" t="str">
        <f>VLOOKUP(A23,vehicle_detail!$A$2:$DK$101,101,FALSE)</f>
        <v>검정색</v>
      </c>
      <c r="D23" t="str">
        <f>VLOOKUP(A23,list_100!$B$2:$P$101,9,FALSE)</f>
        <v>현대</v>
      </c>
      <c r="E23" t="str">
        <f>VLOOKUP(A23,list_100!$B$2:$P$101,11,FALSE)</f>
        <v>쏘나타 뉴 라이즈</v>
      </c>
      <c r="F23" t="str">
        <f>VLOOKUP(A23,list_100!$B$2:$P$101,2,FALSE)</f>
        <v>2.0 스타일</v>
      </c>
      <c r="G23">
        <f>VLOOKUP(A23,list_100!$B$2:$P$101,3,FALSE)</f>
        <v>0</v>
      </c>
      <c r="H23" t="str">
        <f>VLOOKUP(A23,list_100!$B$2:$P$101,6,FALSE)</f>
        <v>2018</v>
      </c>
      <c r="I23" t="str">
        <f>VLOOKUP(A23,list_100!$B$2:$P$101,7,FALSE)</f>
        <v>가솔린</v>
      </c>
      <c r="J23" t="str">
        <f>VLOOKUP(A23,vehicle_detail!$A$2:$DK$101,100,FALSE)</f>
        <v>중형차</v>
      </c>
      <c r="K23" s="2">
        <f>VLOOKUP(A23,list_100!$B$2:$P$101,15,FALSE)</f>
        <v>1180</v>
      </c>
      <c r="L23" s="2">
        <f>VLOOKUP(A23,list_100!$B$2:$P$101,10,FALSE)</f>
        <v>59954</v>
      </c>
      <c r="M23">
        <f>VLOOKUP(A23,list_100!$B$2:$V$101,21,FALSE)</f>
        <v>201710</v>
      </c>
      <c r="N23" t="str">
        <f>VLOOKUP(A23,seller_user!$A$2:$Y$101,2,FALSE)</f>
        <v>rladudtn</v>
      </c>
      <c r="O23" t="str">
        <f>VLOOKUP(A23,seller_user!$A$2:$Y$101,25,FALSE)</f>
        <v>김영수</v>
      </c>
      <c r="P23" t="str">
        <f>VLOOKUP(A23,seller_user!$A$2:$Y$101,3,FALSE)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3" t="str">
        <f>VLOOKUP(A23,inspection_detail_raw!A23:BK122,4,FALSE)</f>
        <v>["TABLE", "IMAGE"]</v>
      </c>
      <c r="R23" t="str">
        <f>IFERROR("https://ci.encar.com"&amp;VLOOKUP(A23,'성능점검 이미지정보'!A:E,2,FALSE),"")</f>
        <v>https://ci.encar.com/carsdata/cars/inspection/38557627_I1.jpg</v>
      </c>
      <c r="S23" t="str">
        <f>VLOOKUP(A23,inspection_detail_raw!A23:BK122,50,FALSE)</f>
        <v>[{"code": "1", "title": "렌트"}]</v>
      </c>
      <c r="T23" t="str">
        <f>IFERROR(VLOOKUP(TEXT(A23,"0"), inspection_detail_raw!A:BK, 51, FALSE), "알수없음")</f>
        <v>20241016</v>
      </c>
      <c r="U23" t="str">
        <f>IFERROR(VLOOKUP(TEXT(A23,"0"), inspection_detail_raw!A:BK, 52, FALSE), "알수없음")</f>
        <v>20211017</v>
      </c>
      <c r="V23" t="str">
        <f>IFERROR(VLOOKUP(TEXT(A23,"0"), inspection_detail_raw!A:BK, 54, FALSE), "알수없음")</f>
        <v>404532</v>
      </c>
      <c r="W23" t="b">
        <f>IFERROR(VLOOKUP(TEXT(A23,"0"), inspection_detail_raw!A:BK, 57, FALSE), "알수없음")</f>
        <v>1</v>
      </c>
      <c r="X23" t="str">
        <f>IFERROR(VLOOKUP(TEXT(A23,"0"), inspection_detail_raw!A:BK, 59, FALSE), "알수없음")</f>
        <v>[{"type": {"code": "P011", "title": "후드"}, "statusTypes": [{"code": "W", "title": "판금/용접"}], "attributes": ["RANK_ONE"]}]</v>
      </c>
      <c r="Y23" t="str">
        <f>VLOOKUP(A23,vehicle_detail!$A$2:$DK$101,78,FALSE)</f>
        <v>[]</v>
      </c>
      <c r="Z23" t="str">
        <f>VLOOKUP(A23,vehicle_detail!$A$2:$DK$101,80,FALSE)</f>
        <v>["001", "005", "006", "007", "008", "014", "015", "017", "019", "020", "022", "024", "026", "027", "031", "032", "033", "055", "056", "057", "058", "071", "072", "096"]</v>
      </c>
    </row>
    <row r="24" spans="1:26">
      <c r="A24" t="s">
        <v>28</v>
      </c>
      <c r="B24" t="str">
        <f>VLOOKUP(A24,vehicle_detail!$A$2:$DK$101,111,FALSE)</f>
        <v>239조1044</v>
      </c>
      <c r="C24" t="str">
        <f>VLOOKUP(A24,vehicle_detail!$A$2:$DK$101,101,FALSE)</f>
        <v>검정색</v>
      </c>
      <c r="D24" t="str">
        <f>VLOOKUP(A24,list_100!$B$2:$P$101,9,FALSE)</f>
        <v>현대</v>
      </c>
      <c r="E24" t="str">
        <f>VLOOKUP(A24,list_100!$B$2:$P$101,11,FALSE)</f>
        <v>쏘나타 (DN8)</v>
      </c>
      <c r="F24" t="str">
        <f>VLOOKUP(A24,list_100!$B$2:$P$101,2,FALSE)</f>
        <v>2.0</v>
      </c>
      <c r="G24" t="str">
        <f>VLOOKUP(A24,list_100!$B$2:$P$101,3,FALSE)</f>
        <v>프리미엄</v>
      </c>
      <c r="H24" t="str">
        <f>VLOOKUP(A24,list_100!$B$2:$P$101,6,FALSE)</f>
        <v>2021</v>
      </c>
      <c r="I24" t="str">
        <f>VLOOKUP(A24,list_100!$B$2:$P$101,7,FALSE)</f>
        <v>가솔린</v>
      </c>
      <c r="J24" t="str">
        <f>VLOOKUP(A24,vehicle_detail!$A$2:$DK$101,100,FALSE)</f>
        <v>중형차</v>
      </c>
      <c r="K24" s="2">
        <f>VLOOKUP(A24,list_100!$B$2:$P$101,15,FALSE)</f>
        <v>1930</v>
      </c>
      <c r="L24" s="2">
        <f>VLOOKUP(A24,list_100!$B$2:$P$101,10,FALSE)</f>
        <v>54072</v>
      </c>
      <c r="M24">
        <f>VLOOKUP(A24,list_100!$B$2:$V$101,21,FALSE)</f>
        <v>202007</v>
      </c>
      <c r="N24" t="str">
        <f>VLOOKUP(A24,seller_user!$A$2:$Y$101,2,FALSE)</f>
        <v>rladudtn</v>
      </c>
      <c r="O24" t="str">
        <f>VLOOKUP(A24,seller_user!$A$2:$Y$101,25,FALSE)</f>
        <v>김영수</v>
      </c>
      <c r="P24" t="str">
        <f>VLOOKUP(A24,seller_user!$A$2:$Y$101,3,FALSE)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4" t="str">
        <f>VLOOKUP(A24,inspection_detail_raw!A24:BK123,4,FALSE)</f>
        <v>["TABLE", "IMAGE"]</v>
      </c>
      <c r="R24" t="str">
        <f>IFERROR("https://ci.encar.com"&amp;VLOOKUP(A24,'성능점검 이미지정보'!A:E,2,FALSE),"")</f>
        <v>https://ci.encar.com/carsdata/cars/inspection/41218565_I1.jpg</v>
      </c>
      <c r="S24" t="str">
        <f>VLOOKUP(A24,inspection_detail_raw!A24:BK123,50,FALSE)</f>
        <v>[{"code": "1", "title": "렌트"}]</v>
      </c>
      <c r="T24" t="str">
        <f>IFERROR(VLOOKUP(TEXT(A24,"0"), inspection_detail_raw!A:BK, 51, FALSE), "알수없음")</f>
        <v>20260707</v>
      </c>
      <c r="U24" t="str">
        <f>IFERROR(VLOOKUP(TEXT(A24,"0"), inspection_detail_raw!A:BK, 52, FALSE), "알수없음")</f>
        <v>20250708</v>
      </c>
      <c r="V24" t="str">
        <f>IFERROR(VLOOKUP(TEXT(A24,"0"), inspection_detail_raw!A:BK, 54, FALSE), "알수없음")</f>
        <v>104739</v>
      </c>
      <c r="W24" t="b">
        <f>IFERROR(VLOOKUP(TEXT(A24,"0"), inspection_detail_raw!A:BK, 57, FALSE), "알수없음")</f>
        <v>1</v>
      </c>
      <c r="X24" t="str">
        <f>IFERROR(VLOOKUP(TEXT(A24,"0"), inspection_detail_raw!A:BK, 59, FALSE), "알수없음")</f>
        <v>[{"type": {"code": "P021", "title": "프론트 휀더(좌)"}, "statusTypes": [{"code": "X", "title": "교환(교체)"}], "attributes": ["RANK_ONE"]}, {"type": {"code": "P061", "title": "쿼터 패널(좌)"}, "statusTypes": [{"code": "W", "title": "판금/용접"}, {"code": "WC", "title": "용접,절단"}], "attributes": ["RANK_TWO"]}]</v>
      </c>
      <c r="Y24" t="str">
        <f>VLOOKUP(A24,vehicle_detail!$A$2:$DK$101,78,FALSE)</f>
        <v>["10006", "10003"]</v>
      </c>
      <c r="Z24" t="str">
        <f>VLOOKUP(A24,vehicle_detail!$A$2:$DK$101,80,FALSE)</f>
        <v>["001", "004", "005", "006", "007", "008", "014", "015", "017", "019", "020", "021", "022", "023", "024", "026", "027", "030", "031", "032", "033", "034", "055", "056", "057", "058", "063", "068", "072", "074", "075", "077", "082", "084", "088", "094", "096", "097"]</v>
      </c>
    </row>
    <row r="25" spans="1:26">
      <c r="A25" t="s">
        <v>29</v>
      </c>
      <c r="B25" t="str">
        <f>VLOOKUP(A25,vehicle_detail!$A$2:$DK$101,111,FALSE)</f>
        <v>815거5062</v>
      </c>
      <c r="C25" t="str">
        <f>VLOOKUP(A25,vehicle_detail!$A$2:$DK$101,101,FALSE)</f>
        <v>검정색</v>
      </c>
      <c r="D25" t="str">
        <f>VLOOKUP(A25,list_100!$B$2:$P$101,9,FALSE)</f>
        <v>현대</v>
      </c>
      <c r="E25" t="str">
        <f>VLOOKUP(A25,list_100!$B$2:$P$101,11,FALSE)</f>
        <v>스타리아</v>
      </c>
      <c r="F25" t="str">
        <f>VLOOKUP(A25,list_100!$B$2:$P$101,2,FALSE)</f>
        <v>카고 5인승</v>
      </c>
      <c r="G25" t="str">
        <f>VLOOKUP(A25,list_100!$B$2:$P$101,3,FALSE)</f>
        <v>모던</v>
      </c>
      <c r="H25" t="str">
        <f>VLOOKUP(A25,list_100!$B$2:$P$101,6,FALSE)</f>
        <v>2023</v>
      </c>
      <c r="I25" t="str">
        <f>VLOOKUP(A25,list_100!$B$2:$P$101,7,FALSE)</f>
        <v>디젤</v>
      </c>
      <c r="J25" t="str">
        <f>VLOOKUP(A25,vehicle_detail!$A$2:$DK$101,100,FALSE)</f>
        <v>승합차</v>
      </c>
      <c r="K25" s="2">
        <f>VLOOKUP(A25,list_100!$B$2:$P$101,15,FALSE)</f>
        <v>2530</v>
      </c>
      <c r="L25" s="2">
        <f>VLOOKUP(A25,list_100!$B$2:$P$101,10,FALSE)</f>
        <v>46218</v>
      </c>
      <c r="M25">
        <f>VLOOKUP(A25,list_100!$B$2:$V$101,21,FALSE)</f>
        <v>202212</v>
      </c>
      <c r="N25" t="str">
        <f>VLOOKUP(A25,seller_user!$A$2:$Y$101,2,FALSE)</f>
        <v>rladudtn</v>
      </c>
      <c r="O25" t="str">
        <f>VLOOKUP(A25,seller_user!$A$2:$Y$101,25,FALSE)</f>
        <v>김영수</v>
      </c>
      <c r="P25" t="str">
        <f>VLOOKUP(A25,seller_user!$A$2:$Y$101,3,FALSE)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5" t="str">
        <f>VLOOKUP(A25,inspection_detail_raw!A25:BK124,4,FALSE)</f>
        <v>["TABLE", "IMAGE"]</v>
      </c>
      <c r="R25" t="str">
        <f>IFERROR("https://ci.encar.com"&amp;VLOOKUP(A25,'성능점검 이미지정보'!A:E,2,FALSE),"")</f>
        <v>https://ci.encar.com/carsdata/cars/inspection/40055487_I1.jpg</v>
      </c>
      <c r="S25" t="str">
        <f>VLOOKUP(A25,inspection_detail_raw!A25:BK124,50,FALSE)</f>
        <v>[]</v>
      </c>
      <c r="T25" t="str">
        <f>IFERROR(VLOOKUP(TEXT(A25,"0"), inspection_detail_raw!A:BK, 51, FALSE), "알수없음")</f>
        <v>20251215</v>
      </c>
      <c r="U25" t="str">
        <f>IFERROR(VLOOKUP(TEXT(A25,"0"), inspection_detail_raw!A:BK, 52, FALSE), "알수없음")</f>
        <v>20231216</v>
      </c>
      <c r="V25" t="str">
        <f>IFERROR(VLOOKUP(TEXT(A25,"0"), inspection_detail_raw!A:BK, 54, FALSE), "알수없음")</f>
        <v>095199</v>
      </c>
      <c r="W25" t="b">
        <f>IFERROR(VLOOKUP(TEXT(A25,"0"), inspection_detail_raw!A:BK, 57, FALSE), "알수없음")</f>
        <v>0</v>
      </c>
      <c r="X25" t="str">
        <f>IFERROR(VLOOKUP(TEXT(A25,"0"), inspection_detail_raw!A:BK, 59, FALSE), "알수없음")</f>
        <v>[]</v>
      </c>
      <c r="Y25" t="str">
        <f>VLOOKUP(A25,vehicle_detail!$A$2:$DK$101,78,FALSE)</f>
        <v>["1016", "1014"]</v>
      </c>
      <c r="Z25" t="str">
        <f>VLOOKUP(A25,vehicle_detail!$A$2:$DK$101,80,FALSE)</f>
        <v>["001", "005", "006", "007", "008", "014", "015", "017", "019", "020", "022", "024", "026", "027", "031", "032", "033", "055", "056", "057", "058", "072", "079", "082", "086", "088", "094", "096", "097"]</v>
      </c>
    </row>
    <row r="26" spans="1:26">
      <c r="A26" t="s">
        <v>30</v>
      </c>
      <c r="B26" t="str">
        <f>VLOOKUP(A26,vehicle_detail!$A$2:$DK$101,111,FALSE)</f>
        <v>67서7411</v>
      </c>
      <c r="C26" t="str">
        <f>VLOOKUP(A26,vehicle_detail!$A$2:$DK$101,101,FALSE)</f>
        <v>쥐색</v>
      </c>
      <c r="D26" t="str">
        <f>VLOOKUP(A26,list_100!$B$2:$P$101,9,FALSE)</f>
        <v>현대</v>
      </c>
      <c r="E26" t="str">
        <f>VLOOKUP(A26,list_100!$B$2:$P$101,11,FALSE)</f>
        <v>더 뉴 i40</v>
      </c>
      <c r="F26" t="str">
        <f>VLOOKUP(A26,list_100!$B$2:$P$101,2,FALSE)</f>
        <v>2.0 GDi</v>
      </c>
      <c r="G26" t="str">
        <f>VLOOKUP(A26,list_100!$B$2:$P$101,3,FALSE)</f>
        <v>프리미엄</v>
      </c>
      <c r="H26" t="str">
        <f>VLOOKUP(A26,list_100!$B$2:$P$101,6,FALSE)</f>
        <v>2018</v>
      </c>
      <c r="I26" t="str">
        <f>VLOOKUP(A26,list_100!$B$2:$P$101,7,FALSE)</f>
        <v>가솔린</v>
      </c>
      <c r="J26" t="str">
        <f>VLOOKUP(A26,vehicle_detail!$A$2:$DK$101,100,FALSE)</f>
        <v>중형차</v>
      </c>
      <c r="K26" s="2">
        <f>VLOOKUP(A26,list_100!$B$2:$P$101,15,FALSE)</f>
        <v>1330</v>
      </c>
      <c r="L26" s="2">
        <f>VLOOKUP(A26,list_100!$B$2:$P$101,10,FALSE)</f>
        <v>101173</v>
      </c>
      <c r="M26">
        <f>VLOOKUP(A26,list_100!$B$2:$V$101,21,FALSE)</f>
        <v>201706</v>
      </c>
      <c r="N26" t="str">
        <f>VLOOKUP(A26,seller_user!$A$2:$Y$101,2,FALSE)</f>
        <v>rladudtn</v>
      </c>
      <c r="O26" t="str">
        <f>VLOOKUP(A26,seller_user!$A$2:$Y$101,25,FALSE)</f>
        <v>김영수</v>
      </c>
      <c r="P26" t="str">
        <f>VLOOKUP(A26,seller_user!$A$2:$Y$101,3,FALSE)</f>
        <v>[{"companyType": "FIRM", "companyName": "(주)일공공일카부카", "brn": "596-87-01383", "associationCd": 6, "associationName": "부산 자동차매매사업조합", "associationPhoneNumber": "051-868-8388", "certificatedEmployeeNumber": "2505138108", "address": {"zipcode": "46978 ", "location": null, "sido": "부산", "sigungu": "사상구", "eupmyeondong": null, "eupmyeondongEtc": null, "address": "부산 사상구 낙동대로 1094", "buildingCd": "2653010500101260000000767"}, "contacts": null, "used": true}]</v>
      </c>
      <c r="Q26" t="str">
        <f>VLOOKUP(A26,inspection_detail_raw!A26:BK125,4,FALSE)</f>
        <v>["TABLE", "IMAGE"]</v>
      </c>
      <c r="R26" t="str">
        <f>IFERROR("https://ci.encar.com"&amp;VLOOKUP(A26,'성능점검 이미지정보'!A:E,2,FALSE),"")</f>
        <v>https://ci.encar.com/carsdata/cars/inspection/39345655_I1.jpg</v>
      </c>
      <c r="S26" t="str">
        <f>VLOOKUP(A26,inspection_detail_raw!A26:BK125,50,FALSE)</f>
        <v>[]</v>
      </c>
      <c r="T26" t="str">
        <f>IFERROR(VLOOKUP(TEXT(A26,"0"), inspection_detail_raw!A:BK, 51, FALSE), "알수없음")</f>
        <v>20250601</v>
      </c>
      <c r="U26" t="str">
        <f>IFERROR(VLOOKUP(TEXT(A26,"0"), inspection_detail_raw!A:BK, 52, FALSE), "알수없음")</f>
        <v>20230602</v>
      </c>
      <c r="V26" t="str">
        <f>IFERROR(VLOOKUP(TEXT(A26,"0"), inspection_detail_raw!A:BK, 54, FALSE), "알수없음")</f>
        <v>142834</v>
      </c>
      <c r="W26" t="b">
        <f>IFERROR(VLOOKUP(TEXT(A26,"0"), inspection_detail_raw!A:BK, 57, FALSE), "알수없음")</f>
        <v>0</v>
      </c>
      <c r="X26" t="str">
        <f>IFERROR(VLOOKUP(TEXT(A26,"0"), inspection_detail_raw!A:BK, 59, FALSE), "알수없음")</f>
        <v>[]</v>
      </c>
      <c r="Y26" t="str">
        <f>VLOOKUP(A26,vehicle_detail!$A$2:$DK$101,78,FALSE)</f>
        <v>["1037", "10006", "1038"]</v>
      </c>
      <c r="Z26" t="str">
        <f>VLOOKUP(A26,vehicle_detail!$A$2:$DK$101,80,FALSE)</f>
        <v>["001", "004", "005", "006", "007", "008", "014", "015", "017", "019", "020", "021", "022", "023", "024", "026", "027", "029", "030", "031", "032", "033", "034", "035", "055", "056", "057", "058", "062", "063", "068", "071", "072", "074", "077", "082", "085", "094", "096", "097"]</v>
      </c>
    </row>
    <row r="27" spans="1:26">
      <c r="A27" t="s">
        <v>31</v>
      </c>
      <c r="B27" t="str">
        <f>VLOOKUP(A27,vehicle_detail!$A$2:$DK$101,111,FALSE)</f>
        <v>31거1410</v>
      </c>
      <c r="C27" t="str">
        <f>VLOOKUP(A27,vehicle_detail!$A$2:$DK$101,101,FALSE)</f>
        <v>흰색</v>
      </c>
      <c r="D27" t="str">
        <f>VLOOKUP(A27,list_100!$B$2:$P$101,9,FALSE)</f>
        <v>현대</v>
      </c>
      <c r="E27" t="str">
        <f>VLOOKUP(A27,list_100!$B$2:$P$101,11,FALSE)</f>
        <v>그랜저 IG</v>
      </c>
      <c r="F27" t="str">
        <f>VLOOKUP(A27,list_100!$B$2:$P$101,2,FALSE)</f>
        <v>2.4 프리미엄</v>
      </c>
      <c r="G27" t="str">
        <f>VLOOKUP(A27,list_100!$B$2:$P$101,3,FALSE)</f>
        <v>스페셜</v>
      </c>
      <c r="H27" t="str">
        <f>VLOOKUP(A27,list_100!$B$2:$P$101,6,FALSE)</f>
        <v>2018</v>
      </c>
      <c r="I27" t="str">
        <f>VLOOKUP(A27,list_100!$B$2:$P$101,7,FALSE)</f>
        <v>가솔린</v>
      </c>
      <c r="J27" t="str">
        <f>VLOOKUP(A27,vehicle_detail!$A$2:$DK$101,100,FALSE)</f>
        <v>대형차</v>
      </c>
      <c r="K27" s="2">
        <f>VLOOKUP(A27,list_100!$B$2:$P$101,15,FALSE)</f>
        <v>2250</v>
      </c>
      <c r="L27" s="2">
        <f>VLOOKUP(A27,list_100!$B$2:$P$101,10,FALSE)</f>
        <v>59866</v>
      </c>
      <c r="M27">
        <f>VLOOKUP(A27,list_100!$B$2:$V$101,21,FALSE)</f>
        <v>201801</v>
      </c>
      <c r="N27" t="str">
        <f>VLOOKUP(A27,seller_user!$A$2:$Y$101,2,FALSE)</f>
        <v>hyeon6209</v>
      </c>
      <c r="O27" t="str">
        <f>VLOOKUP(A27,seller_user!$A$2:$Y$101,25,FALSE)</f>
        <v>김수현</v>
      </c>
      <c r="P27" t="str">
        <f>VLOOKUP(A27,seller_user!$A$2:$Y$101,3,FALSE)</f>
        <v>[{"companyType": "FIRM", "companyName": "주식회사 설레임 오토모티브", "brn": "271-88-02160", "associationCd": 28, "associationName": "경기 자동차매매사업조합", "associationPhoneNumber": "031-242-8940", "certificatedEmployeeNumber": "GC20-05631", "address": {"zipcode": "16613 ", "location": null, "sido": "경기", "sigungu": "수원시 권선구", "eupmyeondong": null, "eupmyeondongEtc": null, "address": "경기 수원시 권선구", "buildingCd": "4111313100100790009000001"}, "contacts": null, "used": true}]</v>
      </c>
      <c r="Q27" t="str">
        <f>VLOOKUP(A27,inspection_detail_raw!A27:BK126,4,FALSE)</f>
        <v>["TABLE"]</v>
      </c>
      <c r="R27" t="str">
        <f>IFERROR("https://ci.encar.com"&amp;VLOOKUP(A27,'성능점검 이미지정보'!A:E,2,FALSE),"")</f>
        <v>https://ci.encar.com/carsdata/cars/inspection/40952759_photoFront.jpg</v>
      </c>
      <c r="S27" t="str">
        <f>VLOOKUP(A27,inspection_detail_raw!A27:BK126,50,FALSE)</f>
        <v>[]</v>
      </c>
      <c r="T27" t="str">
        <f>IFERROR(VLOOKUP(TEXT(A27,"0"), inspection_detail_raw!A:BK, 51, FALSE), "알수없음")</f>
        <v>20260122</v>
      </c>
      <c r="U27" t="str">
        <f>IFERROR(VLOOKUP(TEXT(A27,"0"), inspection_detail_raw!A:BK, 52, FALSE), "알수없음")</f>
        <v>20240123</v>
      </c>
      <c r="V27" t="str">
        <f>IFERROR(VLOOKUP(TEXT(A27,"0"), inspection_detail_raw!A:BK, 54, FALSE), "알수없음")</f>
        <v>KMHF441CBJA142230</v>
      </c>
      <c r="W27" t="b">
        <f>IFERROR(VLOOKUP(TEXT(A27,"0"), inspection_detail_raw!A:BK, 57, FALSE), "알수없음")</f>
        <v>0</v>
      </c>
      <c r="X27" t="str">
        <f>IFERROR(VLOOKUP(TEXT(A27,"0"), inspection_detail_raw!A:BK, 59, FALSE), "알수없음")</f>
        <v>[]</v>
      </c>
      <c r="Y27" t="str">
        <f>VLOOKUP(A27,vehicle_detail!$A$2:$DK$101,78,FALSE)</f>
        <v>["1009", "1027", "1012", "1008", "1028", "1025"]</v>
      </c>
      <c r="Z27" t="str">
        <f>VLOOKUP(A27,vehicle_detail!$A$2:$DK$101,80,FALSE)</f>
        <v>["001", "004", "005", "006", "007", "008", "010", "014", "015", "017", "019", "020", "021", "022", "023", "024", "026", "027", "030", "031", "032", "033", "034", "035", "051", "055", "056", "057", "058", "059", "063", "071", "072", "074", "075", "077", "079", "081", "082", "083", "085", "086", "087", "088", "092", "094", "096", "097"]</v>
      </c>
    </row>
    <row r="28" spans="1:26">
      <c r="A28" t="s">
        <v>33</v>
      </c>
      <c r="B28" t="str">
        <f>VLOOKUP(A28,vehicle_detail!$A$2:$DK$101,111,FALSE)</f>
        <v>205소9157</v>
      </c>
      <c r="C28" t="str">
        <f>VLOOKUP(A28,vehicle_detail!$A$2:$DK$101,101,FALSE)</f>
        <v>검정색</v>
      </c>
      <c r="D28" t="str">
        <f>VLOOKUP(A28,list_100!$B$2:$P$101,9,FALSE)</f>
        <v>현대</v>
      </c>
      <c r="E28" t="str">
        <f>VLOOKUP(A28,list_100!$B$2:$P$101,11,FALSE)</f>
        <v>팰리세이드</v>
      </c>
      <c r="F28" t="str">
        <f>VLOOKUP(A28,list_100!$B$2:$P$101,2,FALSE)</f>
        <v>디젤 2.2 2WD</v>
      </c>
      <c r="G28" t="str">
        <f>VLOOKUP(A28,list_100!$B$2:$P$101,3,FALSE)</f>
        <v>캘리그래피</v>
      </c>
      <c r="H28" t="str">
        <f>VLOOKUP(A28,list_100!$B$2:$P$101,6,FALSE)</f>
        <v>2022</v>
      </c>
      <c r="I28" t="str">
        <f>VLOOKUP(A28,list_100!$B$2:$P$101,7,FALSE)</f>
        <v>디젤</v>
      </c>
      <c r="J28" t="str">
        <f>VLOOKUP(A28,vehicle_detail!$A$2:$DK$101,100,FALSE)</f>
        <v>SUV</v>
      </c>
      <c r="K28" s="2">
        <f>VLOOKUP(A28,list_100!$B$2:$P$101,15,FALSE)</f>
        <v>3060</v>
      </c>
      <c r="L28" s="2">
        <f>VLOOKUP(A28,list_100!$B$2:$P$101,10,FALSE)</f>
        <v>112711</v>
      </c>
      <c r="M28">
        <f>VLOOKUP(A28,list_100!$B$2:$V$101,21,FALSE)</f>
        <v>202105</v>
      </c>
      <c r="N28" t="str">
        <f>VLOOKUP(A28,seller_user!$A$2:$Y$101,2,FALSE)</f>
        <v>cks0290</v>
      </c>
      <c r="O28" t="str">
        <f>VLOOKUP(A28,seller_user!$A$2:$Y$101,25,FALSE)</f>
        <v>박찬영</v>
      </c>
      <c r="P28" t="str">
        <f>VLOOKUP(A28,seller_user!$A$2:$Y$101,3,FALSE)</f>
        <v>[{"companyType": "FIRM", "companyName": "엠시티모터스", "brn": "494-47-01155", "associationCd": 14, "associationName": "인천엠파크 자동차매매사업조합", "associationPhoneNumber": "032-715-5533", "certificatedEmployeeNumber": "CB25-00315", "address": {"zipcode": "28754 ", "location": null, "sido": "충북", "sigungu": "청주시 상당구", "eupmyeondong": null, "eupmyeondongEtc": null, "address": "충북 청주시 상당구 1순환로1594번길 56", "buildingCd": "4311112500200890000000001"}, "contacts": null, "used": true}]</v>
      </c>
      <c r="Q28" t="str">
        <f>VLOOKUP(A28,inspection_detail_raw!A28:BK127,4,FALSE)</f>
        <v>["TABLE"]</v>
      </c>
      <c r="R28" t="str">
        <f>IFERROR("https://ci.encar.com"&amp;VLOOKUP(A28,'성능점검 이미지정보'!A:E,2,FALSE),"")</f>
        <v>https://ci.encar.com/carsdata/cars/inspection/41370416_photoFront.jpg</v>
      </c>
      <c r="S28" t="str">
        <f>VLOOKUP(A28,inspection_detail_raw!A28:BK127,50,FALSE)</f>
        <v>[]</v>
      </c>
      <c r="T28" t="str">
        <f>IFERROR(VLOOKUP(TEXT(A28,"0"), inspection_detail_raw!A:BK, 51, FALSE), "알수없음")</f>
        <v>20270512</v>
      </c>
      <c r="U28" t="str">
        <f>IFERROR(VLOOKUP(TEXT(A28,"0"), inspection_detail_raw!A:BK, 52, FALSE), "알수없음")</f>
        <v>20250513</v>
      </c>
      <c r="V28" t="str">
        <f>IFERROR(VLOOKUP(TEXT(A28,"0"), inspection_detail_raw!A:BK, 54, FALSE), "알수없음")</f>
        <v>KMHR581ABNU327073</v>
      </c>
      <c r="W28" t="b">
        <f>IFERROR(VLOOKUP(TEXT(A28,"0"), inspection_detail_raw!A:BK, 57, FALSE), "알수없음")</f>
        <v>0</v>
      </c>
      <c r="X28" t="str">
        <f>IFERROR(VLOOKUP(TEXT(A28,"0"), inspection_detail_raw!A:BK, 59, FALSE), "알수없음")</f>
        <v>[]</v>
      </c>
      <c r="Y28" t="str">
        <f>VLOOKUP(A28,vehicle_detail!$A$2:$DK$101,78,FALSE)</f>
        <v>[]</v>
      </c>
      <c r="Z28" t="str">
        <f>VLOOKUP(A28,vehicle_detail!$A$2:$DK$101,80,FALSE)</f>
        <v>["001", "004", "005", "006", "007", "008", "014", "015", "017", "019", "020", "021", "022", "023", "024", "026", "027", "030", "031", "032", "033", "034", "035", "051", "055", "056", "057", "058", "059", "062", "063", "072", "074", "075", "077", "079", "081", "082", "084", "085", "086", "087", "088", "090", "092", "094", "095", "096", "097"]</v>
      </c>
    </row>
    <row r="29" spans="1:26">
      <c r="A29" t="s">
        <v>35</v>
      </c>
      <c r="B29" t="str">
        <f>VLOOKUP(A29,vehicle_detail!$A$2:$DK$101,111,FALSE)</f>
        <v>11서0515</v>
      </c>
      <c r="C29" t="str">
        <f>VLOOKUP(A29,vehicle_detail!$A$2:$DK$101,101,FALSE)</f>
        <v>은색</v>
      </c>
      <c r="D29" t="str">
        <f>VLOOKUP(A29,list_100!$B$2:$P$101,9,FALSE)</f>
        <v>현대</v>
      </c>
      <c r="E29" t="str">
        <f>VLOOKUP(A29,list_100!$B$2:$P$101,11,FALSE)</f>
        <v>싼타페 DM</v>
      </c>
      <c r="F29" t="str">
        <f>VLOOKUP(A29,list_100!$B$2:$P$101,2,FALSE)</f>
        <v>디젤(e-VGT) 2.0 2WD 모던</v>
      </c>
      <c r="G29">
        <f>VLOOKUP(A29,list_100!$B$2:$P$101,3,FALSE)</f>
        <v>0</v>
      </c>
      <c r="H29" t="str">
        <f>VLOOKUP(A29,list_100!$B$2:$P$101,6,FALSE)</f>
        <v>2015</v>
      </c>
      <c r="I29" t="str">
        <f>VLOOKUP(A29,list_100!$B$2:$P$101,7,FALSE)</f>
        <v>디젤</v>
      </c>
      <c r="J29" t="str">
        <f>VLOOKUP(A29,vehicle_detail!$A$2:$DK$101,100,FALSE)</f>
        <v>SUV</v>
      </c>
      <c r="K29" s="2">
        <f>VLOOKUP(A29,list_100!$B$2:$P$101,15,FALSE)</f>
        <v>870</v>
      </c>
      <c r="L29" s="2">
        <f>VLOOKUP(A29,list_100!$B$2:$P$101,10,FALSE)</f>
        <v>140796</v>
      </c>
      <c r="M29">
        <f>VLOOKUP(A29,list_100!$B$2:$V$101,21,FALSE)</f>
        <v>201504</v>
      </c>
      <c r="N29" t="str">
        <f>VLOOKUP(A29,seller_user!$A$2:$Y$101,2,FALSE)</f>
        <v>gold99</v>
      </c>
      <c r="O29" t="str">
        <f>VLOOKUP(A29,seller_user!$A$2:$Y$101,25,FALSE)</f>
        <v>방성희</v>
      </c>
      <c r="P29" t="str">
        <f>VLOOKUP(A29,seller_user!$A$2:$Y$101,3,FALSE)</f>
        <v>[{"companyType": "FIRM", "companyName": "조이 모터스", "brn": "122-38-50384", "associationCd": 11, "associationName": "충남 자동차매매사업조합", "associationPhoneNumber": "041-572-8444", "certificatedEmployeeNumber": "23-041-00110", "address": {"zipcode": "31074 ", "location": null, "sido": "충남", "sigungu": "천안시 서북구", "eupmyeondong": null, "eupmyeondongEtc": null, "address": "충남 천안시 서북구", "buildingCd": "4413310500103350001040409"}, "contacts": null, "used": true}]</v>
      </c>
      <c r="Q29" t="str">
        <f>VLOOKUP(A29,inspection_detail_raw!A29:BK128,4,FALSE)</f>
        <v>["TABLE"]</v>
      </c>
      <c r="R29" t="str">
        <f>IFERROR("https://ci.encar.com"&amp;VLOOKUP(A29,'성능점검 이미지정보'!A:E,2,FALSE),"")</f>
        <v/>
      </c>
      <c r="S29" t="str">
        <f>VLOOKUP(A29,inspection_detail_raw!A29:BK128,50,FALSE)</f>
        <v>[{"code": "1", "title": "렌트"}]</v>
      </c>
      <c r="T29" t="str">
        <f>IFERROR(VLOOKUP(TEXT(A29,"0"), inspection_detail_raw!A:BK, 51, FALSE), "알수없음")</f>
        <v>20260402</v>
      </c>
      <c r="U29" t="str">
        <f>IFERROR(VLOOKUP(TEXT(A29,"0"), inspection_detail_raw!A:BK, 52, FALSE), "알수없음")</f>
        <v>20240403</v>
      </c>
      <c r="V29" t="str">
        <f>IFERROR(VLOOKUP(TEXT(A29,"0"), inspection_detail_raw!A:BK, 54, FALSE), "알수없음")</f>
        <v>KMHSU81UBFU492918</v>
      </c>
      <c r="W29" t="b">
        <f>IFERROR(VLOOKUP(TEXT(A29,"0"), inspection_detail_raw!A:BK, 57, FALSE), "알수없음")</f>
        <v>1</v>
      </c>
      <c r="X29" t="str">
        <f>IFERROR(VLOOKUP(TEXT(A29,"0"), inspection_detail_raw!A:BK, 59, FALSE), "알수없음")</f>
        <v>[{"type": {"code": "P062", "title": "쿼터 패널(우)"}, "statusTypes": [{"code": "X", "title": "교환(교체)"}], "attributes": ["RANK_TWO"]}]</v>
      </c>
      <c r="Y29" t="str">
        <f>VLOOKUP(A29,vehicle_detail!$A$2:$DK$101,78,FALSE)</f>
        <v>["1042", "1040", "1043"]</v>
      </c>
      <c r="Z29" t="str">
        <f>VLOOKUP(A29,vehicle_detail!$A$2:$DK$101,80,FALSE)</f>
        <v>["001", "003", "004", "005", "006", "007", "008", "014", "015", "017", "019", "020", "021", "022", "023", "024", "026", "027", "030", "031", "032", "033", "055", "056", "057", "058", "063", "068", "071", "072", "074", "082", "096", "097"]</v>
      </c>
    </row>
    <row r="30" spans="1:26">
      <c r="A30" t="s">
        <v>37</v>
      </c>
      <c r="B30" t="str">
        <f>VLOOKUP(A30,vehicle_detail!$A$2:$DK$101,111,FALSE)</f>
        <v>243구5409</v>
      </c>
      <c r="C30" t="str">
        <f>VLOOKUP(A30,vehicle_detail!$A$2:$DK$101,101,FALSE)</f>
        <v>쥐색</v>
      </c>
      <c r="D30" t="str">
        <f>VLOOKUP(A30,list_100!$B$2:$P$101,9,FALSE)</f>
        <v>현대</v>
      </c>
      <c r="E30" t="str">
        <f>VLOOKUP(A30,list_100!$B$2:$P$101,11,FALSE)</f>
        <v>싼타페 TM</v>
      </c>
      <c r="F30" t="str">
        <f>VLOOKUP(A30,list_100!$B$2:$P$101,2,FALSE)</f>
        <v>가솔린 2.0T 2WD</v>
      </c>
      <c r="G30" t="str">
        <f>VLOOKUP(A30,list_100!$B$2:$P$101,3,FALSE)</f>
        <v>익스클루시브</v>
      </c>
      <c r="H30" t="str">
        <f>VLOOKUP(A30,list_100!$B$2:$P$101,6,FALSE)</f>
        <v>2020</v>
      </c>
      <c r="I30" t="str">
        <f>VLOOKUP(A30,list_100!$B$2:$P$101,7,FALSE)</f>
        <v>가솔린</v>
      </c>
      <c r="J30" t="str">
        <f>VLOOKUP(A30,vehicle_detail!$A$2:$DK$101,100,FALSE)</f>
        <v>SUV</v>
      </c>
      <c r="K30" s="2">
        <f>VLOOKUP(A30,list_100!$B$2:$P$101,15,FALSE)</f>
        <v>2060</v>
      </c>
      <c r="L30" s="2">
        <f>VLOOKUP(A30,list_100!$B$2:$P$101,10,FALSE)</f>
        <v>96517</v>
      </c>
      <c r="M30">
        <f>VLOOKUP(A30,list_100!$B$2:$V$101,21,FALSE)</f>
        <v>202006</v>
      </c>
      <c r="N30" t="str">
        <f>VLOOKUP(A30,seller_user!$A$2:$Y$101,2,FALSE)</f>
        <v>kcardgbyw</v>
      </c>
      <c r="O30" t="str">
        <f>VLOOKUP(A30,seller_user!$A$2:$Y$101,25,FALSE)</f>
        <v>김병훈</v>
      </c>
      <c r="P30" t="str">
        <f>VLOOKUP(A30,seller_user!$A$2:$Y$101,3,FALSE)</f>
        <v>[{"companyType": "FIRM", "companyName": "오토플러스(주)", "brn": "105-86-06429", "associationCd": 3, "associationName": "대구 자동차매매사업조합", "associationPhoneNumber": "053-341-7788", "certificatedEmployeeNumber": "2305300328", "address": {"zipcode": "41081 ", "location": null, "sido": "대구", "sigungu": "동구", "eupmyeondong": null, "eupmyeondongEtc": null, "address": "대구 동구", "buildingCd": "2714012300103010001033011"}, "contacts": null, "used": true}]</v>
      </c>
      <c r="Q30" t="str">
        <f>VLOOKUP(A30,inspection_detail_raw!A30:BK129,4,FALSE)</f>
        <v>["TABLE"]</v>
      </c>
      <c r="R30" t="str">
        <f>IFERROR("https://ci.encar.com"&amp;VLOOKUP(A30,'성능점검 이미지정보'!A:E,2,FALSE),"")</f>
        <v/>
      </c>
      <c r="S30" t="str">
        <f>IFERROR(VLOOKUP(TEXT(A30,"0"), inspection_detail_raw!A:BK, 50, FALSE), "알수없음")</f>
        <v>[]</v>
      </c>
      <c r="T30" t="str">
        <f>IFERROR(VLOOKUP(TEXT(A30,"0"), inspection_detail_raw!A:BK, 51, FALSE), "알수없음")</f>
        <v>20260608</v>
      </c>
      <c r="U30" t="str">
        <f>IFERROR(VLOOKUP(TEXT(A30,"0"), inspection_detail_raw!A:BK, 52, FALSE), "알수없음")</f>
        <v>20240609</v>
      </c>
      <c r="V30" t="str">
        <f>IFERROR(VLOOKUP(TEXT(A30,"0"), inspection_detail_raw!A:BK, 54, FALSE), "알수없음")</f>
        <v>KMHS281ABLU298577</v>
      </c>
      <c r="W30" t="b">
        <f>IFERROR(VLOOKUP(TEXT(A30,"0"), inspection_detail_raw!A:BK, 57, FALSE), "알수없음")</f>
        <v>0</v>
      </c>
      <c r="X30" t="str">
        <f>IFERROR(VLOOKUP(TEXT(A30,"0"), inspection_detail_raw!A:BK, 59, FALSE), "알수없음")</f>
        <v>[]</v>
      </c>
      <c r="Y30" t="str">
        <f>VLOOKUP(A30,vehicle_detail!$A$2:$DK$101,78,FALSE)</f>
        <v>["10001"]</v>
      </c>
      <c r="Z30" t="str">
        <f>VLOOKUP(A30,vehicle_detail!$A$2:$DK$101,80,FALSE)</f>
        <v>["001", "004", "005", "006", "007", "008", "014", "015", "017", "019", "020", "021", "022", "023", "024", "026", "027", "030", "031", "032", "033", "034", "055", "056", "057", "058", "059", "062", "063", "072", "074", "077", "079", "082", "085", "088", "094", "096", "097"]</v>
      </c>
    </row>
    <row r="31" spans="1:26">
      <c r="A31" t="s">
        <v>39</v>
      </c>
      <c r="B31" t="str">
        <f>VLOOKUP(A31,vehicle_detail!$A$2:$DK$101,111,FALSE)</f>
        <v>27가3348</v>
      </c>
      <c r="C31" t="str">
        <f>VLOOKUP(A31,vehicle_detail!$A$2:$DK$101,101,FALSE)</f>
        <v>검정색</v>
      </c>
      <c r="D31" t="str">
        <f>VLOOKUP(A31,list_100!$B$2:$P$101,9,FALSE)</f>
        <v>현대</v>
      </c>
      <c r="E31" t="str">
        <f>VLOOKUP(A31,list_100!$B$2:$P$101,11,FALSE)</f>
        <v>그랜저 HG 하이브리드</v>
      </c>
      <c r="F31" t="str">
        <f>VLOOKUP(A31,list_100!$B$2:$P$101,2,FALSE)</f>
        <v>프리미엄</v>
      </c>
      <c r="G31">
        <f>VLOOKUP(A31,list_100!$B$2:$P$101,3,FALSE)</f>
        <v>0</v>
      </c>
      <c r="H31" t="str">
        <f>VLOOKUP(A31,list_100!$B$2:$P$101,6,FALSE)</f>
        <v>2015</v>
      </c>
      <c r="I31" t="str">
        <f>VLOOKUP(A31,list_100!$B$2:$P$101,7,FALSE)</f>
        <v>가솔린+전기</v>
      </c>
      <c r="J31" t="str">
        <f>VLOOKUP(A31,vehicle_detail!$A$2:$DK$101,100,FALSE)</f>
        <v>대형차</v>
      </c>
      <c r="K31" s="2">
        <f>VLOOKUP(A31,list_100!$B$2:$P$101,15,FALSE)</f>
        <v>649</v>
      </c>
      <c r="L31" s="2">
        <f>VLOOKUP(A31,list_100!$B$2:$P$101,10,FALSE)</f>
        <v>191302</v>
      </c>
      <c r="M31">
        <f>VLOOKUP(A31,list_100!$B$2:$V$101,21,FALSE)</f>
        <v>201409</v>
      </c>
      <c r="N31" t="str">
        <f>VLOOKUP(A31,seller_user!$A$2:$Y$101,2,FALSE)</f>
        <v>nobility4569</v>
      </c>
      <c r="O31" t="str">
        <f>VLOOKUP(A31,seller_user!$A$2:$Y$101,25,FALSE)</f>
        <v>박효진</v>
      </c>
      <c r="P31" t="str">
        <f>VLOOKUP(A31,seller_user!$A$2:$Y$101,3,FALSE)</f>
        <v>[{"companyType": "FIRM", "companyName": "그차는내차", "brn": "130-48-00545", "associationCd": 23, "associationName": "대구연합 자동차매매사업조합", "associationPhoneNumber": "053-584-9900", "certificatedEmployeeNumber": "DG19-00889", "address": {"zipcode": "41752 ", "location": null, "sido": "대구", "sigungu": "서구", "eupmyeondong": null, "eupmyeondongEtc": null, "address": "대구 서구 문화로 37", "buildingCd": "2717010600100420030000001"}, "contacts": null, "used": true}]</v>
      </c>
      <c r="Q31" t="str">
        <f>VLOOKUP(A31,inspection_detail_raw!A31:BK130,4,FALSE)</f>
        <v>["TABLE"]</v>
      </c>
      <c r="R31" t="str">
        <f>IFERROR("https://ci.encar.com"&amp;VLOOKUP(A31,'성능점검 이미지정보'!A:E,2,FALSE),"")</f>
        <v/>
      </c>
      <c r="S31" t="str">
        <f>VLOOKUP(A31,inspection_detail_raw!A31:BK130,50,FALSE)</f>
        <v>[]</v>
      </c>
      <c r="T31" t="str">
        <f>IFERROR(VLOOKUP(TEXT(A31,"0"), inspection_detail_raw!A:BK, 51, FALSE), "알수없음")</f>
        <v>20260918</v>
      </c>
      <c r="U31" t="str">
        <f>IFERROR(VLOOKUP(TEXT(A31,"0"), inspection_detail_raw!A:BK, 52, FALSE), "알수없음")</f>
        <v>20240919</v>
      </c>
      <c r="V31" t="str">
        <f>IFERROR(VLOOKUP(TEXT(A31,"0"), inspection_detail_raw!A:BK, 54, FALSE), "알수없음")</f>
        <v>KMHFG413BFA009859</v>
      </c>
      <c r="W31" t="b">
        <f>IFERROR(VLOOKUP(TEXT(A31,"0"), inspection_detail_raw!A:BK, 57, FALSE), "알수없음")</f>
        <v>1</v>
      </c>
      <c r="X31" t="str">
        <f>IFERROR(VLOOKUP(TEXT(A31,"0"), inspection_detail_raw!A:BK, 59, FALSE), "알수없음")</f>
        <v>[{"type": {"code": "P062", "title": "쿼터 패널(우)"}, "statusTypes": [{"code": "W", "title": "판금/용접"}], "attributes": ["RANK_TWO"]}]</v>
      </c>
      <c r="Y31" t="str">
        <f>VLOOKUP(A31,vehicle_detail!$A$2:$DK$101,78,FALSE)</f>
        <v>["1004", "1008"]</v>
      </c>
      <c r="Z31" t="str">
        <f>VLOOKUP(A31,vehicle_detail!$A$2:$DK$101,80,FALSE)</f>
        <v>["001", "003", "004", "005", "006", "007", "008", "014", "015", "017", "019", "020", "021", "022", "023", "024", "026", "027", "030", "031", "032", "033", "034", "035", "051", "055", "056", "057", "058", "063", "068", "071", "072", "074", "077", "082", "085", "094", "096", "097"]</v>
      </c>
    </row>
    <row r="32" spans="1:26">
      <c r="A32" t="s">
        <v>41</v>
      </c>
      <c r="B32" t="str">
        <f>VLOOKUP(A32,vehicle_detail!$A$2:$DK$101,111,FALSE)</f>
        <v>105마5870</v>
      </c>
      <c r="C32" t="str">
        <f>VLOOKUP(A32,vehicle_detail!$A$2:$DK$101,101,FALSE)</f>
        <v>쥐색</v>
      </c>
      <c r="D32" t="str">
        <f>VLOOKUP(A32,list_100!$B$2:$P$101,9,FALSE)</f>
        <v>현대</v>
      </c>
      <c r="E32" t="str">
        <f>VLOOKUP(A32,list_100!$B$2:$P$101,11,FALSE)</f>
        <v>그랜저 IG</v>
      </c>
      <c r="F32" t="str">
        <f>VLOOKUP(A32,list_100!$B$2:$P$101,2,FALSE)</f>
        <v>3.0 LPi 익스클루시브 (렌터카)</v>
      </c>
      <c r="G32">
        <f>VLOOKUP(A32,list_100!$B$2:$P$101,3,FALSE)</f>
        <v>0</v>
      </c>
      <c r="H32" t="str">
        <f>VLOOKUP(A32,list_100!$B$2:$P$101,6,FALSE)</f>
        <v>2017</v>
      </c>
      <c r="I32" t="str">
        <f>VLOOKUP(A32,list_100!$B$2:$P$101,7,FALSE)</f>
        <v>LPG(일반인 구입)</v>
      </c>
      <c r="J32" t="str">
        <f>VLOOKUP(A32,vehicle_detail!$A$2:$DK$101,100,FALSE)</f>
        <v>대형차</v>
      </c>
      <c r="K32" s="2">
        <f>VLOOKUP(A32,list_100!$B$2:$P$101,15,FALSE)</f>
        <v>1259</v>
      </c>
      <c r="L32" s="2">
        <f>VLOOKUP(A32,list_100!$B$2:$P$101,10,FALSE)</f>
        <v>184927</v>
      </c>
      <c r="M32">
        <f>VLOOKUP(A32,list_100!$B$2:$V$101,21,FALSE)</f>
        <v>201702</v>
      </c>
      <c r="N32" t="str">
        <f>VLOOKUP(A32,seller_user!$A$2:$Y$101,2,FALSE)</f>
        <v>tankdotcom</v>
      </c>
      <c r="O32" t="str">
        <f>VLOOKUP(A32,seller_user!$A$2:$Y$101,25,FALSE)</f>
        <v>강현진</v>
      </c>
      <c r="P32" t="str">
        <f>VLOOKUP(A32,seller_user!$A$2:$Y$101,3,FALSE)</f>
        <v>[{"companyType": "FIRM", "companyName": "미소모터스", "brn": "531-25-01637", "associationCd": 0, "associationName": "서울 자동차매매사업조합", "associationPhoneNumber": "02-847-3448", "certificatedEmployeeNumber": "SE23-00659", "address": {"zipcode": "07909 ", "location": null, "sido": "서울", "sigungu": "양천구", "eupmyeondong": null, "eupmyeondongEtc": null, "address": "서울 양천구", "buildingCd": "1147010300100390001012768"}, "contacts": null, "used": true}]</v>
      </c>
      <c r="Q32" t="str">
        <f>VLOOKUP(A32,inspection_detail_raw!A32:BK131,4,FALSE)</f>
        <v>["TABLE"]</v>
      </c>
      <c r="R32" t="str">
        <f>IFERROR("https://ci.encar.com"&amp;VLOOKUP(A32,'성능점검 이미지정보'!A:E,2,FALSE),"")</f>
        <v/>
      </c>
      <c r="S32" t="str">
        <f>VLOOKUP(A32,inspection_detail_raw!A32:BK131,50,FALSE)</f>
        <v>[{"code": "1", "title": "렌트"}]</v>
      </c>
      <c r="T32" t="str">
        <f>IFERROR(VLOOKUP(TEXT(A32,"0"), inspection_detail_raw!A:BK, 51, FALSE), "알수없음")</f>
        <v>20270331</v>
      </c>
      <c r="U32" t="str">
        <f>IFERROR(VLOOKUP(TEXT(A32,"0"), inspection_detail_raw!A:BK, 52, FALSE), "알수없음")</f>
        <v>20250401</v>
      </c>
      <c r="V32" t="str">
        <f>IFERROR(VLOOKUP(TEXT(A32,"0"), inspection_detail_raw!A:BK, 54, FALSE), "알수없음")</f>
        <v>KMHF641NBHA030476</v>
      </c>
      <c r="W32" t="b">
        <f>IFERROR(VLOOKUP(TEXT(A32,"0"), inspection_detail_raw!A:BK, 57, FALSE), "알수없음")</f>
        <v>0</v>
      </c>
      <c r="X32" t="str">
        <f>IFERROR(VLOOKUP(TEXT(A32,"0"), inspection_detail_raw!A:BK, 59, FALSE), "알수없음")</f>
        <v>[]</v>
      </c>
      <c r="Y32" t="str">
        <f>VLOOKUP(A32,vehicle_detail!$A$2:$DK$101,78,FALSE)</f>
        <v>[]</v>
      </c>
      <c r="Z32" t="str">
        <f>VLOOKUP(A32,vehicle_detail!$A$2:$DK$101,80,FALSE)</f>
        <v>["001", "004", "005", "006", "007", "008", "010", "014", "015", "017", "019", "020", "021", "022", "023", "024", "026", "027", "030", "031", "032", "033", "034", "035", "051", "055", "056", "057", "058", "063", "068", "071", "072", "074", "075", "077", "081", "082", "083", "085", "087", "092", "093", "094", "095", "096", "097"]</v>
      </c>
    </row>
    <row r="33" spans="1:26">
      <c r="A33" t="s">
        <v>43</v>
      </c>
      <c r="B33" t="str">
        <f>VLOOKUP(A33,vehicle_detail!$A$2:$DK$101,111,FALSE)</f>
        <v>333버6671</v>
      </c>
      <c r="C33" t="str">
        <f>VLOOKUP(A33,vehicle_detail!$A$2:$DK$101,101,FALSE)</f>
        <v>연두색</v>
      </c>
      <c r="D33" t="str">
        <f>VLOOKUP(A33,list_100!$B$2:$P$101,9,FALSE)</f>
        <v>현대</v>
      </c>
      <c r="E33" t="str">
        <f>VLOOKUP(A33,list_100!$B$2:$P$101,11,FALSE)</f>
        <v>캐스퍼</v>
      </c>
      <c r="F33" t="str">
        <f>VLOOKUP(A33,list_100!$B$2:$P$101,2,FALSE)</f>
        <v>밴</v>
      </c>
      <c r="G33" t="str">
        <f>VLOOKUP(A33,list_100!$B$2:$P$101,3,FALSE)</f>
        <v>스마트</v>
      </c>
      <c r="H33" t="str">
        <f>VLOOKUP(A33,list_100!$B$2:$P$101,6,FALSE)</f>
        <v>2023</v>
      </c>
      <c r="I33" t="str">
        <f>VLOOKUP(A33,list_100!$B$2:$P$101,7,FALSE)</f>
        <v>가솔린</v>
      </c>
      <c r="J33" t="str">
        <f>VLOOKUP(A33,vehicle_detail!$A$2:$DK$101,100,FALSE)</f>
        <v>경차</v>
      </c>
      <c r="K33" s="2">
        <f>VLOOKUP(A33,list_100!$B$2:$P$101,15,FALSE)</f>
        <v>1390</v>
      </c>
      <c r="L33" s="2">
        <f>VLOOKUP(A33,list_100!$B$2:$P$101,10,FALSE)</f>
        <v>9473</v>
      </c>
      <c r="M33">
        <f>VLOOKUP(A33,list_100!$B$2:$V$101,21,FALSE)</f>
        <v>202203</v>
      </c>
      <c r="N33" t="str">
        <f>VLOOKUP(A33,seller_user!$A$2:$Y$101,2,FALSE)</f>
        <v>ef9550</v>
      </c>
      <c r="O33" t="str">
        <f>VLOOKUP(A33,seller_user!$A$2:$Y$101,25,FALSE)</f>
        <v>김동호</v>
      </c>
      <c r="P33" t="str">
        <f>VLOOKUP(A33,seller_user!$A$2:$Y$101,3,FALSE)</f>
        <v>[{"companyType": "FIRM", "companyName": "디에이치모터스", "brn": "479-60-00627", "associationCd": 27, "associationName": "인천엠파크 자동차매매사업조합", "associationPhoneNumber": "032-715-5533", "certificatedEmployeeNumber": "IM23-00493", "address": {"zipcode": "22836 ", "location": null, "sido": "인천", "sigungu": "서구", "eupmyeondong": null, "eupmyeondongEtc": null, "address": "인천 서구", "buildingCd": "2826011200101500019000001"}, "contacts": null, "used": true}]</v>
      </c>
      <c r="Q33" t="str">
        <f>VLOOKUP(A33,inspection_detail_raw!A33:BK132,4,FALSE)</f>
        <v>["TABLE"]</v>
      </c>
      <c r="R33" t="str">
        <f>IFERROR("https://ci.encar.com"&amp;VLOOKUP(A33,'성능점검 이미지정보'!A:E,2,FALSE),"")</f>
        <v>https://ci.encar.com/carsdata/cars/inspection/41369527_photoFront.jpg</v>
      </c>
      <c r="S33" t="str">
        <f>VLOOKUP(A33,inspection_detail_raw!A33:BK132,50,FALSE)</f>
        <v>[{"code": "1", "title": "렌트"}]</v>
      </c>
      <c r="T33" t="str">
        <f>IFERROR(VLOOKUP(TEXT(A33,"0"), inspection_detail_raw!A:BK, 51, FALSE), "알수없음")</f>
        <v>20270322</v>
      </c>
      <c r="U33" t="str">
        <f>IFERROR(VLOOKUP(TEXT(A33,"0"), inspection_detail_raw!A:BK, 52, FALSE), "알수없음")</f>
        <v>20260323</v>
      </c>
      <c r="V33" t="str">
        <f>IFERROR(VLOOKUP(TEXT(A33,"0"), inspection_detail_raw!A:BK, 54, FALSE), "알수없음")</f>
        <v>KMHB3918BPW020416</v>
      </c>
      <c r="W33" t="b">
        <f>IFERROR(VLOOKUP(TEXT(A33,"0"), inspection_detail_raw!A:BK, 57, FALSE), "알수없음")</f>
        <v>0</v>
      </c>
      <c r="X33" t="str">
        <f>IFERROR(VLOOKUP(TEXT(A33,"0"), inspection_detail_raw!A:BK, 59, FALSE), "알수없음")</f>
        <v>[]</v>
      </c>
      <c r="Y33" t="str">
        <f>VLOOKUP(A33,vehicle_detail!$A$2:$DK$101,78,FALSE)</f>
        <v>["1003", "1004"]</v>
      </c>
      <c r="Z33" t="str">
        <f>VLOOKUP(A33,vehicle_detail!$A$2:$DK$101,80,FALSE)</f>
        <v>["001", "006", "007", "008", "014", "015", "019", "020", "022", "024", "026", "027", "031", "032", "033", "034", "055", "056", "068", "072", "074", "082", "088", "096", "097"]</v>
      </c>
    </row>
    <row r="34" spans="1:26">
      <c r="A34" t="s">
        <v>45</v>
      </c>
      <c r="B34" t="str">
        <f>VLOOKUP(A34,vehicle_detail!$A$2:$DK$101,111,FALSE)</f>
        <v>204러4689</v>
      </c>
      <c r="C34" t="str">
        <f>VLOOKUP(A34,vehicle_detail!$A$2:$DK$101,101,FALSE)</f>
        <v>검정색</v>
      </c>
      <c r="D34" t="str">
        <f>VLOOKUP(A34,list_100!$B$2:$P$101,9,FALSE)</f>
        <v>현대</v>
      </c>
      <c r="E34" t="str">
        <f>VLOOKUP(A34,list_100!$B$2:$P$101,11,FALSE)</f>
        <v>팰리세이드</v>
      </c>
      <c r="F34" t="str">
        <f>VLOOKUP(A34,list_100!$B$2:$P$101,2,FALSE)</f>
        <v>디젤 2.2 4WD</v>
      </c>
      <c r="G34" t="str">
        <f>VLOOKUP(A34,list_100!$B$2:$P$101,3,FALSE)</f>
        <v>프레스티지</v>
      </c>
      <c r="H34" t="str">
        <f>VLOOKUP(A34,list_100!$B$2:$P$101,6,FALSE)</f>
        <v>2021</v>
      </c>
      <c r="I34" t="str">
        <f>VLOOKUP(A34,list_100!$B$2:$P$101,7,FALSE)</f>
        <v>디젤</v>
      </c>
      <c r="J34" t="str">
        <f>VLOOKUP(A34,vehicle_detail!$A$2:$DK$101,100,FALSE)</f>
        <v>SUV</v>
      </c>
      <c r="K34" s="2">
        <f>VLOOKUP(A34,list_100!$B$2:$P$101,15,FALSE)</f>
        <v>2950</v>
      </c>
      <c r="L34" s="2">
        <f>VLOOKUP(A34,list_100!$B$2:$P$101,10,FALSE)</f>
        <v>86631</v>
      </c>
      <c r="M34">
        <f>VLOOKUP(A34,list_100!$B$2:$V$101,21,FALSE)</f>
        <v>202011</v>
      </c>
      <c r="N34" t="str">
        <f>VLOOKUP(A34,seller_user!$A$2:$Y$101,2,FALSE)</f>
        <v>aka3319</v>
      </c>
      <c r="O34" t="str">
        <f>VLOOKUP(A34,seller_user!$A$2:$Y$101,25,FALSE)</f>
        <v>전영수</v>
      </c>
      <c r="P34" t="str">
        <f>VLOOKUP(A34,seller_user!$A$2:$Y$101,3,FALSE)</f>
        <v>[{"companyType": "FIRM", "companyName": "세븐", "brn": "555-22-01592", "associationCd": 6, "associationName": "부산 자동차매매사업조합", "associationPhoneNumber": "051-868-8388", "certificatedEmployeeNumber": "23-051-36503", "address": {"zipcode": "49472 ", "location": null, "sido": "부산", "sigungu": "사하구", "eupmyeondong": null, "eupmyeondongEtc": null, "address": "부산 사하구", "buildingCd": "2638010400103700046037836"}, "contacts": null, "used": true}]</v>
      </c>
      <c r="Q34" t="str">
        <f>VLOOKUP(A34,inspection_detail_raw!A34:BK133,4,FALSE)</f>
        <v>["TABLE"]</v>
      </c>
      <c r="R34" t="str">
        <f>IFERROR("https://ci.encar.com"&amp;VLOOKUP(A34,'성능점검 이미지정보'!A:E,2,FALSE),"")</f>
        <v/>
      </c>
      <c r="S34" t="str">
        <f>VLOOKUP(A34,inspection_detail_raw!A34:BK133,50,FALSE)</f>
        <v>[]</v>
      </c>
      <c r="T34" t="str">
        <f>IFERROR(VLOOKUP(TEXT(A34,"0"), inspection_detail_raw!A:BK, 51, FALSE), "알수없음")</f>
        <v>20261115</v>
      </c>
      <c r="U34" t="str">
        <f>IFERROR(VLOOKUP(TEXT(A34,"0"), inspection_detail_raw!A:BK, 52, FALSE), "알수없음")</f>
        <v>20251116</v>
      </c>
      <c r="V34" t="str">
        <f>IFERROR(VLOOKUP(TEXT(A34,"0"), inspection_detail_raw!A:BK, 54, FALSE), "알수없음")</f>
        <v>KMHR381ADMU24389</v>
      </c>
      <c r="W34" t="b">
        <f>IFERROR(VLOOKUP(TEXT(A34,"0"), inspection_detail_raw!A:BK, 57, FALSE), "알수없음")</f>
        <v>0</v>
      </c>
      <c r="X34" t="str">
        <f>IFERROR(VLOOKUP(TEXT(A34,"0"), inspection_detail_raw!A:BK, 59, FALSE), "알수없음")</f>
        <v>[]</v>
      </c>
      <c r="Y34" t="str">
        <f>VLOOKUP(A34,vehicle_detail!$A$2:$DK$101,78,FALSE)</f>
        <v>["10003"]</v>
      </c>
      <c r="Z34" t="str">
        <f>VLOOKUP(A34,vehicle_detail!$A$2:$DK$101,80,FALSE)</f>
        <v>["001", "004", "005", "006", "007", "008", "014", "015", "017", "019", "020", "021", "022", "023", "024", "026", "027", "030", "031", "032", "033", "034", "051", "055", "056", "057", "058", "059", "062", "063", "072", "074", "075", "077", "079", "081", "082", "084", "085", "086", "087", "088", "090", "094", "096", "097"]</v>
      </c>
    </row>
    <row r="35" spans="1:26">
      <c r="A35" t="s">
        <v>47</v>
      </c>
      <c r="B35" t="str">
        <f>VLOOKUP(A35,vehicle_detail!$A$2:$DK$101,111,FALSE)</f>
        <v>14가1316</v>
      </c>
      <c r="C35" t="str">
        <f>VLOOKUP(A35,vehicle_detail!$A$2:$DK$101,101,FALSE)</f>
        <v>쥐색</v>
      </c>
      <c r="D35" t="str">
        <f>VLOOKUP(A35,list_100!$B$2:$P$101,9,FALSE)</f>
        <v>현대</v>
      </c>
      <c r="E35" t="str">
        <f>VLOOKUP(A35,list_100!$B$2:$P$101,11,FALSE)</f>
        <v>아반떼 MD</v>
      </c>
      <c r="F35" t="str">
        <f>VLOOKUP(A35,list_100!$B$2:$P$101,2,FALSE)</f>
        <v>M16 GDI 럭셔리</v>
      </c>
      <c r="G35">
        <f>VLOOKUP(A35,list_100!$B$2:$P$101,3,FALSE)</f>
        <v>0</v>
      </c>
      <c r="H35" t="str">
        <f>VLOOKUP(A35,list_100!$B$2:$P$101,6,FALSE)</f>
        <v>2011</v>
      </c>
      <c r="I35" t="str">
        <f>VLOOKUP(A35,list_100!$B$2:$P$101,7,FALSE)</f>
        <v>가솔린</v>
      </c>
      <c r="J35" t="str">
        <f>VLOOKUP(A35,vehicle_detail!$A$2:$DK$101,100,FALSE)</f>
        <v>준중형차</v>
      </c>
      <c r="K35" s="2">
        <f>VLOOKUP(A35,list_100!$B$2:$P$101,15,FALSE)</f>
        <v>370</v>
      </c>
      <c r="L35" s="2">
        <f>VLOOKUP(A35,list_100!$B$2:$P$101,10,FALSE)</f>
        <v>155789</v>
      </c>
      <c r="M35">
        <f>VLOOKUP(A35,list_100!$B$2:$V$101,21,FALSE)</f>
        <v>201009</v>
      </c>
      <c r="N35" t="str">
        <f>VLOOKUP(A35,seller_user!$A$2:$Y$101,2,FALSE)</f>
        <v>qorwogh0827</v>
      </c>
      <c r="O35" t="str">
        <f>VLOOKUP(A35,seller_user!$A$2:$Y$101,25,FALSE)</f>
        <v>백재호</v>
      </c>
      <c r="P35" t="str">
        <f>VLOOKUP(A35,seller_user!$A$2:$Y$101,3,FALSE)</f>
        <v>[{"companyType": "FIRM", "companyName": "위너모터스", "brn": "450-19-00167", "associationCd": 23, "associationName": null, "associationPhoneNumber": null, "certificatedEmployeeNumber": "2500469", "address": {"zipcode": "41752 ", "location": null, "sido": "대구", "sigungu": "서구", "eupmyeondong": null, "eupmyeondongEtc": null, "address": "대구 서구 문화로 37", "buildingCd": "2717010600100420030000001"}, "contacts": null, "used": true}]</v>
      </c>
      <c r="Q35" t="str">
        <f>VLOOKUP(A35,inspection_detail_raw!A35:BK134,4,FALSE)</f>
        <v>["TABLE"]</v>
      </c>
      <c r="R35" t="str">
        <f>IFERROR("https://ci.encar.com"&amp;VLOOKUP(A35,'성능점검 이미지정보'!A:E,2,FALSE),"")</f>
        <v/>
      </c>
      <c r="S35" t="str">
        <f>VLOOKUP(A35,inspection_detail_raw!A35:BK134,50,FALSE)</f>
        <v>[]</v>
      </c>
      <c r="T35" t="str">
        <f>IFERROR(VLOOKUP(TEXT(A35,"0"), inspection_detail_raw!A:BK, 51, FALSE), "알수없음")</f>
        <v>20261017</v>
      </c>
      <c r="U35" t="str">
        <f>IFERROR(VLOOKUP(TEXT(A35,"0"), inspection_detail_raw!A:BK, 52, FALSE), "알수없음")</f>
        <v>20241018</v>
      </c>
      <c r="V35" t="str">
        <f>IFERROR(VLOOKUP(TEXT(A35,"0"), inspection_detail_raw!A:BK, 54, FALSE), "알수없음")</f>
        <v>KMHDG41DBBU017175</v>
      </c>
      <c r="W35" t="b">
        <f>IFERROR(VLOOKUP(TEXT(A35,"0"), inspection_detail_raw!A:BK, 57, FALSE), "알수없음")</f>
        <v>1</v>
      </c>
      <c r="X35" t="str">
        <f>IFERROR(VLOOKUP(TEXT(A35,"0"), inspection_detail_raw!A:BK, 59, FALSE), "알수없음")</f>
        <v>[{"type": {"code": "P062", "title": "쿼터 패널(우)"}, "statusTypes": [{"code": "W", "title": "판금/용접"}], "attributes": ["RANK_TWO"]}, {"type": {"code": "P021", "title": "프론트 휀더(좌)"}, "statusTypes": [{"code": "X", "title": "교환(교체)"}], "attributes": ["RANK_ONE"]}, {"type": {"code": "P061", "title": "쿼터 패널(좌)"}, "statusTypes": [{"code": "W", "title": "판금/용접"}], "attributes": ["RANK_TWO"]}]</v>
      </c>
      <c r="Y35" t="str">
        <f>VLOOKUP(A35,vehicle_detail!$A$2:$DK$101,78,FALSE)</f>
        <v>["1085", "10001"]</v>
      </c>
      <c r="Z35" t="str">
        <f>VLOOKUP(A35,vehicle_detail!$A$2:$DK$101,80,FALSE)</f>
        <v>["001", "003", "004", "005", "006", "007", "008", "014", "015", "017", "020", "022", "023", "024", "026", "027", "031", "032", "056", "058", "071", "072", "096", "097"]</v>
      </c>
    </row>
    <row r="36" spans="1:26">
      <c r="A36" t="s">
        <v>49</v>
      </c>
      <c r="B36" t="str">
        <f>VLOOKUP(A36,vehicle_detail!$A$2:$DK$101,111,FALSE)</f>
        <v>02구7066</v>
      </c>
      <c r="C36" t="str">
        <f>VLOOKUP(A36,vehicle_detail!$A$2:$DK$101,101,FALSE)</f>
        <v>흰색</v>
      </c>
      <c r="D36" t="str">
        <f>VLOOKUP(A36,list_100!$B$2:$P$101,9,FALSE)</f>
        <v>현대</v>
      </c>
      <c r="E36" t="str">
        <f>VLOOKUP(A36,list_100!$B$2:$P$101,11,FALSE)</f>
        <v>아반떼 AD</v>
      </c>
      <c r="F36" t="str">
        <f>VLOOKUP(A36,list_100!$B$2:$P$101,2,FALSE)</f>
        <v>1.6 GDI 밸류 플러스</v>
      </c>
      <c r="G36">
        <f>VLOOKUP(A36,list_100!$B$2:$P$101,3,FALSE)</f>
        <v>0</v>
      </c>
      <c r="H36" t="str">
        <f>VLOOKUP(A36,list_100!$B$2:$P$101,6,FALSE)</f>
        <v>2018</v>
      </c>
      <c r="I36" t="str">
        <f>VLOOKUP(A36,list_100!$B$2:$P$101,7,FALSE)</f>
        <v>가솔린</v>
      </c>
      <c r="J36" t="str">
        <f>VLOOKUP(A36,vehicle_detail!$A$2:$DK$101,100,FALSE)</f>
        <v>준중형차</v>
      </c>
      <c r="K36" s="2">
        <f>VLOOKUP(A36,list_100!$B$2:$P$101,15,FALSE)</f>
        <v>1210</v>
      </c>
      <c r="L36" s="2">
        <f>VLOOKUP(A36,list_100!$B$2:$P$101,10,FALSE)</f>
        <v>53833</v>
      </c>
      <c r="M36">
        <f>VLOOKUP(A36,list_100!$B$2:$V$101,21,FALSE)</f>
        <v>201711</v>
      </c>
      <c r="N36" t="str">
        <f>VLOOKUP(A36,seller_user!$A$2:$Y$101,2,FALSE)</f>
        <v>thirst1234</v>
      </c>
      <c r="O36" t="str">
        <f>VLOOKUP(A36,seller_user!$A$2:$Y$101,25,FALSE)</f>
        <v>이정하</v>
      </c>
      <c r="P36" t="str">
        <f>VLOOKUP(A36,seller_user!$A$2:$Y$101,3,FALSE)</f>
        <v>[{"companyType": "FIRM", "companyName": "큐모터스", "brn": "596-07-01436", "associationCd": 3, "associationName": "대구 자동차매매사업조합", "associationPhoneNumber": "053-341-7788", "certificatedEmployeeNumber": "20-053-00158", "address": {"zipcode": "41081 ", "location": null, "sido": "대구", "sigungu": "동구", "eupmyeondong": null, "eupmyeondongEtc": null, "address": "대구 동구", "buildingCd": "2714012300103010001033011"}, "contacts": null, "used": true}]</v>
      </c>
      <c r="Q36" t="str">
        <f>VLOOKUP(A36,inspection_detail_raw!A36:BK135,4,FALSE)</f>
        <v>["TABLE"]</v>
      </c>
      <c r="R36" t="str">
        <f>IFERROR("https://ci.encar.com"&amp;VLOOKUP(A36,'성능점검 이미지정보'!A:E,2,FALSE),"")</f>
        <v/>
      </c>
      <c r="S36" t="str">
        <f>VLOOKUP(A36,inspection_detail_raw!A36:BK135,50,FALSE)</f>
        <v>[]</v>
      </c>
      <c r="T36" t="str">
        <f>IFERROR(VLOOKUP(TEXT(A36,"0"), inspection_detail_raw!A:BK, 51, FALSE), "알수없음")</f>
        <v>20271031</v>
      </c>
      <c r="U36" t="str">
        <f>IFERROR(VLOOKUP(TEXT(A36,"0"), inspection_detail_raw!A:BK, 52, FALSE), "알수없음")</f>
        <v>20251101</v>
      </c>
      <c r="V36" t="str">
        <f>IFERROR(VLOOKUP(TEXT(A36,"0"), inspection_detail_raw!A:BK, 54, FALSE), "알수없음")</f>
        <v>KMHD641DBJU536296</v>
      </c>
      <c r="W36" t="b">
        <f>IFERROR(VLOOKUP(TEXT(A36,"0"), inspection_detail_raw!A:BK, 57, FALSE), "알수없음")</f>
        <v>0</v>
      </c>
      <c r="X36" t="str">
        <f>IFERROR(VLOOKUP(TEXT(A36,"0"), inspection_detail_raw!A:BK, 59, FALSE), "알수없음")</f>
        <v>[]</v>
      </c>
      <c r="Y36" t="str">
        <f>VLOOKUP(A36,vehicle_detail!$A$2:$DK$101,78,FALSE)</f>
        <v>["1009", "1010"]</v>
      </c>
      <c r="Z36" t="str">
        <f>VLOOKUP(A36,vehicle_detail!$A$2:$DK$101,80,FALSE)</f>
        <v>["001", "004", "005", "006", "007", "008", "014", "015", "017", "019", "020", "022", "024", "026", "027", "031", "032", "033", "055", "056", "057", "058", "071", "072", "074", "086", "096", "097"]</v>
      </c>
    </row>
    <row r="37" spans="1:26">
      <c r="A37" t="s">
        <v>51</v>
      </c>
      <c r="B37" t="str">
        <f>VLOOKUP(A37,vehicle_detail!$A$2:$DK$101,111,FALSE)</f>
        <v>380어6657</v>
      </c>
      <c r="C37" t="str">
        <f>VLOOKUP(A37,vehicle_detail!$A$2:$DK$101,101,FALSE)</f>
        <v>검정색</v>
      </c>
      <c r="D37" t="str">
        <f>VLOOKUP(A37,list_100!$B$2:$P$101,9,FALSE)</f>
        <v>현대</v>
      </c>
      <c r="E37" t="str">
        <f>VLOOKUP(A37,list_100!$B$2:$P$101,11,FALSE)</f>
        <v>더 뉴 그랜저 IG</v>
      </c>
      <c r="F37" t="str">
        <f>VLOOKUP(A37,list_100!$B$2:$P$101,2,FALSE)</f>
        <v>2.5</v>
      </c>
      <c r="G37" t="str">
        <f>VLOOKUP(A37,list_100!$B$2:$P$101,3,FALSE)</f>
        <v>르블랑</v>
      </c>
      <c r="H37" t="str">
        <f>VLOOKUP(A37,list_100!$B$2:$P$101,6,FALSE)</f>
        <v>2023</v>
      </c>
      <c r="I37" t="str">
        <f>VLOOKUP(A37,list_100!$B$2:$P$101,7,FALSE)</f>
        <v>가솔린</v>
      </c>
      <c r="J37" t="str">
        <f>VLOOKUP(A37,vehicle_detail!$A$2:$DK$101,100,FALSE)</f>
        <v>대형차</v>
      </c>
      <c r="K37" s="2">
        <f>VLOOKUP(A37,list_100!$B$2:$P$101,15,FALSE)</f>
        <v>2590</v>
      </c>
      <c r="L37" s="2">
        <f>VLOOKUP(A37,list_100!$B$2:$P$101,10,FALSE)</f>
        <v>70178</v>
      </c>
      <c r="M37">
        <f>VLOOKUP(A37,list_100!$B$2:$V$101,21,FALSE)</f>
        <v>202208</v>
      </c>
      <c r="N37" t="str">
        <f>VLOOKUP(A37,seller_user!$A$2:$Y$101,2,FALSE)</f>
        <v>lsw30992288</v>
      </c>
      <c r="O37" t="str">
        <f>VLOOKUP(A37,seller_user!$A$2:$Y$101,25,FALSE)</f>
        <v>T카 용인매매센터</v>
      </c>
      <c r="P37" t="str">
        <f>VLOOKUP(A37,seller_user!$A$2:$Y$101,3,FALSE)</f>
        <v>[{"companyType":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v>
      </c>
      <c r="Q37" t="str">
        <f>VLOOKUP(A37,inspection_detail_raw!A37:BK136,4,FALSE)</f>
        <v>["TABLE"]</v>
      </c>
      <c r="R37" t="str">
        <f>IFERROR("https://ci.encar.com"&amp;VLOOKUP(A37,'성능점검 이미지정보'!A:E,2,FALSE),"")</f>
        <v>https://ci.encar.com/carsdata/cars/inspection/41313544_photoFront.jpg</v>
      </c>
      <c r="S37" t="str">
        <f>VLOOKUP(A37,inspection_detail_raw!A37:BK136,50,FALSE)</f>
        <v>[{"code": "1", "title": "렌트"}]</v>
      </c>
      <c r="T37" t="str">
        <f>IFERROR(VLOOKUP(TEXT(A37,"0"), inspection_detail_raw!A:BK, 51, FALSE), "알수없음")</f>
        <v>20260829</v>
      </c>
      <c r="U37" t="str">
        <f>IFERROR(VLOOKUP(TEXT(A37,"0"), inspection_detail_raw!A:BK, 52, FALSE), "알수없음")</f>
        <v>20250830</v>
      </c>
      <c r="V37" t="str">
        <f>IFERROR(VLOOKUP(TEXT(A37,"0"), inspection_detail_raw!A:BK, 54, FALSE), "알수없음")</f>
        <v>KMHF141DBPA515080</v>
      </c>
      <c r="W37" t="b">
        <f>IFERROR(VLOOKUP(TEXT(A37,"0"), inspection_detail_raw!A:BK, 57, FALSE), "알수없음")</f>
        <v>1</v>
      </c>
      <c r="X37" t="str">
        <f>IFERROR(VLOOKUP(TEXT(A37,"0"), inspection_detail_raw!A:BK, 59, FALSE), "알수없음")</f>
        <v>[{"type": {"code": "P022", "title": "프론트 휀더(우)"}, "statusTypes": [{"code": "W", "title": "판금/용접"}],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"W", "title": "판금/용접"}], "attributes": ["RANK_ONE"]}]</v>
      </c>
      <c r="Y37" t="str">
        <f>VLOOKUP(A37,vehicle_detail!$A$2:$DK$101,78,FALSE)</f>
        <v>["10001"]</v>
      </c>
      <c r="Z37" t="str">
        <f>VLOOKUP(A37,vehicle_detail!$A$2:$DK$101,80,FALSE)</f>
        <v>["001", "004", "005", "006", "007", "008", "014", "015", "017", "019", "020", "021", "022", "023", "024", "026", "027", "030", "031", "032", "033", "034", "035", "055", "056", "057", "058", "059", "063", "072", "074", "075", "077", "079", "081", "082", "084", "085", "086", "087", "088", "092", "094", "095", "096", "097"]</v>
      </c>
    </row>
    <row r="38" spans="1:26">
      <c r="A38" t="s">
        <v>53</v>
      </c>
      <c r="B38" t="str">
        <f>VLOOKUP(A38,vehicle_detail!$A$2:$DK$101,111,FALSE)</f>
        <v>14가8780</v>
      </c>
      <c r="C38" t="str">
        <f>VLOOKUP(A38,vehicle_detail!$A$2:$DK$101,101,FALSE)</f>
        <v>은회색</v>
      </c>
      <c r="D38" t="str">
        <f>VLOOKUP(A38,list_100!$B$2:$P$101,9,FALSE)</f>
        <v>현대</v>
      </c>
      <c r="E38" t="str">
        <f>VLOOKUP(A38,list_100!$B$2:$P$101,11,FALSE)</f>
        <v>아반떼 MD</v>
      </c>
      <c r="F38" t="str">
        <f>VLOOKUP(A38,list_100!$B$2:$P$101,2,FALSE)</f>
        <v>M16 GDI 모던</v>
      </c>
      <c r="G38">
        <f>VLOOKUP(A38,list_100!$B$2:$P$101,3,FALSE)</f>
        <v>0</v>
      </c>
      <c r="H38" t="str">
        <f>VLOOKUP(A38,list_100!$B$2:$P$101,6,FALSE)</f>
        <v>2013</v>
      </c>
      <c r="I38" t="str">
        <f>VLOOKUP(A38,list_100!$B$2:$P$101,7,FALSE)</f>
        <v>가솔린</v>
      </c>
      <c r="J38" t="str">
        <f>VLOOKUP(A38,vehicle_detail!$A$2:$DK$101,100,FALSE)</f>
        <v>준중형차</v>
      </c>
      <c r="K38" s="2">
        <f>VLOOKUP(A38,list_100!$B$2:$P$101,15,FALSE)</f>
        <v>450</v>
      </c>
      <c r="L38" s="2">
        <f>VLOOKUP(A38,list_100!$B$2:$P$101,10,FALSE)</f>
        <v>128844</v>
      </c>
      <c r="M38">
        <f>VLOOKUP(A38,list_100!$B$2:$V$101,21,FALSE)</f>
        <v>201209</v>
      </c>
      <c r="N38" t="str">
        <f>VLOOKUP(A38,seller_user!$A$2:$Y$101,2,FALSE)</f>
        <v>skdisk5487</v>
      </c>
      <c r="O38" t="str">
        <f>VLOOKUP(A38,seller_user!$A$2:$Y$101,25,FALSE)</f>
        <v>박지안</v>
      </c>
      <c r="P38" t="str">
        <f>VLOOKUP(A38,seller_user!$A$2:$Y$101,3,FALSE)</f>
        <v>[{"companyType": "FIRM", "companyName": "제이케이 자동차", "brn": "703-86-02533", "associationCd": 7, "associationName": null, "associationPhoneNumber": null, "certificatedEmployeeNumber": "2506200086", "address": {"zipcode": "62071 ", "location": null, "sido": "광주", "sigungu": "서구", "eupmyeondong": null, "eupmyeondongEtc": null, "address": "광주 서구 매월1로62번길 24", "buildingCd": "2914013200106630002000001"}, "contacts": null, "used": true}]</v>
      </c>
      <c r="Q38" t="str">
        <f>VLOOKUP(A38,inspection_detail_raw!A38:BK137,4,FALSE)</f>
        <v>["TABLE"]</v>
      </c>
      <c r="R38" t="str">
        <f>IFERROR("https://ci.encar.com"&amp;VLOOKUP(A38,'성능점검 이미지정보'!A:E,2,FALSE),"")</f>
        <v/>
      </c>
      <c r="S38" t="str">
        <f>VLOOKUP(A38,inspection_detail_raw!A38:BK137,50,FALSE)</f>
        <v>[]</v>
      </c>
      <c r="T38" t="str">
        <f>IFERROR(VLOOKUP(TEXT(A38,"0"), inspection_detail_raw!A:BK, 51, FALSE), "알수없음")</f>
        <v>20261128</v>
      </c>
      <c r="U38" t="str">
        <f>IFERROR(VLOOKUP(TEXT(A38,"0"), inspection_detail_raw!A:BK, 52, FALSE), "알수없음")</f>
        <v>20241129</v>
      </c>
      <c r="V38" t="str">
        <f>IFERROR(VLOOKUP(TEXT(A38,"0"), inspection_detail_raw!A:BK, 54, FALSE), "알수없음")</f>
        <v>KMHDH41DBDU645697</v>
      </c>
      <c r="W38" t="b">
        <f>IFERROR(VLOOKUP(TEXT(A38,"0"), inspection_detail_raw!A:BK, 57, FALSE), "알수없음")</f>
        <v>1</v>
      </c>
      <c r="X38" t="str">
        <f>IFERROR(VLOOKUP(TEXT(A38,"0"), inspection_detail_raw!A:BK, 59, FALSE), "알수없음")</f>
        <v>[{"type": {"code": "P022", "title": "프론트 휀더(우)"}, "statusTypes": [{"code": "X", "title": "교환(교체)"}], "attributes": ["RANK_ONE"]}, {"type": {"code": "P051", "title": "라디에이터 서포트(볼트체결부품)"}, "statusTypes": [{"code": "X", "title": "교환(교체)"}], "attributes": ["RANK_ONE"]}]</v>
      </c>
      <c r="Y38" t="str">
        <f>VLOOKUP(A38,vehicle_detail!$A$2:$DK$101,78,FALSE)</f>
        <v>["1087", "1103"]</v>
      </c>
      <c r="Z38" t="str">
        <f>VLOOKUP(A38,vehicle_detail!$A$2:$DK$101,80,FALSE)</f>
        <v>["001", "003", "004", "005", "006", "007", "008", "010", "014", "015", "017", "019", "020", "022", "023", "024", "026", "027", "031", "032", "055", "056", "057", "058", "063", "068", "071", "072", "082", "085", "096", "097"]</v>
      </c>
    </row>
    <row r="39" spans="1:26">
      <c r="A39" t="s">
        <v>55</v>
      </c>
      <c r="B39" t="str">
        <f>VLOOKUP(A39,vehicle_detail!$A$2:$DK$101,111,FALSE)</f>
        <v>66보0407</v>
      </c>
      <c r="C39" t="str">
        <f>VLOOKUP(A39,vehicle_detail!$A$2:$DK$101,101,FALSE)</f>
        <v>흰색</v>
      </c>
      <c r="D39" t="str">
        <f>VLOOKUP(A39,list_100!$B$2:$P$101,9,FALSE)</f>
        <v>현대</v>
      </c>
      <c r="E39" t="str">
        <f>VLOOKUP(A39,list_100!$B$2:$P$101,11,FALSE)</f>
        <v>올 뉴 투싼</v>
      </c>
      <c r="F39" t="str">
        <f>VLOOKUP(A39,list_100!$B$2:$P$101,2,FALSE)</f>
        <v>디젤 2.0 2WD</v>
      </c>
      <c r="G39" t="str">
        <f>VLOOKUP(A39,list_100!$B$2:$P$101,3,FALSE)</f>
        <v>모던</v>
      </c>
      <c r="H39" t="str">
        <f>VLOOKUP(A39,list_100!$B$2:$P$101,6,FALSE)</f>
        <v>2017</v>
      </c>
      <c r="I39" t="str">
        <f>VLOOKUP(A39,list_100!$B$2:$P$101,7,FALSE)</f>
        <v>디젤</v>
      </c>
      <c r="J39" t="str">
        <f>VLOOKUP(A39,vehicle_detail!$A$2:$DK$101,100,FALSE)</f>
        <v>SUV</v>
      </c>
      <c r="K39" s="2">
        <f>VLOOKUP(A39,list_100!$B$2:$P$101,15,FALSE)</f>
        <v>1240</v>
      </c>
      <c r="L39" s="2">
        <f>VLOOKUP(A39,list_100!$B$2:$P$101,10,FALSE)</f>
        <v>107390</v>
      </c>
      <c r="M39">
        <f>VLOOKUP(A39,list_100!$B$2:$V$101,21,FALSE)</f>
        <v>201608</v>
      </c>
      <c r="N39" t="str">
        <f>VLOOKUP(A39,seller_user!$A$2:$Y$101,2,FALSE)</f>
        <v>autoplusic</v>
      </c>
      <c r="O39" t="str">
        <f>VLOOKUP(A39,seller_user!$A$2:$Y$101,25,FALSE)</f>
        <v>리본카 청라지점</v>
      </c>
      <c r="P39" t="str">
        <f>VLOOKUP(A39,seller_user!$A$2:$Y$101,3,FALSE)</f>
        <v>[{"companyType": "FIRM", "companyName": "오토플러스(주)", "brn": "105-86-06429", "associationCd": 5, "associationName": null, "associationPhoneNumber": null, "certificatedEmployeeNumber": "IC21-00521", "address": {"zipcode": "22850 ", "location": null, "sido": "인천", "sigungu": "서구", "eupmyeondong": null, "eupmyeondongEtc": null, "address": "인천 서구 정서진로 70", "buildingCd": "2826011900115770000000001"}, "contacts": null, "used": true}]</v>
      </c>
      <c r="Q39" t="str">
        <f>VLOOKUP(A39,inspection_detail_raw!A39:BK138,4,FALSE)</f>
        <v>["TABLE"]</v>
      </c>
      <c r="R39" t="str">
        <f>IFERROR("https://ci.encar.com"&amp;VLOOKUP(A39,'성능점검 이미지정보'!A:E,2,FALSE),"")</f>
        <v/>
      </c>
      <c r="S39" t="str">
        <f>VLOOKUP(A39,inspection_detail_raw!A39:BK138,50,FALSE)</f>
        <v>[]</v>
      </c>
      <c r="T39" t="str">
        <f>IFERROR(VLOOKUP(TEXT(A39,"0"), inspection_detail_raw!A:BK, 51, FALSE), "알수없음")</f>
        <v>20260821</v>
      </c>
      <c r="U39" t="str">
        <f>IFERROR(VLOOKUP(TEXT(A39,"0"), inspection_detail_raw!A:BK, 52, FALSE), "알수없음")</f>
        <v>20240822</v>
      </c>
      <c r="V39" t="str">
        <f>IFERROR(VLOOKUP(TEXT(A39,"0"), inspection_detail_raw!A:BK, 54, FALSE), "알수없음")</f>
        <v>KMHJ381ABHU269990</v>
      </c>
      <c r="W39" t="b">
        <f>IFERROR(VLOOKUP(TEXT(A39,"0"), inspection_detail_raw!A:BK, 57, FALSE), "알수없음")</f>
        <v>1</v>
      </c>
      <c r="X39" t="str">
        <f>IFERROR(VLOOKUP(TEXT(A39,"0"), inspection_detail_raw!A:BK, 59, FALSE), "알수없음")</f>
        <v>[{"type": {"code": "P011", "title": "후드"}, "statusTypes": [{"code": "W", "title": "판금/용접"}], "attributes": ["RANK_ONE"]}, {"type": {"code": "P032", "title": "프론트 도어(우)"}, "statusTypes": [{"code": "X", "title": "교환(교체)"}], "attributes": ["RANK_ONE"]}]</v>
      </c>
      <c r="Y39" t="str">
        <f>VLOOKUP(A39,vehicle_detail!$A$2:$DK$101,78,FALSE)</f>
        <v>["10004", "10006", "10003"]</v>
      </c>
      <c r="Z39" t="str">
        <f>VLOOKUP(A39,vehicle_detail!$A$2:$DK$101,80,FALSE)</f>
        <v>["001", "004", "005", "006", "007", "008", "014", "015", "017", "019", "020", "021", "022", "023", "024", "026", "027", "030", "031", "032", "033", "034", "055", "056", "057", "058", "062", "063", "068", "071", "072", "074", "077", "082", "096", "097"]</v>
      </c>
    </row>
    <row r="40" spans="1:26">
      <c r="A40" t="s">
        <v>57</v>
      </c>
      <c r="B40" t="str">
        <f>VLOOKUP(A40,vehicle_detail!$A$2:$DK$101,111,FALSE)</f>
        <v>38다6030</v>
      </c>
      <c r="C40" t="str">
        <f>VLOOKUP(A40,vehicle_detail!$A$2:$DK$101,101,FALSE)</f>
        <v>청색</v>
      </c>
      <c r="D40" t="str">
        <f>VLOOKUP(A40,list_100!$B$2:$P$101,9,FALSE)</f>
        <v>현대</v>
      </c>
      <c r="E40" t="str">
        <f>VLOOKUP(A40,list_100!$B$2:$P$101,11,FALSE)</f>
        <v>그랜저 IG</v>
      </c>
      <c r="F40" t="str">
        <f>VLOOKUP(A40,list_100!$B$2:$P$101,2,FALSE)</f>
        <v>2.4 프리미엄</v>
      </c>
      <c r="G40" t="str">
        <f>VLOOKUP(A40,list_100!$B$2:$P$101,3,FALSE)</f>
        <v>스페셜</v>
      </c>
      <c r="H40" t="str">
        <f>VLOOKUP(A40,list_100!$B$2:$P$101,6,FALSE)</f>
        <v>2018</v>
      </c>
      <c r="I40" t="str">
        <f>VLOOKUP(A40,list_100!$B$2:$P$101,7,FALSE)</f>
        <v>가솔린</v>
      </c>
      <c r="J40" t="str">
        <f>VLOOKUP(A40,vehicle_detail!$A$2:$DK$101,100,FALSE)</f>
        <v>대형차</v>
      </c>
      <c r="K40" s="2">
        <f>VLOOKUP(A40,list_100!$B$2:$P$101,15,FALSE)</f>
        <v>1030</v>
      </c>
      <c r="L40" s="2">
        <f>VLOOKUP(A40,list_100!$B$2:$P$101,10,FALSE)</f>
        <v>196646</v>
      </c>
      <c r="M40">
        <f>VLOOKUP(A40,list_100!$B$2:$V$101,21,FALSE)</f>
        <v>201703</v>
      </c>
      <c r="N40" t="str">
        <f>VLOOKUP(A40,seller_user!$A$2:$Y$101,2,FALSE)</f>
        <v>wind1511</v>
      </c>
      <c r="O40" t="str">
        <f>VLOOKUP(A40,seller_user!$A$2:$Y$101,25,FALSE)</f>
        <v>김현중</v>
      </c>
      <c r="P40" t="str">
        <f>VLOOKUP(A40,seller_user!$A$2:$Y$101,3,FALSE)</f>
        <v>[{"companyType": "FIRM", "companyName": "블루오토", "brn": "485-11-02864", "associationCd": 11, "associationName": "충남 자동차매매사업조합", "associationPhoneNumber": "041-572-8444", "certificatedEmployeeNumber": "2204100154", "address": {"zipcode": "31074 ", "location": null, "sido": "충남", "sigungu": "천안시 서북구", "eupmyeondong": null, "eupmyeondongEtc": null, "address": "충남 천안시 서북구 번영로 533", "buildingCd": "4413310500103350001040409"}, "contacts": null, "used": true}]</v>
      </c>
      <c r="Q40" t="str">
        <f>VLOOKUP(A40,inspection_detail_raw!A40:BK139,4,FALSE)</f>
        <v>["TABLE"]</v>
      </c>
      <c r="R40" t="str">
        <f>IFERROR("https://ci.encar.com"&amp;VLOOKUP(A40,'성능점검 이미지정보'!A:E,2,FALSE),"")</f>
        <v/>
      </c>
      <c r="S40" t="str">
        <f>VLOOKUP(A40,inspection_detail_raw!A40:BK139,50,FALSE)</f>
        <v>[]</v>
      </c>
      <c r="T40" t="str">
        <f>IFERROR(VLOOKUP(TEXT(A40,"0"), inspection_detail_raw!A:BK, 51, FALSE), "알수없음")</f>
        <v>20270327</v>
      </c>
      <c r="U40" t="str">
        <f>IFERROR(VLOOKUP(TEXT(A40,"0"), inspection_detail_raw!A:BK, 52, FALSE), "알수없음")</f>
        <v>20250328</v>
      </c>
      <c r="V40" t="str">
        <f>IFERROR(VLOOKUP(TEXT(A40,"0"), inspection_detail_raw!A:BK, 54, FALSE), "알수없음")</f>
        <v>KMHF441CBJA051514</v>
      </c>
      <c r="W40" t="b">
        <f>IFERROR(VLOOKUP(TEXT(A40,"0"), inspection_detail_raw!A:BK, 57, FALSE), "알수없음")</f>
        <v>1</v>
      </c>
      <c r="X40" t="str">
        <f>IFERROR(VLOOKUP(TEXT(A40,"0"), inspection_detail_raw!A:BK, 59, FALSE), "알수없음")</f>
        <v>[{"type": {"code": "P034", "title": "리어 도어(우)"}, "statusTypes": [{"code": "X", "title": "교환(교체)"}], "attributes": ["RANK_ONE"]}, {"type": {"code": "P022", "title": "프론트 휀더(우)"}, "statusTypes": [{"code": "W", "title": "판금/용접"}], "attributes": ["RANK_ONE"]}, {"type": {"code": "P011", "title": "후드"}, "statusTypes": [{"code": "X", "title": "교환(교체)"}], "attributes": ["RANK_ONE"]}, {"type": {"code": "P062", "title": "쿼터 패널(우)"}, "statusTypes": [{"code": "W", "title": "판금/용접"}], "attributes": ["RANK_TWO"]}, {"type": {"code": "P051", "title": "라디에이터 서포트(볼트체결부품)"}, "statusTypes": [{"code": "X", "title": "교환(교체)"}], "attributes": ["RANK_ONE"]}, {"type": {"code": "P021", "title": "프론트 휀더(좌)"}, "statusTypes": [{"code": "X", "title": "교환(교체)"}], "attributes": ["RANK_ONE"]}]</v>
      </c>
      <c r="Y40" t="str">
        <f>VLOOKUP(A40,vehicle_detail!$A$2:$DK$101,78,FALSE)</f>
        <v>["1011"]</v>
      </c>
      <c r="Z40" t="str">
        <f>VLOOKUP(A40,vehicle_detail!$A$2:$DK$101,80,FALSE)</f>
        <v>["001", "004", "005", "006", "007", "008", "014", "015", "017", "019", "020", "021", "022", "023", "024", "026", "027", "030", "031", "032", "033", "034", "035", "051", "055", "056", "057", "058", "063", "071", "072", "074", "077", "079", "081", "082", "083", "085", "086", "088", "092", "094", "096", "097"]</v>
      </c>
    </row>
    <row r="41" spans="1:26">
      <c r="A41" t="s">
        <v>59</v>
      </c>
      <c r="B41" t="str">
        <f>VLOOKUP(A41,vehicle_detail!$A$2:$DK$101,111,FALSE)</f>
        <v>221하5371</v>
      </c>
      <c r="C41" t="str">
        <f>VLOOKUP(A41,vehicle_detail!$A$2:$DK$101,101,FALSE)</f>
        <v>쥐색</v>
      </c>
      <c r="D41" t="str">
        <f>VLOOKUP(A41,list_100!$B$2:$P$101,9,FALSE)</f>
        <v>현대</v>
      </c>
      <c r="E41" t="str">
        <f>VLOOKUP(A41,list_100!$B$2:$P$101,11,FALSE)</f>
        <v>싼타페 (MX5)</v>
      </c>
      <c r="F41" t="str">
        <f>VLOOKUP(A41,list_100!$B$2:$P$101,2,FALSE)</f>
        <v>가솔린 2.5T 4WD</v>
      </c>
      <c r="G41" t="str">
        <f>VLOOKUP(A41,list_100!$B$2:$P$101,3,FALSE)</f>
        <v>캘리그래피</v>
      </c>
      <c r="H41" t="str">
        <f>VLOOKUP(A41,list_100!$B$2:$P$101,6,FALSE)</f>
        <v>2024</v>
      </c>
      <c r="I41" t="str">
        <f>VLOOKUP(A41,list_100!$B$2:$P$101,7,FALSE)</f>
        <v>가솔린</v>
      </c>
      <c r="J41" t="str">
        <f>VLOOKUP(A41,vehicle_detail!$A$2:$DK$101,100,FALSE)</f>
        <v>SUV</v>
      </c>
      <c r="K41" s="2">
        <f>VLOOKUP(A41,list_100!$B$2:$P$101,15,FALSE)</f>
        <v>3130</v>
      </c>
      <c r="L41" s="2">
        <f>VLOOKUP(A41,list_100!$B$2:$P$101,10,FALSE)</f>
        <v>11379</v>
      </c>
      <c r="M41">
        <f>VLOOKUP(A41,list_100!$B$2:$V$101,21,FALSE)</f>
        <v>202402</v>
      </c>
      <c r="N41" t="str">
        <f>VLOOKUP(A41,seller_user!$A$2:$Y$101,2,FALSE)</f>
        <v>korea0315</v>
      </c>
      <c r="O41" t="str">
        <f>VLOOKUP(A41,seller_user!$A$2:$Y$101,25,FALSE)</f>
        <v>김시욱</v>
      </c>
      <c r="P41" t="str">
        <f>VLOOKUP(A41,seller_user!$A$2:$Y$101,3,FALSE)</f>
        <v>[{"companyType": "FIRM", "companyName": "블루오토", "brn": "728-01-01142", "associationCd": 28, "associationName": "경기 자동차매매사업조합", "associationPhoneNumber": "031-242-8940", "certificatedEmployeeNumber": "GC24-01112", "address": {"zipcode": "16613 ", "location": null, "sido": "경기", "sigungu": "수원시", "eupmyeondong": null, "eupmyeondongEtc": null, "address": "경기 수원시 권선구", "buildingCd": "4111313100100790009000001"}, "contacts": null, "used": true}]</v>
      </c>
      <c r="Q41" t="str">
        <f>VLOOKUP(A41,inspection_detail_raw!A41:BK140,4,FALSE)</f>
        <v>["TABLE"]</v>
      </c>
      <c r="R41" t="str">
        <f>IFERROR("https://ci.encar.com"&amp;VLOOKUP(A41,'성능점검 이미지정보'!A:E,2,FALSE),"")</f>
        <v>https://ci.encar.com/carsdata/cars/inspection/39193215_photoFront.jpg</v>
      </c>
      <c r="S41" t="str">
        <f>VLOOKUP(A41,inspection_detail_raw!A41:BK140,50,FALSE)</f>
        <v>[{"code": "1", "title": "렌트"}]</v>
      </c>
      <c r="T41" t="str">
        <f>IFERROR(VLOOKUP(TEXT(A41,"0"), inspection_detail_raw!A:BK, 51, FALSE), "알수없음")</f>
        <v>20260222</v>
      </c>
      <c r="U41" t="str">
        <f>IFERROR(VLOOKUP(TEXT(A41,"0"), inspection_detail_raw!A:BK, 52, FALSE), "알수없음")</f>
        <v>20240223</v>
      </c>
      <c r="V41" t="str">
        <f>IFERROR(VLOOKUP(TEXT(A41,"0"), inspection_detail_raw!A:BK, 54, FALSE), "알수없음")</f>
        <v>KMHP581LHRU018618</v>
      </c>
      <c r="W41" t="b">
        <f>IFERROR(VLOOKUP(TEXT(A41,"0"), inspection_detail_raw!A:BK, 57, FALSE), "알수없음")</f>
        <v>0</v>
      </c>
      <c r="X41" t="str">
        <f>IFERROR(VLOOKUP(TEXT(A41,"0"), inspection_detail_raw!A:BK, 59, FALSE), "알수없음")</f>
        <v>[]</v>
      </c>
      <c r="Y41" t="str">
        <f>VLOOKUP(A41,vehicle_detail!$A$2:$DK$101,78,FALSE)</f>
        <v>["1118", "10003", "10002", "10004", "10001"]</v>
      </c>
      <c r="Z41" t="str">
        <f>VLOOKUP(A41,vehicle_detail!$A$2:$DK$101,80,FALSE)</f>
        <v>["001", "004", "005", "006", "007", "008", "010", "014", "015", "017", "019", "020", "021", "022", "023", "024", "026", "027", "030", "031", "032", "033", "034", "035", "051", "055", "056", "057", "058", "059", "062", "063", "072", "074", "075", "077", "079", "081", "082", "083", "084", "085", "086", "087", "088", "091", "092", "094", "095", "096", "097"]</v>
      </c>
    </row>
    <row r="42" spans="1:26">
      <c r="A42" t="s">
        <v>61</v>
      </c>
      <c r="B42" t="str">
        <f>VLOOKUP(A42,vehicle_detail!$A$2:$DK$101,111,FALSE)</f>
        <v>63수6095</v>
      </c>
      <c r="C42" t="str">
        <f>VLOOKUP(A42,vehicle_detail!$A$2:$DK$101,101,FALSE)</f>
        <v>검정색</v>
      </c>
      <c r="D42" t="str">
        <f>VLOOKUP(A42,list_100!$B$2:$P$101,9,FALSE)</f>
        <v>현대</v>
      </c>
      <c r="E42" t="str">
        <f>VLOOKUP(A42,list_100!$B$2:$P$101,11,FALSE)</f>
        <v>에쿠스(신형)</v>
      </c>
      <c r="F42" t="str">
        <f>VLOOKUP(A42,list_100!$B$2:$P$101,2,FALSE)</f>
        <v>VS380</v>
      </c>
      <c r="G42" t="str">
        <f>VLOOKUP(A42,list_100!$B$2:$P$101,3,FALSE)</f>
        <v>모던</v>
      </c>
      <c r="H42" t="str">
        <f>VLOOKUP(A42,list_100!$B$2:$P$101,6,FALSE)</f>
        <v>2013</v>
      </c>
      <c r="I42" t="str">
        <f>VLOOKUP(A42,list_100!$B$2:$P$101,7,FALSE)</f>
        <v>가솔린</v>
      </c>
      <c r="J42" t="str">
        <f>VLOOKUP(A42,vehicle_detail!$A$2:$DK$101,100,FALSE)</f>
        <v>대형차</v>
      </c>
      <c r="K42" s="2">
        <f>VLOOKUP(A42,list_100!$B$2:$P$101,15,FALSE)</f>
        <v>559</v>
      </c>
      <c r="L42" s="2">
        <f>VLOOKUP(A42,list_100!$B$2:$P$101,10,FALSE)</f>
        <v>190000</v>
      </c>
      <c r="M42">
        <f>VLOOKUP(A42,list_100!$B$2:$V$101,21,FALSE)</f>
        <v>201304</v>
      </c>
      <c r="N42" t="str">
        <f>VLOOKUP(A42,seller_user!$A$2:$Y$101,2,FALSE)</f>
        <v>ghdtn778</v>
      </c>
      <c r="O42" t="str">
        <f>VLOOKUP(A42,seller_user!$A$2:$Y$101,25,FALSE)</f>
        <v>김홍수</v>
      </c>
      <c r="P42" t="str">
        <f>VLOOKUP(A42,seller_user!$A$2:$Y$101,3,FALSE)</f>
        <v>[{"companyType": "FIRM", "companyName": "CNK모터스", "brn": "407-39-00422", "associationCd": 3, "associationName": "대구 자동차매매사업조합", "associationPhoneNumber": "053-341-7788", "certificatedEmployeeNumber": "1234", "address": {"zipcode": "41752 ", "location": null, "sido": "대구", "sigungu": "서구", "eupmyeondong": null, "eupmyeondongEtc": null, "address": "대구 서구", "buildingCd": "2717010600100420030000001"}, "contacts": null, "used": true}]</v>
      </c>
      <c r="Q42" t="str">
        <f>VLOOKUP(A42,inspection_detail_raw!A42:BK141,4,FALSE)</f>
        <v>["TABLE"]</v>
      </c>
      <c r="R42" t="str">
        <f>IFERROR("https://ci.encar.com"&amp;VLOOKUP(A42,'성능점검 이미지정보'!A:E,2,FALSE),"")</f>
        <v/>
      </c>
      <c r="S42" t="str">
        <f>VLOOKUP(A42,inspection_detail_raw!A42:BK141,50,FALSE)</f>
        <v>[]</v>
      </c>
      <c r="T42" t="str">
        <f>IFERROR(VLOOKUP(TEXT(A42,"0"), inspection_detail_raw!A:BK, 51, FALSE), "알수없음")</f>
        <v>20270411</v>
      </c>
      <c r="U42" t="str">
        <f>IFERROR(VLOOKUP(TEXT(A42,"0"), inspection_detail_raw!A:BK, 52, FALSE), "알수없음")</f>
        <v>20250412</v>
      </c>
      <c r="V42" t="str">
        <f>IFERROR(VLOOKUP(TEXT(A42,"0"), inspection_detail_raw!A:BK, 54, FALSE), "알수없음")</f>
        <v>073125</v>
      </c>
      <c r="W42" t="b">
        <f>IFERROR(VLOOKUP(TEXT(A42,"0"), inspection_detail_raw!A:BK, 57, FALSE), "알수없음")</f>
        <v>1</v>
      </c>
      <c r="X42" t="str">
        <f>IFERROR(VLOOKUP(TEXT(A42,"0"), inspection_detail_raw!A:BK, 59, FALSE), "알수없음")</f>
        <v>[{"type": {"code": "P021", "title": "프론트 휀더(좌)"}, "statusTypes": [{"code": "X", "title": "교환(교체)"}], "attributes": ["RANK_ONE"]}, {"type": {"code": "P031", "title": "프론트 도어(좌)"}, "statusTypes": [{"code": "X", "title": "교환(교체)"}], "attributes": ["RANK_ONE"]}]</v>
      </c>
      <c r="Y42" t="str">
        <f>VLOOKUP(A42,vehicle_detail!$A$2:$DK$101,78,FALSE)</f>
        <v>[]</v>
      </c>
      <c r="Z42" t="str">
        <f>VLOOKUP(A42,vehicle_detail!$A$2:$DK$101,80,FALSE)</f>
        <v>["001", "003", "004", "005", "006", "007", "008", "014", "015", "017", "019", "020", "021", "022", "023", "024", "026", "027", "029", "030", "031", "032", "033", "034", "035", "051", "055", "056", "057", "058", "063", "068", "071", "072", "074", "077", "081", "082", "083", "085", "089", "093", "094", "095", "096", "097"]</v>
      </c>
    </row>
    <row r="43" spans="1:26">
      <c r="A43" t="s">
        <v>63</v>
      </c>
      <c r="B43" t="str">
        <f>VLOOKUP(A43,vehicle_detail!$A$2:$DK$101,111,FALSE)</f>
        <v>145더5824</v>
      </c>
      <c r="C43" t="str">
        <f>VLOOKUP(A43,vehicle_detail!$A$2:$DK$101,101,FALSE)</f>
        <v>쥐색</v>
      </c>
      <c r="D43" t="str">
        <f>VLOOKUP(A43,list_100!$B$2:$P$101,9,FALSE)</f>
        <v>현대</v>
      </c>
      <c r="E43" t="str">
        <f>VLOOKUP(A43,list_100!$B$2:$P$101,11,FALSE)</f>
        <v>쏘나타 뉴 라이즈</v>
      </c>
      <c r="F43" t="str">
        <f>VLOOKUP(A43,list_100!$B$2:$P$101,2,FALSE)</f>
        <v>2.0 모던</v>
      </c>
      <c r="G43">
        <f>VLOOKUP(A43,list_100!$B$2:$P$101,3,FALSE)</f>
        <v>0</v>
      </c>
      <c r="H43" t="str">
        <f>VLOOKUP(A43,list_100!$B$2:$P$101,6,FALSE)</f>
        <v>2018</v>
      </c>
      <c r="I43" t="str">
        <f>VLOOKUP(A43,list_100!$B$2:$P$101,7,FALSE)</f>
        <v>가솔린</v>
      </c>
      <c r="J43" t="str">
        <f>VLOOKUP(A43,vehicle_detail!$A$2:$DK$101,100,FALSE)</f>
        <v>중형차</v>
      </c>
      <c r="K43" s="2">
        <f>VLOOKUP(A43,list_100!$B$2:$P$101,15,FALSE)</f>
        <v>1660</v>
      </c>
      <c r="L43" s="2">
        <f>VLOOKUP(A43,list_100!$B$2:$P$101,10,FALSE)</f>
        <v>36047</v>
      </c>
      <c r="M43">
        <f>VLOOKUP(A43,list_100!$B$2:$V$101,21,FALSE)</f>
        <v>201711</v>
      </c>
      <c r="N43" t="str">
        <f>VLOOKUP(A43,seller_user!$A$2:$Y$101,2,FALSE)</f>
        <v>zxc4055</v>
      </c>
      <c r="O43" t="str">
        <f>VLOOKUP(A43,seller_user!$A$2:$Y$101,25,FALSE)</f>
        <v>허강혁</v>
      </c>
      <c r="P43" t="str">
        <f>VLOOKUP(A43,seller_user!$A$2:$Y$101,3,FALSE)</f>
        <v>[{"companyType": "FIRM", "companyName": "오토플러스(주)", "brn": "105-86-06429", "associationCd": 3, "associationName": null, "associationPhoneNumber": null, "certificatedEmployeeNumber": "2405300048", "address": {"zipcode": "41081 ", "location": null, "sido": "대구", "sigungu": "동구", "eupmyeondong": null, "eupmyeondongEtc": null, "address": "대구 동구", "buildingCd": "2714012300103010001033011"}, "contacts": null, "used": true}]</v>
      </c>
      <c r="Q43" t="str">
        <f>VLOOKUP(A43,inspection_detail_raw!A43:BK142,4,FALSE)</f>
        <v>["TABLE"]</v>
      </c>
      <c r="R43" t="str">
        <f>IFERROR("https://ci.encar.com"&amp;VLOOKUP(A43,'성능점검 이미지정보'!A:E,2,FALSE),"")</f>
        <v/>
      </c>
      <c r="S43" t="str">
        <f>VLOOKUP(A43,inspection_detail_raw!A43:BK142,50,FALSE)</f>
        <v>[{"code": "1", "title": "렌트"}]</v>
      </c>
      <c r="T43" t="str">
        <f>IFERROR(VLOOKUP(TEXT(A43,"0"), inspection_detail_raw!A:BK, 51, FALSE), "알수없음")</f>
        <v>20260811</v>
      </c>
      <c r="U43" t="str">
        <f>IFERROR(VLOOKUP(TEXT(A43,"0"), inspection_detail_raw!A:BK, 52, FALSE), "알수없음")</f>
        <v>20240812</v>
      </c>
      <c r="V43" t="str">
        <f>IFERROR(VLOOKUP(TEXT(A43,"0"), inspection_detail_raw!A:BK, 54, FALSE), "알수없음")</f>
        <v>KMHE341CBJA393568</v>
      </c>
      <c r="W43" t="b">
        <f>IFERROR(VLOOKUP(TEXT(A43,"0"), inspection_detail_raw!A:BK, 57, FALSE), "알수없음")</f>
        <v>0</v>
      </c>
      <c r="X43" t="str">
        <f>IFERROR(VLOOKUP(TEXT(A43,"0"), inspection_detail_raw!A:BK, 59, FALSE), "알수없음")</f>
        <v>[]</v>
      </c>
      <c r="Y43" t="str">
        <f>VLOOKUP(A43,vehicle_detail!$A$2:$DK$101,78,FALSE)</f>
        <v>["1031"]</v>
      </c>
      <c r="Z43" t="str">
        <f>VLOOKUP(A43,vehicle_detail!$A$2:$DK$101,80,FALSE)</f>
        <v>["001", "004", "005", "006", "007", "008", "014", "015", "017", "019", "020", "021", "022", "023", "024", "026", "027", "030", "031", "032", "033", "034", "035", "051", "055", "056", "057", "058", "068", "071", "072", "074", "075", "077", "082", "085", "086", "094", "096", "097"]</v>
      </c>
    </row>
    <row r="44" spans="1:26">
      <c r="A44" t="s">
        <v>65</v>
      </c>
      <c r="B44" t="str">
        <f>VLOOKUP(A44,vehicle_detail!$A$2:$DK$101,111,FALSE)</f>
        <v>339어5016</v>
      </c>
      <c r="C44" t="str">
        <f>VLOOKUP(A44,vehicle_detail!$A$2:$DK$101,101,FALSE)</f>
        <v>쥐색</v>
      </c>
      <c r="D44" t="str">
        <f>VLOOKUP(A44,list_100!$B$2:$P$101,9,FALSE)</f>
        <v>현대</v>
      </c>
      <c r="E44" t="str">
        <f>VLOOKUP(A44,list_100!$B$2:$P$101,11,FALSE)</f>
        <v>팰리세이드</v>
      </c>
      <c r="F44" t="str">
        <f>VLOOKUP(A44,list_100!$B$2:$P$101,2,FALSE)</f>
        <v>디젤 2.2 2WD</v>
      </c>
      <c r="G44" t="str">
        <f>VLOOKUP(A44,list_100!$B$2:$P$101,3,FALSE)</f>
        <v>익스클루시브</v>
      </c>
      <c r="H44" t="str">
        <f>VLOOKUP(A44,list_100!$B$2:$P$101,6,FALSE)</f>
        <v>2022</v>
      </c>
      <c r="I44" t="str">
        <f>VLOOKUP(A44,list_100!$B$2:$P$101,7,FALSE)</f>
        <v>디젤</v>
      </c>
      <c r="J44" t="str">
        <f>VLOOKUP(A44,vehicle_detail!$A$2:$DK$101,100,FALSE)</f>
        <v>SUV</v>
      </c>
      <c r="K44" s="2">
        <f>VLOOKUP(A44,list_100!$B$2:$P$101,15,FALSE)</f>
        <v>2540</v>
      </c>
      <c r="L44" s="2">
        <f>VLOOKUP(A44,list_100!$B$2:$P$101,10,FALSE)</f>
        <v>102407</v>
      </c>
      <c r="M44">
        <f>VLOOKUP(A44,list_100!$B$2:$V$101,21,FALSE)</f>
        <v>202108</v>
      </c>
      <c r="N44" t="str">
        <f>VLOOKUP(A44,seller_user!$A$2:$Y$101,2,FALSE)</f>
        <v>jkj810115</v>
      </c>
      <c r="O44" t="str">
        <f>VLOOKUP(A44,seller_user!$A$2:$Y$101,25,FALSE)</f>
        <v>장광진</v>
      </c>
      <c r="P44" t="str">
        <f>VLOOKUP(A44,seller_user!$A$2:$Y$101,3,FALSE)</f>
        <v>[{"companyType": "FIRM", "companyName": "유원모터스", "brn": "137-20-00130", "associationCd": 27, "associationName": null, "associationPhoneNumber": null, "certificatedEmployeeNumber": "24-00331", "address": {"zipcode": "22840 ", "location": null, "sido": "인천", "sigungu": "서구", "eupmyeondong": null, "eupmyeondongEtc": null, "address": "인천 서구 봉수대로 158", "buildingCd": "2826011200101780105000001"}, "contacts": null, "used": true}]</v>
      </c>
      <c r="Q44" t="str">
        <f>VLOOKUP(A44,inspection_detail_raw!A44:BK143,4,FALSE)</f>
        <v>["TABLE"]</v>
      </c>
      <c r="R44" t="str">
        <f>IFERROR("https://ci.encar.com"&amp;VLOOKUP(A44,'성능점검 이미지정보'!A:E,2,FALSE),"")</f>
        <v/>
      </c>
      <c r="S44" t="str">
        <f>VLOOKUP(A44,inspection_detail_raw!A44:BK143,50,FALSE)</f>
        <v>[{"code": "1", "title": "렌트"}]</v>
      </c>
      <c r="T44" t="str">
        <f>IFERROR(VLOOKUP(TEXT(A44,"0"), inspection_detail_raw!A:BK, 51, FALSE), "알수없음")</f>
        <v>20260826</v>
      </c>
      <c r="U44" t="str">
        <f>IFERROR(VLOOKUP(TEXT(A44,"0"), inspection_detail_raw!A:BK, 52, FALSE), "알수없음")</f>
        <v>20250827</v>
      </c>
      <c r="V44" t="str">
        <f>IFERROR(VLOOKUP(TEXT(A44,"0"), inspection_detail_raw!A:BK, 54, FALSE), "알수없음")</f>
        <v>KMHR281ABNU371314</v>
      </c>
      <c r="W44" t="b">
        <f>IFERROR(VLOOKUP(TEXT(A44,"0"), inspection_detail_raw!A:BK, 57, FALSE), "알수없음")</f>
        <v>1</v>
      </c>
      <c r="X44" t="str">
        <f>IFERROR(VLOOKUP(TEXT(A44,"0"), inspection_detail_raw!A:BK, 59, FALSE), "알수없음")</f>
        <v>[{"type": {"code": "P022", "title": "프론트 휀더(우)"}, "statusTypes": [{"code": "X", "title": "교환(교체)"}], "attributes": ["RANK_ONE"]}]</v>
      </c>
      <c r="Y44" t="str">
        <f>VLOOKUP(A44,vehicle_detail!$A$2:$DK$101,78,FALSE)</f>
        <v>["1043", "1040"]</v>
      </c>
      <c r="Z44" t="str">
        <f>VLOOKUP(A44,vehicle_detail!$A$2:$DK$101,80,FALSE)</f>
        <v>["001", "004", "005", "006", "007", "008", "014", "015", "017", "019", "020", "021", "022", "023", "024", "026", "027", "030", "031", "032", "033", "034", "055", "056", "057", "058", "062", "063", "072", "074", "077", "079", "082", "084", "085", "086", "088", "090", "094", "096", "097"]</v>
      </c>
    </row>
    <row r="45" spans="1:26">
      <c r="A45" t="s">
        <v>67</v>
      </c>
      <c r="B45" t="str">
        <f>VLOOKUP(A45,vehicle_detail!$A$2:$DK$101,111,FALSE)</f>
        <v>209부4331</v>
      </c>
      <c r="C45" t="str">
        <f>VLOOKUP(A45,vehicle_detail!$A$2:$DK$101,101,FALSE)</f>
        <v>은색</v>
      </c>
      <c r="D45" t="str">
        <f>VLOOKUP(A45,list_100!$B$2:$P$101,9,FALSE)</f>
        <v>현대</v>
      </c>
      <c r="E45" t="str">
        <f>VLOOKUP(A45,list_100!$B$2:$P$101,11,FALSE)</f>
        <v>스타리아</v>
      </c>
      <c r="F45" t="str">
        <f>VLOOKUP(A45,list_100!$B$2:$P$101,2,FALSE)</f>
        <v>4WD 투어러 9인승</v>
      </c>
      <c r="G45" t="str">
        <f>VLOOKUP(A45,list_100!$B$2:$P$101,3,FALSE)</f>
        <v>모던</v>
      </c>
      <c r="H45" t="str">
        <f>VLOOKUP(A45,list_100!$B$2:$P$101,6,FALSE)</f>
        <v>2023</v>
      </c>
      <c r="I45" t="str">
        <f>VLOOKUP(A45,list_100!$B$2:$P$101,7,FALSE)</f>
        <v>디젤</v>
      </c>
      <c r="J45" t="str">
        <f>VLOOKUP(A45,vehicle_detail!$A$2:$DK$101,100,FALSE)</f>
        <v>승합차</v>
      </c>
      <c r="K45" s="2">
        <f>VLOOKUP(A45,list_100!$B$2:$P$101,15,FALSE)</f>
        <v>3490</v>
      </c>
      <c r="L45" s="2">
        <f>VLOOKUP(A45,list_100!$B$2:$P$101,10,FALSE)</f>
        <v>57682</v>
      </c>
      <c r="M45">
        <f>VLOOKUP(A45,list_100!$B$2:$V$101,21,FALSE)</f>
        <v>202209</v>
      </c>
      <c r="N45" t="str">
        <f>VLOOKUP(A45,seller_user!$A$2:$Y$101,2,FALSE)</f>
        <v>bonanet</v>
      </c>
      <c r="O45" t="str">
        <f>VLOOKUP(A45,seller_user!$A$2:$Y$101,25,FALSE)</f>
        <v>이병관</v>
      </c>
      <c r="P45" t="str">
        <f>VLOOKUP(A45,seller_user!$A$2:$Y$101,3,FALSE)</f>
        <v>[{"companyType": "FIRM", "companyName": "일등자동차", "brn": "125-13-66183", "associationCd": 28, "associationName": "경기 자동차매매사업조합", "associationPhoneNumber": "031-242-8940", "certificatedEmployeeNumber": "GC24-03650", "address": {"zipcode": "15431 ", "location": null, "sido": "경기", "sigungu": "안산시 단원구", "eupmyeondong": null, "eupmyeondongEtc": null, "address": "경기 안산시 단원구", "buildingCd": "4127310800109940007000004"}, "contacts": null, "used": true}]</v>
      </c>
      <c r="Q45" t="str">
        <f>VLOOKUP(A45,inspection_detail_raw!A45:BK144,4,FALSE)</f>
        <v>["TABLE"]</v>
      </c>
      <c r="R45" t="str">
        <f>IFERROR("https://ci.encar.com"&amp;VLOOKUP(A45,'성능점검 이미지정보'!A:E,2,FALSE),"")</f>
        <v>https://ci.encar.com/carsdata/cars/inspection/41194026_photoFront.jpg</v>
      </c>
      <c r="S45" t="str">
        <f>VLOOKUP(A45,inspection_detail_raw!A45:BK144,50,FALSE)</f>
        <v>[{"code": "1", "title": "렌트"}]</v>
      </c>
      <c r="T45" t="str">
        <f>IFERROR(VLOOKUP(TEXT(A45,"0"), inspection_detail_raw!A:BK, 51, FALSE), "알수없음")</f>
        <v>20260921</v>
      </c>
      <c r="U45" t="str">
        <f>IFERROR(VLOOKUP(TEXT(A45,"0"), inspection_detail_raw!A:BK, 52, FALSE), "알수없음")</f>
        <v>20250922</v>
      </c>
      <c r="V45" t="str">
        <f>IFERROR(VLOOKUP(TEXT(A45,"0"), inspection_detail_raw!A:BK, 54, FALSE), "알수없음")</f>
        <v>KMHYA811DPU079111</v>
      </c>
      <c r="W45" t="b">
        <f>IFERROR(VLOOKUP(TEXT(A45,"0"), inspection_detail_raw!A:BK, 57, FALSE), "알수없음")</f>
        <v>1</v>
      </c>
      <c r="X45" t="str">
        <f>IFERROR(VLOOKUP(TEXT(A45,"0"), inspection_detail_raw!A:BK, 59, FALSE), "알수없음")</f>
        <v>[{"type": {"code": "P034", "title": "리어 도어(우)"}, "statusTypes": [{"code": "X", "title": "교환(교체)"}], "attributes": ["RANK_ONE"]}, {"type": {"code": "P021", "title": "프론트 휀더(좌)"}, "statusTypes": [{"code": "X", "title": "교환(교체)"}], "attributes": ["RANK_ONE"]}]</v>
      </c>
      <c r="Y45" t="str">
        <f>VLOOKUP(A45,vehicle_detail!$A$2:$DK$101,78,FALSE)</f>
        <v>["10003", "10002", "10005", "10004", "10001"]</v>
      </c>
      <c r="Z45" t="str">
        <f>VLOOKUP(A45,vehicle_detail!$A$2:$DK$101,80,FALSE)</f>
        <v>["001", "004", "005", "006", "007", "008", "014", "015", "017", "019", "020", "021", "022", "023", "024", "026", "027", "030", "031", "032", "033", "034", "055", "056", "057", "058", "059", "072", "074", "075", "077", "079", "082", "085", "086", "087", "088", "094", "096", "097"]</v>
      </c>
    </row>
    <row r="46" spans="1:26">
      <c r="A46" t="s">
        <v>69</v>
      </c>
      <c r="B46" t="str">
        <f>VLOOKUP(A46,vehicle_detail!$A$2:$DK$101,111,FALSE)</f>
        <v>39부4501</v>
      </c>
      <c r="C46" t="str">
        <f>VLOOKUP(A46,vehicle_detail!$A$2:$DK$101,101,FALSE)</f>
        <v>청색</v>
      </c>
      <c r="D46" t="str">
        <f>VLOOKUP(A46,list_100!$B$2:$P$101,9,FALSE)</f>
        <v>현대</v>
      </c>
      <c r="E46" t="str">
        <f>VLOOKUP(A46,list_100!$B$2:$P$101,11,FALSE)</f>
        <v>i30 (PD)</v>
      </c>
      <c r="F46" t="str">
        <f>VLOOKUP(A46,list_100!$B$2:$P$101,2,FALSE)</f>
        <v>1.4 터보</v>
      </c>
      <c r="G46" t="str">
        <f>VLOOKUP(A46,list_100!$B$2:$P$101,3,FALSE)</f>
        <v>프리미엄</v>
      </c>
      <c r="H46" t="str">
        <f>VLOOKUP(A46,list_100!$B$2:$P$101,6,FALSE)</f>
        <v>2018</v>
      </c>
      <c r="I46" t="str">
        <f>VLOOKUP(A46,list_100!$B$2:$P$101,7,FALSE)</f>
        <v>가솔린</v>
      </c>
      <c r="J46" t="str">
        <f>VLOOKUP(A46,vehicle_detail!$A$2:$DK$101,100,FALSE)</f>
        <v>준중형차</v>
      </c>
      <c r="K46" s="2">
        <f>VLOOKUP(A46,list_100!$B$2:$P$101,15,FALSE)</f>
        <v>940</v>
      </c>
      <c r="L46" s="2">
        <f>VLOOKUP(A46,list_100!$B$2:$P$101,10,FALSE)</f>
        <v>153214</v>
      </c>
      <c r="M46">
        <f>VLOOKUP(A46,list_100!$B$2:$V$101,21,FALSE)</f>
        <v>201712</v>
      </c>
      <c r="N46" t="str">
        <f>VLOOKUP(A46,seller_user!$A$2:$Y$101,2,FALSE)</f>
        <v>yuil8788</v>
      </c>
      <c r="O46" t="str">
        <f>VLOOKUP(A46,seller_user!$A$2:$Y$101,25,FALSE)</f>
        <v>정상호</v>
      </c>
      <c r="P46" t="str">
        <f>VLOOKUP(A46,seller_user!$A$2:$Y$101,3,FALSE)</f>
        <v>[{"companyType": "FIRM", "companyName": "(주)지티오토컴퍼니", "brn": "256-87-03519", "associationCd": 27, "associationName": "인천엠파크 자동차매매사업조합", "associationPhoneNumber": "032-715-5533", "certificatedEmployeeNumber": "IM25-00941", "address": {"zipcode": "22840 ", "location": null, "sido": "인천", "sigungu": "서구", "eupmyeondong": null, "eupmyeondongEtc": null, "address": "인천 서구 봉수대로 158", "buildingCd": "2826011200101780105000001"}, "contacts": null, "used": true}]</v>
      </c>
      <c r="Q46" t="str">
        <f>VLOOKUP(A46,inspection_detail_raw!A46:BK145,4,FALSE)</f>
        <v>["TABLE"]</v>
      </c>
      <c r="R46" t="str">
        <f>IFERROR("https://ci.encar.com"&amp;VLOOKUP(A46,'성능점검 이미지정보'!A:E,2,FALSE),"")</f>
        <v>https://ci.encar.com/carsdata/cars/inspection/41274924_photoFront.jpg</v>
      </c>
      <c r="S46" t="str">
        <f>VLOOKUP(A46,inspection_detail_raw!A46:BK145,50,FALSE)</f>
        <v>[]</v>
      </c>
      <c r="T46" t="str">
        <f>IFERROR(VLOOKUP(TEXT(A46,"0"), inspection_detail_raw!A:BK, 51, FALSE), "알수없음")</f>
        <v>20271211</v>
      </c>
      <c r="U46" t="str">
        <f>IFERROR(VLOOKUP(TEXT(A46,"0"), inspection_detail_raw!A:BK, 52, FALSE), "알수없음")</f>
        <v>20251212</v>
      </c>
      <c r="V46" t="str">
        <f>IFERROR(VLOOKUP(TEXT(A46,"0"), inspection_detail_raw!A:BK, 54, FALSE), "알수없음")</f>
        <v>KMHH151AGJU032267</v>
      </c>
      <c r="W46" t="b">
        <f>IFERROR(VLOOKUP(TEXT(A46,"0"), inspection_detail_raw!A:BK, 57, FALSE), "알수없음")</f>
        <v>0</v>
      </c>
      <c r="X46" t="str">
        <f>IFERROR(VLOOKUP(TEXT(A46,"0"), inspection_detail_raw!A:BK, 59, FALSE), "알수없음")</f>
        <v>[]</v>
      </c>
      <c r="Y46" t="str">
        <f>VLOOKUP(A46,vehicle_detail!$A$2:$DK$101,78,FALSE)</f>
        <v>["1019"]</v>
      </c>
      <c r="Z46" t="str">
        <f>VLOOKUP(A46,vehicle_detail!$A$2:$DK$101,80,FALSE)</f>
        <v>["001", "004", "005", "006", "007", "008", "014", "015", "017", "019", "020", "022", "023", "024", "026", "027", "030", "031", "032", "033", "055", "056", "057", "058", "071", "072", "074", "075", "079", "082", "085", "086", "088", "094", "096", "097"]</v>
      </c>
    </row>
    <row r="47" spans="1:26">
      <c r="A47" t="s">
        <v>71</v>
      </c>
      <c r="B47" t="str">
        <f>VLOOKUP(A47,vehicle_detail!$A$2:$DK$101,111,FALSE)</f>
        <v>53가8811</v>
      </c>
      <c r="C47" t="str">
        <f>VLOOKUP(A47,vehicle_detail!$A$2:$DK$101,101,FALSE)</f>
        <v>쥐색</v>
      </c>
      <c r="D47" t="str">
        <f>VLOOKUP(A47,list_100!$B$2:$P$101,9,FALSE)</f>
        <v>현대</v>
      </c>
      <c r="E47" t="str">
        <f>VLOOKUP(A47,list_100!$B$2:$P$101,11,FALSE)</f>
        <v>코나</v>
      </c>
      <c r="F47" t="str">
        <f>VLOOKUP(A47,list_100!$B$2:$P$101,2,FALSE)</f>
        <v>1.6 터보 2WD</v>
      </c>
      <c r="G47" t="str">
        <f>VLOOKUP(A47,list_100!$B$2:$P$101,3,FALSE)</f>
        <v>모던 테크</v>
      </c>
      <c r="H47" t="str">
        <f>VLOOKUP(A47,list_100!$B$2:$P$101,6,FALSE)</f>
        <v>2019</v>
      </c>
      <c r="I47" t="str">
        <f>VLOOKUP(A47,list_100!$B$2:$P$101,7,FALSE)</f>
        <v>가솔린</v>
      </c>
      <c r="J47" t="str">
        <f>VLOOKUP(A47,vehicle_detail!$A$2:$DK$101,100,FALSE)</f>
        <v>SUV</v>
      </c>
      <c r="K47" s="2">
        <f>VLOOKUP(A47,list_100!$B$2:$P$101,15,FALSE)</f>
        <v>1590</v>
      </c>
      <c r="L47" s="2">
        <f>VLOOKUP(A47,list_100!$B$2:$P$101,10,FALSE)</f>
        <v>77903</v>
      </c>
      <c r="M47">
        <f>VLOOKUP(A47,list_100!$B$2:$V$101,21,FALSE)</f>
        <v>201903</v>
      </c>
      <c r="N47" t="str">
        <f>VLOOKUP(A47,seller_user!$A$2:$Y$101,2,FALSE)</f>
        <v>nos0909</v>
      </c>
      <c r="O47" t="str">
        <f>VLOOKUP(A47,seller_user!$A$2:$Y$101,25,FALSE)</f>
        <v>노승현</v>
      </c>
      <c r="P47" t="str">
        <f>VLOOKUP(A47,seller_user!$A$2:$Y$101,3,FALSE)</f>
        <v>[{"companyType": "FIRM", "companyName": "주)올뉴모터스", "brn": "542-87-01426", "associationCd": 0, "associationName": "서울 자동차매매사업조합", "associationPhoneNumber": "02-847-3448", "certificatedEmployeeNumber": "SE25-00597", "address": {"zipcode": "07573 ", "location": null, "sido": "서울", "sigungu": "강서구", "eupmyeondong": null, "eupmyeondongEtc": null, "address": "서울 강서구 양천로 390", "buildingCd": "1150010400100560002028917"}, "contacts": null, "used": true}]</v>
      </c>
      <c r="Q47" t="str">
        <f>VLOOKUP(A47,inspection_detail_raw!A47:BK146,4,FALSE)</f>
        <v>["TABLE"]</v>
      </c>
      <c r="R47" t="str">
        <f>IFERROR("https://ci.encar.com"&amp;VLOOKUP(A47,'성능점검 이미지정보'!A:E,2,FALSE),"")</f>
        <v/>
      </c>
      <c r="S47" t="str">
        <f>VLOOKUP(A47,inspection_detail_raw!A47:BK146,50,FALSE)</f>
        <v>[]</v>
      </c>
      <c r="T47" t="str">
        <f>IFERROR(VLOOKUP(TEXT(A47,"0"), inspection_detail_raw!A:BK, 51, FALSE), "알수없음")</f>
        <v>20270526</v>
      </c>
      <c r="U47" t="str">
        <f>IFERROR(VLOOKUP(TEXT(A47,"0"), inspection_detail_raw!A:BK, 52, FALSE), "알수없음")</f>
        <v>20250527</v>
      </c>
      <c r="V47" t="str">
        <f>IFERROR(VLOOKUP(TEXT(A47,"0"), inspection_detail_raw!A:BK, 54, FALSE), "알수없음")</f>
        <v>KMHK4815GKU339384</v>
      </c>
      <c r="W47" t="b">
        <f>IFERROR(VLOOKUP(TEXT(A47,"0"), inspection_detail_raw!A:BK, 57, FALSE), "알수없음")</f>
        <v>1</v>
      </c>
      <c r="X47" t="str">
        <f>IFERROR(VLOOKUP(TEXT(A47,"0"), inspection_detail_raw!A:BK, 59, FALSE), "알수없음")</f>
        <v>[{"type": {"code": "P034", "title": "리어 도어(우)"}, "statusTypes": [{"code": "X", "title": "교환(교체)"}], "attributes": ["RANK_ONE"]}]</v>
      </c>
      <c r="Y47" t="str">
        <f>VLOOKUP(A47,vehicle_detail!$A$2:$DK$101,78,FALSE)</f>
        <v>["10001", "10003", "10004"]</v>
      </c>
      <c r="Z47" t="str">
        <f>VLOOKUP(A47,vehicle_detail!$A$2:$DK$101,80,FALSE)</f>
        <v>["001", "004", "005", "006", "007", "008", "014", "015", "017", "019", "020", "021", "022", "023", "024", "026", "027", "030", "031", "032", "033", "034", "055", "056", "057", "058", "062", "068", "071", "072", "074", "077", "081", "082", "085", "086", "096", "097"]</v>
      </c>
    </row>
    <row r="48" spans="1:26">
      <c r="A48" t="s">
        <v>73</v>
      </c>
      <c r="B48" t="str">
        <f>VLOOKUP(A48,vehicle_detail!$A$2:$DK$101,111,FALSE)</f>
        <v>249보7886</v>
      </c>
      <c r="C48" t="str">
        <f>VLOOKUP(A48,vehicle_detail!$A$2:$DK$101,101,FALSE)</f>
        <v>흰색</v>
      </c>
      <c r="D48" t="str">
        <f>VLOOKUP(A48,list_100!$B$2:$P$101,9,FALSE)</f>
        <v>현대</v>
      </c>
      <c r="E48" t="str">
        <f>VLOOKUP(A48,list_100!$B$2:$P$101,11,FALSE)</f>
        <v>싼타페 TM</v>
      </c>
      <c r="F48" t="str">
        <f>VLOOKUP(A48,list_100!$B$2:$P$101,2,FALSE)</f>
        <v>디젤 2.2 2WD</v>
      </c>
      <c r="G48" t="str">
        <f>VLOOKUP(A48,list_100!$B$2:$P$101,3,FALSE)</f>
        <v>익스클루시브</v>
      </c>
      <c r="H48" t="str">
        <f>VLOOKUP(A48,list_100!$B$2:$P$101,6,FALSE)</f>
        <v>2019</v>
      </c>
      <c r="I48" t="str">
        <f>VLOOKUP(A48,list_100!$B$2:$P$101,7,FALSE)</f>
        <v>디젤</v>
      </c>
      <c r="J48" t="str">
        <f>VLOOKUP(A48,vehicle_detail!$A$2:$DK$101,100,FALSE)</f>
        <v>SUV</v>
      </c>
      <c r="K48" s="2">
        <f>VLOOKUP(A48,list_100!$B$2:$P$101,15,FALSE)</f>
        <v>1750</v>
      </c>
      <c r="L48" s="2">
        <f>VLOOKUP(A48,list_100!$B$2:$P$101,10,FALSE)</f>
        <v>146534</v>
      </c>
      <c r="M48">
        <f>VLOOKUP(A48,list_100!$B$2:$V$101,21,FALSE)</f>
        <v>201804</v>
      </c>
      <c r="N48" t="str">
        <f>VLOOKUP(A48,seller_user!$A$2:$Y$101,2,FALSE)</f>
        <v>shs71659</v>
      </c>
      <c r="O48" t="str">
        <f>VLOOKUP(A48,seller_user!$A$2:$Y$101,25,FALSE)</f>
        <v>송현석</v>
      </c>
      <c r="P48" t="str">
        <f>VLOOKUP(A48,seller_user!$A$2:$Y$101,3,FALSE)</f>
        <v>[{"companyType": "FIRM", "companyName": "아차차", "brn": "603-14-76591", "associationCd": 28, "associationName": "경기 자동차매매사업조합", "associationPhoneNumber": "031-242-8940", "certificatedEmployeeNumber": "GC22-03240", "address": {"zipcode": "16613 ", "location": null, "sido": "경기", "sigungu": "수원시 권선구", "eupmyeondong": null, "eupmyeondongEtc": null, "address": "경기 수원시 권선구", "buildingCd": "4111313100100790009000001"}, "contacts": null, "used": true}]</v>
      </c>
      <c r="Q48" t="str">
        <f>VLOOKUP(A48,inspection_detail_raw!A48:BK147,4,FALSE)</f>
        <v>["TABLE"]</v>
      </c>
      <c r="R48" t="str">
        <f>IFERROR("https://ci.encar.com"&amp;VLOOKUP(A48,'성능점검 이미지정보'!A:E,2,FALSE),"")</f>
        <v>https://ci.encar.com/carsdata/cars/inspection/41259286_photoFront.jpg</v>
      </c>
      <c r="S48" t="str">
        <f>VLOOKUP(A48,inspection_detail_raw!A48:BK147,50,FALSE)</f>
        <v>[{"code": "1", "title": "렌트"}]</v>
      </c>
      <c r="T48" t="str">
        <f>IFERROR(VLOOKUP(TEXT(A48,"0"), inspection_detail_raw!A:BK, 51, FALSE), "알수없음")</f>
        <v>20260415</v>
      </c>
      <c r="U48" t="str">
        <f>IFERROR(VLOOKUP(TEXT(A48,"0"), inspection_detail_raw!A:BK, 52, FALSE), "알수없음")</f>
        <v>20240416</v>
      </c>
      <c r="V48" t="str">
        <f>IFERROR(VLOOKUP(TEXT(A48,"0"), inspection_detail_raw!A:BK, 54, FALSE), "알수없음")</f>
        <v>KMHS281CBKU010101</v>
      </c>
      <c r="W48" t="b">
        <f>IFERROR(VLOOKUP(TEXT(A48,"0"), inspection_detail_raw!A:BK, 57, FALSE), "알수없음")</f>
        <v>0</v>
      </c>
      <c r="X48" t="str">
        <f>IFERROR(VLOOKUP(TEXT(A48,"0"), inspection_detail_raw!A:BK, 59, FALSE), "알수없음")</f>
        <v>[]</v>
      </c>
      <c r="Y48" t="str">
        <f>VLOOKUP(A48,vehicle_detail!$A$2:$DK$101,78,FALSE)</f>
        <v>["1013", "1004"]</v>
      </c>
      <c r="Z48" t="str">
        <f>VLOOKUP(A48,vehicle_detail!$A$2:$DK$101,80,FALSE)</f>
        <v>["001", "004", "005", "006", "007", "008", "014", "015", "017", "019", "020", "021", "022", "023", "024", "026", "027", "030", "031", "032", "033", "034", "055", "056", "057", "058", "059", "062", "063", "071", "072", "074", "075", "077", "079", "082", "085", "088", "094", "096", "097"]</v>
      </c>
    </row>
    <row r="49" spans="1:26">
      <c r="A49" t="s">
        <v>75</v>
      </c>
      <c r="B49" t="str">
        <f>VLOOKUP(A49,vehicle_detail!$A$2:$DK$101,111,FALSE)</f>
        <v>168우8774</v>
      </c>
      <c r="C49" t="str">
        <f>VLOOKUP(A49,vehicle_detail!$A$2:$DK$101,101,FALSE)</f>
        <v>검정색</v>
      </c>
      <c r="D49" t="str">
        <f>VLOOKUP(A49,list_100!$B$2:$P$101,9,FALSE)</f>
        <v>현대</v>
      </c>
      <c r="E49" t="str">
        <f>VLOOKUP(A49,list_100!$B$2:$P$101,11,FALSE)</f>
        <v>아반떼 하이브리드 (CN7)</v>
      </c>
      <c r="F49" t="str">
        <f>VLOOKUP(A49,list_100!$B$2:$P$101,2,FALSE)</f>
        <v>인스퍼레이션</v>
      </c>
      <c r="G49">
        <f>VLOOKUP(A49,list_100!$B$2:$P$101,3,FALSE)</f>
        <v>0</v>
      </c>
      <c r="H49" t="str">
        <f>VLOOKUP(A49,list_100!$B$2:$P$101,6,FALSE)</f>
        <v>2021</v>
      </c>
      <c r="I49" t="str">
        <f>VLOOKUP(A49,list_100!$B$2:$P$101,7,FALSE)</f>
        <v>가솔린+전기</v>
      </c>
      <c r="J49" t="str">
        <f>VLOOKUP(A49,vehicle_detail!$A$2:$DK$101,100,FALSE)</f>
        <v>준중형차</v>
      </c>
      <c r="K49" s="2">
        <f>VLOOKUP(A49,list_100!$B$2:$P$101,15,FALSE)</f>
        <v>2050</v>
      </c>
      <c r="L49" s="2">
        <f>VLOOKUP(A49,list_100!$B$2:$P$101,10,FALSE)</f>
        <v>83705</v>
      </c>
      <c r="M49">
        <f>VLOOKUP(A49,list_100!$B$2:$V$101,21,FALSE)</f>
        <v>202010</v>
      </c>
      <c r="N49" t="str">
        <f>VLOOKUP(A49,seller_user!$A$2:$Y$101,2,FALSE)</f>
        <v>pika0060</v>
      </c>
      <c r="O49" t="str">
        <f>VLOOKUP(A49,seller_user!$A$2:$Y$101,25,FALSE)</f>
        <v>T카 강서매매센터</v>
      </c>
      <c r="P49" t="str">
        <f>VLOOKUP(A49,seller_user!$A$2:$Y$101,3,FALSE)</f>
        <v>[{"companyType": "FIRM", "companyName": "롯데렌탈", "brn": "214-67-79183", "associationCd": 1, "associationName": null, "associationPhoneNumber": null, "certificatedEmployeeNumber": "sw24-00162", "address": {"zipcode": "07528 ", "location": null, "sido": "서울", "sigungu": "강서구", "eupmyeondong": null, "eupmyeondongEtc": null, "address": "서울 강서구 양천로53길 52", "buildingCd": "1150010400100300010010421"}, "contacts": null, "used": true}]</v>
      </c>
      <c r="Q49" t="str">
        <f>VLOOKUP(A49,inspection_detail_raw!A49:BK148,4,FALSE)</f>
        <v>["IMAGE"]</v>
      </c>
      <c r="R49" t="str">
        <f>IFERROR("https://ci.encar.com"&amp;VLOOKUP(A49,'성능점검 이미지정보'!A:E,2,FALSE),"")</f>
        <v>https://ci.encar.com/carsdata/cars/inspection/41254301_photoPerform1.jpg</v>
      </c>
      <c r="S49">
        <f>VLOOKUP(A49,inspection_detail_raw!A49:BK148,50,FALSE)</f>
        <v>0</v>
      </c>
      <c r="T49">
        <f>IFERROR(VLOOKUP(TEXT(A49,"0"), inspection_detail_raw!A:BK, 51, FALSE), "알수없음")</f>
        <v>0</v>
      </c>
      <c r="U49">
        <f>IFERROR(VLOOKUP(TEXT(A49,"0"), inspection_detail_raw!A:BK, 52, FALSE), "알수없음")</f>
        <v>0</v>
      </c>
      <c r="V49">
        <f>IFERROR(VLOOKUP(TEXT(A49,"0"), inspection_detail_raw!A:BK, 54, FALSE), "알수없음")</f>
        <v>0</v>
      </c>
      <c r="W49" t="b">
        <f>IFERROR(VLOOKUP(TEXT(A49,"0"), inspection_detail_raw!A:BK, 57, FALSE), "알수없음")</f>
        <v>1</v>
      </c>
      <c r="X49" t="str">
        <f>IFERROR(VLOOKUP(TEXT(A49,"0"), inspection_detail_raw!A:BK, 59, FALSE), "알수없음")</f>
        <v>[]</v>
      </c>
      <c r="Y49" t="str">
        <f>VLOOKUP(A49,vehicle_detail!$A$2:$DK$101,78,FALSE)</f>
        <v>["1007", "1006"]</v>
      </c>
      <c r="Z49" t="str">
        <f>VLOOKUP(A49,vehicle_detail!$A$2:$DK$101,80,FALSE)</f>
        <v>["001", "004", "005", "006", "007", "008", "010", "014", "015", "017", "019", "020", "021", "022", "023", "024", "026", "027", "030", "031", "032", "033", "034", "051", "055", "056", "057", "058", "063", "072", "074", "075", "077", "079", "082", "085", "086", "088", "094", "096", "097"]</v>
      </c>
    </row>
    <row r="50" spans="1:26">
      <c r="A50" t="s">
        <v>77</v>
      </c>
      <c r="B50" t="str">
        <f>VLOOKUP(A50,vehicle_detail!$A$2:$DK$101,111,FALSE)</f>
        <v>350두6637</v>
      </c>
      <c r="C50" t="str">
        <f>VLOOKUP(A50,vehicle_detail!$A$2:$DK$101,101,FALSE)</f>
        <v>쥐색</v>
      </c>
      <c r="D50" t="str">
        <f>VLOOKUP(A50,list_100!$B$2:$P$101,9,FALSE)</f>
        <v>현대</v>
      </c>
      <c r="E50" t="str">
        <f>VLOOKUP(A50,list_100!$B$2:$P$101,11,FALSE)</f>
        <v>더 뉴 그랜저 IG</v>
      </c>
      <c r="F50" t="str">
        <f>VLOOKUP(A50,list_100!$B$2:$P$101,2,FALSE)</f>
        <v>3.0 LPi (렌터카용)</v>
      </c>
      <c r="G50" t="str">
        <f>VLOOKUP(A50,list_100!$B$2:$P$101,3,FALSE)</f>
        <v>프리미엄</v>
      </c>
      <c r="H50" t="str">
        <f>VLOOKUP(A50,list_100!$B$2:$P$101,6,FALSE)</f>
        <v>2022</v>
      </c>
      <c r="I50" t="str">
        <f>VLOOKUP(A50,list_100!$B$2:$P$101,7,FALSE)</f>
        <v>LPG(일반인 구입)</v>
      </c>
      <c r="J50" t="str">
        <f>VLOOKUP(A50,vehicle_detail!$A$2:$DK$101,100,FALSE)</f>
        <v>대형차</v>
      </c>
      <c r="K50" s="2">
        <f>VLOOKUP(A50,list_100!$B$2:$P$101,15,FALSE)</f>
        <v>1790</v>
      </c>
      <c r="L50" s="2">
        <f>VLOOKUP(A50,list_100!$B$2:$P$101,10,FALSE)</f>
        <v>123003</v>
      </c>
      <c r="M50">
        <f>VLOOKUP(A50,list_100!$B$2:$V$101,21,FALSE)</f>
        <v>202112</v>
      </c>
      <c r="N50" t="str">
        <f>VLOOKUP(A50,seller_user!$A$2:$Y$101,2,FALSE)</f>
        <v>lsw30992288</v>
      </c>
      <c r="O50" t="str">
        <f>VLOOKUP(A50,seller_user!$A$2:$Y$101,25,FALSE)</f>
        <v>T카 용인매매센터</v>
      </c>
      <c r="P50" t="str">
        <f>VLOOKUP(A50,seller_user!$A$2:$Y$101,3,FALSE)</f>
        <v>[{"companyType":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v>
      </c>
      <c r="Q50" t="str">
        <f>VLOOKUP(A50,inspection_detail_raw!A50:BK149,4,FALSE)</f>
        <v>["TABLE"]</v>
      </c>
      <c r="R50" t="str">
        <f>IFERROR("https://ci.encar.com"&amp;VLOOKUP(A50,'성능점검 이미지정보'!A:E,2,FALSE),"")</f>
        <v/>
      </c>
      <c r="S50" t="str">
        <f>VLOOKUP(A50,inspection_detail_raw!A50:BK149,50,FALSE)</f>
        <v>[{"code": "1", "title": "렌트"}]</v>
      </c>
      <c r="T50" t="str">
        <f>IFERROR(VLOOKUP(TEXT(A50,"0"), inspection_detail_raw!A:BK, 51, FALSE), "알수없음")</f>
        <v>20261220</v>
      </c>
      <c r="U50" t="str">
        <f>IFERROR(VLOOKUP(TEXT(A50,"0"), inspection_detail_raw!A:BK, 52, FALSE), "알수없음")</f>
        <v>20251221</v>
      </c>
      <c r="V50" t="str">
        <f>IFERROR(VLOOKUP(TEXT(A50,"0"), inspection_detail_raw!A:BK, 54, FALSE), "알수없음")</f>
        <v>KMHF241NBNA473216</v>
      </c>
      <c r="W50" t="b">
        <f>IFERROR(VLOOKUP(TEXT(A50,"0"), inspection_detail_raw!A:BK, 57, FALSE), "알수없음")</f>
        <v>1</v>
      </c>
      <c r="X50" t="str">
        <f>IFERROR(VLOOKUP(TEXT(A50,"0"), inspection_detail_raw!A:BK, 59, FALSE), "알수없음")</f>
        <v>[{"type": {"code": "P021", "title": "프론트 휀더(좌)"}, "statusTypes": [{"code": "X", "title": "교환(교체)"}], "attributes": ["RANK_ONE"]}, {"type": {"code": "P031", "title": "프론트 도어(좌)"}, "statusTypes": [{"code": "W", "title": "판금/용접"}], "attributes": ["RANK_ONE"]}]</v>
      </c>
      <c r="Y50" t="str">
        <f>VLOOKUP(A50,vehicle_detail!$A$2:$DK$101,78,FALSE)</f>
        <v>["10002", "10001"]</v>
      </c>
      <c r="Z50" t="str">
        <f>VLOOKUP(A50,vehicle_detail!$A$2:$DK$101,80,FALSE)</f>
        <v>["001", "004", "005", "006", "007", "008", "014", "015", "017", "019", "020", "021", "022", "023", "024", "026", "027", "030", "031", "032", "033", "034", "035", "055", "056", "057", "058", "059", "063", "072", "074", "075", "077", "079", "081", "082", "084", "085", "086", "088", "094", "096", "097"]</v>
      </c>
    </row>
    <row r="51" spans="1:26">
      <c r="A51" t="s">
        <v>78</v>
      </c>
      <c r="B51" t="str">
        <f>VLOOKUP(A51,vehicle_detail!$A$2:$DK$101,111,FALSE)</f>
        <v>388오5612</v>
      </c>
      <c r="C51" t="str">
        <f>VLOOKUP(A51,vehicle_detail!$A$2:$DK$101,101,FALSE)</f>
        <v>검정색</v>
      </c>
      <c r="D51" t="str">
        <f>VLOOKUP(A51,list_100!$B$2:$P$101,9,FALSE)</f>
        <v>현대</v>
      </c>
      <c r="E51" t="str">
        <f>VLOOKUP(A51,list_100!$B$2:$P$101,11,FALSE)</f>
        <v>더 뉴 그랜저 IG</v>
      </c>
      <c r="F51" t="str">
        <f>VLOOKUP(A51,list_100!$B$2:$P$101,2,FALSE)</f>
        <v>2.5</v>
      </c>
      <c r="G51" t="str">
        <f>VLOOKUP(A51,list_100!$B$2:$P$101,3,FALSE)</f>
        <v>르블랑</v>
      </c>
      <c r="H51" t="str">
        <f>VLOOKUP(A51,list_100!$B$2:$P$101,6,FALSE)</f>
        <v>2023</v>
      </c>
      <c r="I51" t="str">
        <f>VLOOKUP(A51,list_100!$B$2:$P$101,7,FALSE)</f>
        <v>가솔린</v>
      </c>
      <c r="J51" t="str">
        <f>VLOOKUP(A51,vehicle_detail!$A$2:$DK$101,100,FALSE)</f>
        <v>대형차</v>
      </c>
      <c r="K51" s="2">
        <f>VLOOKUP(A51,list_100!$B$2:$P$101,15,FALSE)</f>
        <v>2699</v>
      </c>
      <c r="L51" s="2">
        <f>VLOOKUP(A51,list_100!$B$2:$P$101,10,FALSE)</f>
        <v>60183</v>
      </c>
      <c r="M51">
        <f>VLOOKUP(A51,list_100!$B$2:$V$101,21,FALSE)</f>
        <v>202206</v>
      </c>
      <c r="N51" t="str">
        <f>VLOOKUP(A51,seller_user!$A$2:$Y$101,2,FALSE)</f>
        <v>sunsin68</v>
      </c>
      <c r="O51" t="str">
        <f>VLOOKUP(A51,seller_user!$A$2:$Y$101,25,FALSE)</f>
        <v>신우현</v>
      </c>
      <c r="P51" t="str">
        <f>VLOOKUP(A51,seller_user!$A$2:$Y$101,3,FALSE)</f>
        <v>[{"companyType": "FIRM", "companyName": "오토프라임", "brn": "176-71-00608", "associationCd": 28, "associationName": "경기 자동차매매사업조합", "associationPhoneNumber": "031-242-8940", "certificatedEmployeeNumber": "13-031-06132", "address": {"zipcode": "16602 ", "location": null, "sido": "경기", "sigungu": "수원시", "eupmyeondong": null, "eupmyeondongEtc": null, "address": "경기 수원시 권선구", "buildingCd": "4111312800100140134000001"}, "contacts": null, "used": true}]</v>
      </c>
      <c r="Q51" t="str">
        <f>VLOOKUP(A51,inspection_detail_raw!A51:BK150,4,FALSE)</f>
        <v>["TABLE"]</v>
      </c>
      <c r="R51" t="str">
        <f>IFERROR("https://ci.encar.com"&amp;VLOOKUP(A51,'성능점검 이미지정보'!A:E,2,FALSE),"")</f>
        <v/>
      </c>
      <c r="S51" t="str">
        <f>VLOOKUP(A51,inspection_detail_raw!A51:BK150,50,FALSE)</f>
        <v>[{"code": "1", "title": "렌트"}]</v>
      </c>
      <c r="T51" t="str">
        <f>IFERROR(VLOOKUP(TEXT(A51,"0"), inspection_detail_raw!A:BK, 51, FALSE), "알수없음")</f>
        <v>20260614</v>
      </c>
      <c r="U51" t="str">
        <f>IFERROR(VLOOKUP(TEXT(A51,"0"), inspection_detail_raw!A:BK, 52, FALSE), "알수없음")</f>
        <v>20250615</v>
      </c>
      <c r="V51" t="str">
        <f>IFERROR(VLOOKUP(TEXT(A51,"0"), inspection_detail_raw!A:BK, 54, FALSE), "알수없음")</f>
        <v>KMHF141DBPA504536</v>
      </c>
      <c r="W51" t="b">
        <f>IFERROR(VLOOKUP(TEXT(A51,"0"), inspection_detail_raw!A:BK, 57, FALSE), "알수없음")</f>
        <v>1</v>
      </c>
      <c r="X51" t="str">
        <f>IFERROR(VLOOKUP(TEXT(A51,"0"), inspection_detail_raw!A:BK, 59, FALSE), "알수없음")</f>
        <v>[{"type": {"code": "P022", "title": "프론트 휀더(우)"}, "statusTypes": [{"code": "X", "title": "교환(교체)"}], "attributes": ["RANK_ONE"]}, {"type": {"code": "P051", "title": "라디에이터 서포트(볼트체결부품)"}, "statusTypes": [{"code": "X", "title": "교환(교체)"}], "attributes": ["RANK_ONE"]}]</v>
      </c>
      <c r="Y51" t="str">
        <f>VLOOKUP(A51,vehicle_detail!$A$2:$DK$101,78,FALSE)</f>
        <v>[]</v>
      </c>
      <c r="Z51" t="str">
        <f>VLOOKUP(A51,vehicle_detail!$A$2:$DK$101,80,FALSE)</f>
        <v>["001", "004", "005", "006", "007", "008", "014", "015", "017", "019", "020", "021", "022", "023", "024", "026", "027", "030", "031", "032", "033", "034", "035", "055", "056", "057", "058", "059", "063", "072", "074", "075", "077", "079", "081", "082", "084", "085", "086", "087", "088", "092", "094", "096", "097"]</v>
      </c>
    </row>
    <row r="52" spans="1:26">
      <c r="A52" t="s">
        <v>80</v>
      </c>
      <c r="B52" t="str">
        <f>VLOOKUP(A52,vehicle_detail!$A$2:$DK$101,111,FALSE)</f>
        <v>13머1495</v>
      </c>
      <c r="C52" t="str">
        <f>VLOOKUP(A52,vehicle_detail!$A$2:$DK$101,101,FALSE)</f>
        <v>은색</v>
      </c>
      <c r="D52" t="str">
        <f>VLOOKUP(A52,list_100!$B$2:$P$101,9,FALSE)</f>
        <v>현대</v>
      </c>
      <c r="E52" t="str">
        <f>VLOOKUP(A52,list_100!$B$2:$P$101,11,FALSE)</f>
        <v>쏘나타 하이브리드</v>
      </c>
      <c r="F52" t="str">
        <f>VLOOKUP(A52,list_100!$B$2:$P$101,2,FALSE)</f>
        <v>2.0</v>
      </c>
      <c r="G52" t="str">
        <f>VLOOKUP(A52,list_100!$B$2:$P$101,3,FALSE)</f>
        <v>로열</v>
      </c>
      <c r="H52" t="str">
        <f>VLOOKUP(A52,list_100!$B$2:$P$101,6,FALSE)</f>
        <v>2012</v>
      </c>
      <c r="I52" t="str">
        <f>VLOOKUP(A52,list_100!$B$2:$P$101,7,FALSE)</f>
        <v>가솔린+전기</v>
      </c>
      <c r="J52" t="str">
        <f>VLOOKUP(A52,vehicle_detail!$A$2:$DK$101,100,FALSE)</f>
        <v>중형차</v>
      </c>
      <c r="K52" s="2">
        <f>VLOOKUP(A52,list_100!$B$2:$P$101,15,FALSE)</f>
        <v>590</v>
      </c>
      <c r="L52" s="2">
        <f>VLOOKUP(A52,list_100!$B$2:$P$101,10,FALSE)</f>
        <v>102635</v>
      </c>
      <c r="M52">
        <f>VLOOKUP(A52,list_100!$B$2:$V$101,21,FALSE)</f>
        <v>201212</v>
      </c>
      <c r="N52" t="str">
        <f>VLOOKUP(A52,seller_user!$A$2:$Y$101,2,FALSE)</f>
        <v>jylee77</v>
      </c>
      <c r="O52" t="str">
        <f>VLOOKUP(A52,seller_user!$A$2:$Y$101,25,FALSE)</f>
        <v>이재열</v>
      </c>
      <c r="P52" t="str">
        <f>VLOOKUP(A52,seller_user!$A$2:$Y$101,3,FALSE)</f>
        <v>[{"companyType": "FIRM", "companyName": "수원중고차", "brn": "658-46-00132", "associationCd": 28, "associationName": "경기 자동차매매사업조합", "associationPhoneNumber": "031-242-8940", "certificatedEmployeeNumber": "1203101227", "address": {"zipcode": "16602 ", "location": null, "sido": "경기", "sigungu": "수원시 권선구", "eupmyeondong": null, "eupmyeondongEtc": null, "address": "경기 수원시 권선구", "buildingCd": "4111312800100140134000001"}, "contacts": null, "used": true}]</v>
      </c>
      <c r="Q52" t="str">
        <f>VLOOKUP(A52,inspection_detail_raw!A52:BK151,4,FALSE)</f>
        <v>["TABLE"]</v>
      </c>
      <c r="R52" t="str">
        <f>IFERROR("https://ci.encar.com"&amp;VLOOKUP(A52,'성능점검 이미지정보'!A:E,2,FALSE),"")</f>
        <v/>
      </c>
      <c r="S52" t="str">
        <f>VLOOKUP(A52,inspection_detail_raw!A52:BK151,50,FALSE)</f>
        <v>[]</v>
      </c>
      <c r="T52" t="str">
        <f>IFERROR(VLOOKUP(TEXT(A52,"0"), inspection_detail_raw!A:BK, 51, FALSE), "알수없음")</f>
        <v>20261210</v>
      </c>
      <c r="U52" t="str">
        <f>IFERROR(VLOOKUP(TEXT(A52,"0"), inspection_detail_raw!A:BK, 52, FALSE), "알수없음")</f>
        <v>20241211</v>
      </c>
      <c r="V52" t="str">
        <f>IFERROR(VLOOKUP(TEXT(A52,"0"), inspection_detail_raw!A:BK, 54, FALSE), "알수없음")</f>
        <v>KMHEC415BCA053589</v>
      </c>
      <c r="W52" t="b">
        <f>IFERROR(VLOOKUP(TEXT(A52,"0"), inspection_detail_raw!A:BK, 57, FALSE), "알수없음")</f>
        <v>0</v>
      </c>
      <c r="X52" t="str">
        <f>IFERROR(VLOOKUP(TEXT(A52,"0"), inspection_detail_raw!A:BK, 59, FALSE), "알수없음")</f>
        <v>[]</v>
      </c>
      <c r="Y52" t="str">
        <f>VLOOKUP(A52,vehicle_detail!$A$2:$DK$101,78,FALSE)</f>
        <v>["1003"]</v>
      </c>
      <c r="Z52" t="str">
        <f>VLOOKUP(A52,vehicle_detail!$A$2:$DK$101,80,FALSE)</f>
        <v>["001", "003", "004", "005", "006", "007", "008", "010", "014", "015", "017", "019", "020", "021", "022", "023", "024", "026", "027", "029", "030", "031", "032", "034", "035", "051", "055", "056", "057", "058", "063", "068", "071", "072", "074", "077", "081", "096", "097"]</v>
      </c>
    </row>
    <row r="53" spans="1:26">
      <c r="A53" t="s">
        <v>82</v>
      </c>
      <c r="B53" t="str">
        <f>VLOOKUP(A53,vehicle_detail!$A$2:$DK$101,111,FALSE)</f>
        <v>30누5444</v>
      </c>
      <c r="C53" t="str">
        <f>VLOOKUP(A53,vehicle_detail!$A$2:$DK$101,101,FALSE)</f>
        <v>흰색</v>
      </c>
      <c r="D53" t="str">
        <f>VLOOKUP(A53,list_100!$B$2:$P$101,9,FALSE)</f>
        <v>현대</v>
      </c>
      <c r="E53" t="str">
        <f>VLOOKUP(A53,list_100!$B$2:$P$101,11,FALSE)</f>
        <v>LF 쏘나타</v>
      </c>
      <c r="F53" t="str">
        <f>VLOOKUP(A53,list_100!$B$2:$P$101,2,FALSE)</f>
        <v>2.0 스마트</v>
      </c>
      <c r="G53" t="str">
        <f>VLOOKUP(A53,list_100!$B$2:$P$101,3,FALSE)</f>
        <v>(세부등급 없음)</v>
      </c>
      <c r="H53" t="str">
        <f>VLOOKUP(A53,list_100!$B$2:$P$101,6,FALSE)</f>
        <v>2015</v>
      </c>
      <c r="I53" t="str">
        <f>VLOOKUP(A53,list_100!$B$2:$P$101,7,FALSE)</f>
        <v>가솔린</v>
      </c>
      <c r="J53" t="str">
        <f>VLOOKUP(A53,vehicle_detail!$A$2:$DK$101,100,FALSE)</f>
        <v>중형차</v>
      </c>
      <c r="K53" s="2">
        <f>VLOOKUP(A53,list_100!$B$2:$P$101,15,FALSE)</f>
        <v>830</v>
      </c>
      <c r="L53" s="2">
        <f>VLOOKUP(A53,list_100!$B$2:$P$101,10,FALSE)</f>
        <v>125276</v>
      </c>
      <c r="M53">
        <f>VLOOKUP(A53,list_100!$B$2:$V$101,21,FALSE)</f>
        <v>201506</v>
      </c>
      <c r="N53" t="str">
        <f>VLOOKUP(A53,seller_user!$A$2:$Y$101,2,FALSE)</f>
        <v>qkrrjsgh333</v>
      </c>
      <c r="O53" t="str">
        <f>VLOOKUP(A53,seller_user!$A$2:$Y$101,25,FALSE)</f>
        <v>박건호</v>
      </c>
      <c r="P53" t="str">
        <f>VLOOKUP(A53,seller_user!$A$2:$Y$101,3,FALSE)</f>
        <v>[{"companyType": "FIRM", "companyName": "영차", "brn": "555-02-02948", "associationCd": 5, "associationName": null, "associationPhoneNumber": null, "certificatedEmployeeNumber": "IM23-00805", "address": {"zipcode": "21500 ", "location": null, "sido": "인천", "sigungu": "남동구", "eupmyeondong": null, "eupmyeondongEtc": null, "address": "인천 남동구 방축로 414", "buildingCd": "2820010200106160085000824"}, "contacts": null, "used": true}]</v>
      </c>
      <c r="Q53" t="str">
        <f>VLOOKUP(A53,inspection_detail_raw!A53:BK152,4,FALSE)</f>
        <v>["TABLE"]</v>
      </c>
      <c r="R53" t="str">
        <f>IFERROR("https://ci.encar.com"&amp;VLOOKUP(A53,'성능점검 이미지정보'!A:E,2,FALSE),"")</f>
        <v/>
      </c>
      <c r="S53" t="str">
        <f>VLOOKUP(A53,inspection_detail_raw!A53:BK152,50,FALSE)</f>
        <v>[]</v>
      </c>
      <c r="T53" t="str">
        <f>IFERROR(VLOOKUP(TEXT(A53,"0"), inspection_detail_raw!A:BK, 51, FALSE), "알수없음")</f>
        <v>20260628</v>
      </c>
      <c r="U53" t="str">
        <f>IFERROR(VLOOKUP(TEXT(A53,"0"), inspection_detail_raw!A:BK, 52, FALSE), "알수없음")</f>
        <v>20240629</v>
      </c>
      <c r="V53" t="str">
        <f>IFERROR(VLOOKUP(TEXT(A53,"0"), inspection_detail_raw!A:BK, 54, FALSE), "알수없음")</f>
        <v>KMHE341CBFA149500</v>
      </c>
      <c r="W53" t="b">
        <f>IFERROR(VLOOKUP(TEXT(A53,"0"), inspection_detail_raw!A:BK, 57, FALSE), "알수없음")</f>
        <v>1</v>
      </c>
      <c r="X53" t="str">
        <f>IFERROR(VLOOKUP(TEXT(A53,"0"), inspection_detail_raw!A:BK, 59, FALSE), "알수없음")</f>
        <v>[{"type":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"X", "title": "교환(교체)"}], "attributes": ["RANK_ONE"]}]</v>
      </c>
      <c r="Y53" t="str">
        <f>VLOOKUP(A53,vehicle_detail!$A$2:$DK$101,78,FALSE)</f>
        <v>["10011", "10001"]</v>
      </c>
      <c r="Z53" t="str">
        <f>VLOOKUP(A53,vehicle_detail!$A$2:$DK$101,80,FALSE)</f>
        <v>["001", "003", "004", "005", "006", "007", "008", "014", "015", "017", "019", "020", "021", "022", "023", "024", "026", "027", "031", "032", "033", "055", "056", "057", "058", "068", "071", "072", "082", "096", "097"]</v>
      </c>
    </row>
    <row r="54" spans="1:26">
      <c r="A54" t="s">
        <v>84</v>
      </c>
      <c r="B54" t="str">
        <f>VLOOKUP(A54,vehicle_detail!$A$2:$DK$101,111,FALSE)</f>
        <v>107서6588</v>
      </c>
      <c r="C54" t="str">
        <f>VLOOKUP(A54,vehicle_detail!$A$2:$DK$101,101,FALSE)</f>
        <v>흰색</v>
      </c>
      <c r="D54" t="str">
        <f>VLOOKUP(A54,list_100!$B$2:$P$101,9,FALSE)</f>
        <v>현대</v>
      </c>
      <c r="E54" t="str">
        <f>VLOOKUP(A54,list_100!$B$2:$P$101,11,FALSE)</f>
        <v>더 뉴 그랜저 IG</v>
      </c>
      <c r="F54" t="str">
        <f>VLOOKUP(A54,list_100!$B$2:$P$101,2,FALSE)</f>
        <v>2.5</v>
      </c>
      <c r="G54" t="str">
        <f>VLOOKUP(A54,list_100!$B$2:$P$101,3,FALSE)</f>
        <v>캘리그래피</v>
      </c>
      <c r="H54" t="str">
        <f>VLOOKUP(A54,list_100!$B$2:$P$101,6,FALSE)</f>
        <v>2022</v>
      </c>
      <c r="I54" t="str">
        <f>VLOOKUP(A54,list_100!$B$2:$P$101,7,FALSE)</f>
        <v>가솔린</v>
      </c>
      <c r="J54" t="str">
        <f>VLOOKUP(A54,vehicle_detail!$A$2:$DK$101,100,FALSE)</f>
        <v>대형차</v>
      </c>
      <c r="K54" s="2">
        <f>VLOOKUP(A54,list_100!$B$2:$P$101,15,FALSE)</f>
        <v>2949</v>
      </c>
      <c r="L54" s="2">
        <f>VLOOKUP(A54,list_100!$B$2:$P$101,10,FALSE)</f>
        <v>67804</v>
      </c>
      <c r="M54">
        <f>VLOOKUP(A54,list_100!$B$2:$V$101,21,FALSE)</f>
        <v>202201</v>
      </c>
      <c r="N54" t="str">
        <f>VLOOKUP(A54,seller_user!$A$2:$Y$101,2,FALSE)</f>
        <v>lak8662</v>
      </c>
      <c r="O54" t="str">
        <f>VLOOKUP(A54,seller_user!$A$2:$Y$101,25,FALSE)</f>
        <v>최락현</v>
      </c>
      <c r="P54" t="str">
        <f>VLOOKUP(A54,seller_user!$A$2:$Y$101,3,FALSE)</f>
        <v>[{"companyType": "FIRM", "companyName": "(주)예스카", "brn": "751-86-00738", "associationCd": 28, "associationName": null, "associationPhoneNumber": null, "certificatedEmployeeNumber": "GC18-00234", "address": {"zipcode": "16600 ", "location": null, "sido": "경기", "sigungu": "수원시", "eupmyeondong": null, "eupmyeondongEtc": null, "address": "경기 수원시 권선구 평동로79번길 45", "buildingCd": "4111312700100040011000001"}, "contacts": null, "used": true}]</v>
      </c>
      <c r="Q54" t="str">
        <f>VLOOKUP(A54,inspection_detail_raw!A54:BK153,4,FALSE)</f>
        <v>["TABLE"]</v>
      </c>
      <c r="R54" t="str">
        <f>IFERROR("https://ci.encar.com"&amp;VLOOKUP(A54,'성능점검 이미지정보'!A:E,2,FALSE),"")</f>
        <v>https://ci.encar.com/carsdata/cars/inspection/41228721_photoFront.jpg</v>
      </c>
      <c r="S54" t="str">
        <f>VLOOKUP(A54,inspection_detail_raw!A54:BK153,50,FALSE)</f>
        <v>[]</v>
      </c>
      <c r="T54" t="str">
        <f>IFERROR(VLOOKUP(TEXT(A54,"0"), inspection_detail_raw!A:BK, 51, FALSE), "알수없음")</f>
        <v>20260105</v>
      </c>
      <c r="U54" t="str">
        <f>IFERROR(VLOOKUP(TEXT(A54,"0"), inspection_detail_raw!A:BK, 52, FALSE), "알수없음")</f>
        <v>20220106</v>
      </c>
      <c r="V54" t="str">
        <f>IFERROR(VLOOKUP(TEXT(A54,"0"), inspection_detail_raw!A:BK, 54, FALSE), "알수없음")</f>
        <v>KMHF341DBNA483783</v>
      </c>
      <c r="W54" t="b">
        <f>IFERROR(VLOOKUP(TEXT(A54,"0"), inspection_detail_raw!A:BK, 57, FALSE), "알수없음")</f>
        <v>0</v>
      </c>
      <c r="X54" t="str">
        <f>IFERROR(VLOOKUP(TEXT(A54,"0"), inspection_detail_raw!A:BK, 59, FALSE), "알수없음")</f>
        <v>[]</v>
      </c>
      <c r="Y54" t="str">
        <f>VLOOKUP(A54,vehicle_detail!$A$2:$DK$101,78,FALSE)</f>
        <v>["10002"]</v>
      </c>
      <c r="Z54" t="str">
        <f>VLOOKUP(A54,vehicle_detail!$A$2:$DK$101,80,FALSE)</f>
        <v>["001", "004", "005", "006", "007", "008", "014", "015", "017", "019", "020", "021", "022", "023", "024", "026", "027", "030", "031", "032", "033", "034", "035", "051", "055", "056", "057", "058", "059", "063", "072", "074", "075", "077", "079", "081", "082", "083", "084", "085", "086", "087", "088", "092", "093", "094", "096", "097"]</v>
      </c>
    </row>
    <row r="55" spans="1:26">
      <c r="A55" t="s">
        <v>86</v>
      </c>
      <c r="B55" t="str">
        <f>VLOOKUP(A55,vehicle_detail!$A$2:$DK$101,111,FALSE)</f>
        <v>122호2960</v>
      </c>
      <c r="C55" t="str">
        <f>VLOOKUP(A55,vehicle_detail!$A$2:$DK$101,101,FALSE)</f>
        <v>쥐색</v>
      </c>
      <c r="D55" t="str">
        <f>VLOOKUP(A55,list_100!$B$2:$P$101,9,FALSE)</f>
        <v>현대</v>
      </c>
      <c r="E55" t="str">
        <f>VLOOKUP(A55,list_100!$B$2:$P$101,11,FALSE)</f>
        <v>싼타페 TM</v>
      </c>
      <c r="F55" t="str">
        <f>VLOOKUP(A55,list_100!$B$2:$P$101,2,FALSE)</f>
        <v>디젤 2.0 2WD</v>
      </c>
      <c r="G55" t="str">
        <f>VLOOKUP(A55,list_100!$B$2:$P$101,3,FALSE)</f>
        <v>프리미엄</v>
      </c>
      <c r="H55" t="str">
        <f>VLOOKUP(A55,list_100!$B$2:$P$101,6,FALSE)</f>
        <v>2020</v>
      </c>
      <c r="I55" t="str">
        <f>VLOOKUP(A55,list_100!$B$2:$P$101,7,FALSE)</f>
        <v>디젤</v>
      </c>
      <c r="J55" t="str">
        <f>VLOOKUP(A55,vehicle_detail!$A$2:$DK$101,100,FALSE)</f>
        <v>SUV</v>
      </c>
      <c r="K55" s="2">
        <f>VLOOKUP(A55,list_100!$B$2:$P$101,15,FALSE)</f>
        <v>1750</v>
      </c>
      <c r="L55" s="2">
        <f>VLOOKUP(A55,list_100!$B$2:$P$101,10,FALSE)</f>
        <v>83675</v>
      </c>
      <c r="M55">
        <f>VLOOKUP(A55,list_100!$B$2:$V$101,21,FALSE)</f>
        <v>201910</v>
      </c>
      <c r="N55" t="str">
        <f>VLOOKUP(A55,seller_user!$A$2:$Y$101,2,FALSE)</f>
        <v>hb0836</v>
      </c>
      <c r="O55" t="str">
        <f>VLOOKUP(A55,seller_user!$A$2:$Y$101,25,FALSE)</f>
        <v>채덕병</v>
      </c>
      <c r="P55" t="str">
        <f>VLOOKUP(A55,seller_user!$A$2:$Y$101,3,FALSE)</f>
        <v>[{"companyType": "FIRM", "companyName": "(주)손오공", "brn": "759-85-03009", "associationCd": 21, "associationName": null, "associationPhoneNumber": null, "certificatedEmployeeNumber": "SM25-00494", "address": {"zipcode": "07528 ", "location": null, "sido": "서울", "sigungu": "강서구", "eupmyeondong": null, "eupmyeondongEtc": null, "address": "서울 강서구 양천로53길 30", "buildingCd": "1150010400100500005000001"}, "contacts": null, "used": true}]</v>
      </c>
      <c r="Q55" t="str">
        <f>VLOOKUP(A55,inspection_detail_raw!A55:BK154,4,FALSE)</f>
        <v>["TABLE"]</v>
      </c>
      <c r="R55" t="str">
        <f>IFERROR("https://ci.encar.com"&amp;VLOOKUP(A55,'성능점검 이미지정보'!A:E,2,FALSE),"")</f>
        <v>https://ci.encar.com/carsdata/cars/inspection/41222823_photoFront.jpg</v>
      </c>
      <c r="S55" t="str">
        <f>VLOOKUP(A55,inspection_detail_raw!A55:BK154,50,FALSE)</f>
        <v>[{"code": "1", "title": "렌트"}]</v>
      </c>
      <c r="T55" t="str">
        <f>IFERROR(VLOOKUP(TEXT(A55,"0"), inspection_detail_raw!A:BK, 51, FALSE), "알수없음")</f>
        <v>20261009</v>
      </c>
      <c r="U55" t="str">
        <f>IFERROR(VLOOKUP(TEXT(A55,"0"), inspection_detail_raw!A:BK, 52, FALSE), "알수없음")</f>
        <v>20251010</v>
      </c>
      <c r="V55" t="str">
        <f>IFERROR(VLOOKUP(TEXT(A55,"0"), inspection_detail_raw!A:BK, 54, FALSE), "알수없음")</f>
        <v>KMHS281BBLU221783</v>
      </c>
      <c r="W55" t="b">
        <f>IFERROR(VLOOKUP(TEXT(A55,"0"), inspection_detail_raw!A:BK, 57, FALSE), "알수없음")</f>
        <v>0</v>
      </c>
      <c r="X55" t="str">
        <f>IFERROR(VLOOKUP(TEXT(A55,"0"), inspection_detail_raw!A:BK, 59, FALSE), "알수없음")</f>
        <v>[]</v>
      </c>
      <c r="Y55" t="str">
        <f>VLOOKUP(A55,vehicle_detail!$A$2:$DK$101,78,FALSE)</f>
        <v>["10003"]</v>
      </c>
      <c r="Z55" t="str">
        <f>VLOOKUP(A55,vehicle_detail!$A$2:$DK$101,80,FALSE)</f>
        <v>["001", "004", "005", "006", "007", "008", "014", "015", "017", "019", "020", "022", "023", "024", "026", "027", "030", "031", "032", "033", "055", "056", "057", "058", "063", "068", "072", "074", "082", "088", "096", "097"]</v>
      </c>
    </row>
    <row r="56" spans="1:26">
      <c r="A56" t="s">
        <v>88</v>
      </c>
      <c r="B56" t="str">
        <f>VLOOKUP(A56,vehicle_detail!$A$2:$DK$101,111,FALSE)</f>
        <v>168머4978</v>
      </c>
      <c r="C56" t="str">
        <f>VLOOKUP(A56,vehicle_detail!$A$2:$DK$101,101,FALSE)</f>
        <v>쥐색</v>
      </c>
      <c r="D56" t="str">
        <f>VLOOKUP(A56,list_100!$B$2:$P$101,9,FALSE)</f>
        <v>현대</v>
      </c>
      <c r="E56" t="str">
        <f>VLOOKUP(A56,list_100!$B$2:$P$101,11,FALSE)</f>
        <v>투싼 하이브리드 (NX4)</v>
      </c>
      <c r="F56" t="str">
        <f>VLOOKUP(A56,list_100!$B$2:$P$101,2,FALSE)</f>
        <v>인스퍼레이션 2WD</v>
      </c>
      <c r="G56">
        <f>VLOOKUP(A56,list_100!$B$2:$P$101,3,FALSE)</f>
        <v>0</v>
      </c>
      <c r="H56" t="str">
        <f>VLOOKUP(A56,list_100!$B$2:$P$101,6,FALSE)</f>
        <v>2021</v>
      </c>
      <c r="I56" t="str">
        <f>VLOOKUP(A56,list_100!$B$2:$P$101,7,FALSE)</f>
        <v>가솔린+전기</v>
      </c>
      <c r="J56" t="str">
        <f>VLOOKUP(A56,vehicle_detail!$A$2:$DK$101,100,FALSE)</f>
        <v>SUV</v>
      </c>
      <c r="K56" s="2">
        <f>VLOOKUP(A56,list_100!$B$2:$P$101,15,FALSE)</f>
        <v>2699</v>
      </c>
      <c r="L56" s="2">
        <f>VLOOKUP(A56,list_100!$B$2:$P$101,10,FALSE)</f>
        <v>91530</v>
      </c>
      <c r="M56">
        <f>VLOOKUP(A56,list_100!$B$2:$V$101,21,FALSE)</f>
        <v>202010</v>
      </c>
      <c r="N56" t="str">
        <f>VLOOKUP(A56,seller_user!$A$2:$Y$101,2,FALSE)</f>
        <v>mindssydc79</v>
      </c>
      <c r="O56" t="str">
        <f>VLOOKUP(A56,seller_user!$A$2:$Y$101,25,FALSE)</f>
        <v>이미연</v>
      </c>
      <c r="P56" t="str">
        <f>VLOOKUP(A56,seller_user!$A$2:$Y$101,3,FALSE)</f>
        <v>[{"companyType": "FIRM", "companyName": "우진모터스", "brn": "265-79-00302", "associationCd": 23, "associationName": null, "associationPhoneNumber": null, "certificatedEmployeeNumber": "DG23-00650", "address": {"zipcode": "41752 ", "location": null, "sido": "대구", "sigungu": "서구", "eupmyeondong": null, "eupmyeondongEtc": null, "address": "대구 서구", "buildingCd": "2717010600100420030000001"}, "contacts": null, "used": true}]</v>
      </c>
      <c r="Q56" t="str">
        <f>VLOOKUP(A56,inspection_detail_raw!A56:BK155,4,FALSE)</f>
        <v>["TABLE"]</v>
      </c>
      <c r="R56" t="str">
        <f>IFERROR("https://ci.encar.com"&amp;VLOOKUP(A56,'성능점검 이미지정보'!A:E,2,FALSE),"")</f>
        <v/>
      </c>
      <c r="S56" t="str">
        <f>VLOOKUP(A56,inspection_detail_raw!A56:BK155,50,FALSE)</f>
        <v>[]</v>
      </c>
      <c r="T56" t="str">
        <f>IFERROR(VLOOKUP(TEXT(A56,"0"), inspection_detail_raw!A:BK, 51, FALSE), "알수없음")</f>
        <v>20261029</v>
      </c>
      <c r="U56" t="str">
        <f>IFERROR(VLOOKUP(TEXT(A56,"0"), inspection_detail_raw!A:BK, 52, FALSE), "알수없음")</f>
        <v>20241030</v>
      </c>
      <c r="V56" t="str">
        <f>IFERROR(VLOOKUP(TEXT(A56,"0"), inspection_detail_raw!A:BK, 54, FALSE), "알수없음")</f>
        <v>KMHJE811BMU000648</v>
      </c>
      <c r="W56" t="b">
        <f>IFERROR(VLOOKUP(TEXT(A56,"0"), inspection_detail_raw!A:BK, 57, FALSE), "알수없음")</f>
        <v>0</v>
      </c>
      <c r="X56" t="str">
        <f>IFERROR(VLOOKUP(TEXT(A56,"0"), inspection_detail_raw!A:BK, 59, FALSE), "알수없음")</f>
        <v>[]</v>
      </c>
      <c r="Y56" t="str">
        <f>VLOOKUP(A56,vehicle_detail!$A$2:$DK$101,78,FALSE)</f>
        <v>["1004", "10001", "10002"]</v>
      </c>
      <c r="Z56" t="str">
        <f>VLOOKUP(A56,vehicle_detail!$A$2:$DK$101,80,FALSE)</f>
        <v>["001", "004", "005", "006", "007", "008", "010", "014", "015", "017", "019", "020", "021", "022", "023", "024", "026", "027", "030", "031", "032", "033", "034", "035", "051", "055", "056", "057", "058", "059", "062", "063", "072", "074", "075", "077", "079", "081", "082", "084", "085", "086", "087", "088", "094", "096", "097"]</v>
      </c>
    </row>
    <row r="57" spans="1:26">
      <c r="A57" t="s">
        <v>90</v>
      </c>
      <c r="B57" t="str">
        <f>VLOOKUP(A57,vehicle_detail!$A$2:$DK$101,111,FALSE)</f>
        <v>396주4188</v>
      </c>
      <c r="C57" t="str">
        <f>VLOOKUP(A57,vehicle_detail!$A$2:$DK$101,101,FALSE)</f>
        <v>흰색</v>
      </c>
      <c r="D57" t="str">
        <f>VLOOKUP(A57,list_100!$B$2:$P$101,9,FALSE)</f>
        <v>현대</v>
      </c>
      <c r="E57" t="str">
        <f>VLOOKUP(A57,list_100!$B$2:$P$101,11,FALSE)</f>
        <v>싼타페 TM</v>
      </c>
      <c r="F57" t="str">
        <f>VLOOKUP(A57,list_100!$B$2:$P$101,2,FALSE)</f>
        <v>디젤 2.0 2WD</v>
      </c>
      <c r="G57" t="str">
        <f>VLOOKUP(A57,list_100!$B$2:$P$101,3,FALSE)</f>
        <v>프리미엄</v>
      </c>
      <c r="H57" t="str">
        <f>VLOOKUP(A57,list_100!$B$2:$P$101,6,FALSE)</f>
        <v>2020</v>
      </c>
      <c r="I57" t="str">
        <f>VLOOKUP(A57,list_100!$B$2:$P$101,7,FALSE)</f>
        <v>디젤</v>
      </c>
      <c r="J57" t="str">
        <f>VLOOKUP(A57,vehicle_detail!$A$2:$DK$101,100,FALSE)</f>
        <v>SUV</v>
      </c>
      <c r="K57" s="2">
        <f>VLOOKUP(A57,list_100!$B$2:$P$101,15,FALSE)</f>
        <v>2000</v>
      </c>
      <c r="L57" s="2">
        <f>VLOOKUP(A57,list_100!$B$2:$P$101,10,FALSE)</f>
        <v>125154</v>
      </c>
      <c r="M57">
        <f>VLOOKUP(A57,list_100!$B$2:$V$101,21,FALSE)</f>
        <v>202005</v>
      </c>
      <c r="N57" t="str">
        <f>VLOOKUP(A57,seller_user!$A$2:$Y$101,2,FALSE)</f>
        <v>qkrrjsgh333</v>
      </c>
      <c r="O57" t="str">
        <f>VLOOKUP(A57,seller_user!$A$2:$Y$101,25,FALSE)</f>
        <v>박건호</v>
      </c>
      <c r="P57" t="str">
        <f>VLOOKUP(A57,seller_user!$A$2:$Y$101,3,FALSE)</f>
        <v>[{"companyType": "FIRM", "companyName": "영차", "brn": "555-02-02948", "associationCd": 5, "associationName": null, "associationPhoneNumber": null, "certificatedEmployeeNumber": "IM23-00805", "address": {"zipcode": "21500 ", "location": null, "sido": "인천", "sigungu": "남동구", "eupmyeondong": null, "eupmyeondongEtc": null, "address": "인천 남동구 방축로 414", "buildingCd": "2820010200106160085000824"}, "contacts": null, "used": true}]</v>
      </c>
      <c r="Q57" t="str">
        <f>VLOOKUP(A57,inspection_detail_raw!A57:BK156,4,FALSE)</f>
        <v>["TABLE"]</v>
      </c>
      <c r="R57" t="str">
        <f>IFERROR("https://ci.encar.com"&amp;VLOOKUP(A57,'성능점검 이미지정보'!A:E,2,FALSE),"")</f>
        <v/>
      </c>
      <c r="S57" t="str">
        <f>VLOOKUP(A57,inspection_detail_raw!A57:BK156,50,FALSE)</f>
        <v>[]</v>
      </c>
      <c r="T57" t="str">
        <f>IFERROR(VLOOKUP(TEXT(A57,"0"), inspection_detail_raw!A:BK, 51, FALSE), "알수없음")</f>
        <v>20260510</v>
      </c>
      <c r="U57" t="str">
        <f>IFERROR(VLOOKUP(TEXT(A57,"0"), inspection_detail_raw!A:BK, 52, FALSE), "알수없음")</f>
        <v>20240511</v>
      </c>
      <c r="V57" t="str">
        <f>IFERROR(VLOOKUP(TEXT(A57,"0"), inspection_detail_raw!A:BK, 54, FALSE), "알수없음")</f>
        <v>KMHS281BBLU293041</v>
      </c>
      <c r="W57" t="b">
        <f>IFERROR(VLOOKUP(TEXT(A57,"0"), inspection_detail_raw!A:BK, 57, FALSE), "알수없음")</f>
        <v>0</v>
      </c>
      <c r="X57" t="str">
        <f>IFERROR(VLOOKUP(TEXT(A57,"0"), inspection_detail_raw!A:BK, 59, FALSE), "알수없음")</f>
        <v>[]</v>
      </c>
      <c r="Y57" t="str">
        <f>VLOOKUP(A57,vehicle_detail!$A$2:$DK$101,78,FALSE)</f>
        <v>["10002"]</v>
      </c>
      <c r="Z57" t="str">
        <f>VLOOKUP(A57,vehicle_detail!$A$2:$DK$101,80,FALSE)</f>
        <v>["001", "004", "005", "006", "007", "008", "014", "015", "017", "019", "020", "022", "023", "024", "026", "027", "030", "031", "032", "033", "055", "056", "057", "058", "068", "071", "072", "074", "082", "088", "096", "097"]</v>
      </c>
    </row>
    <row r="58" spans="1:26">
      <c r="A58" t="s">
        <v>91</v>
      </c>
      <c r="B58" t="str">
        <f>VLOOKUP(A58,vehicle_detail!$A$2:$DK$101,111,FALSE)</f>
        <v>51두0105</v>
      </c>
      <c r="C58" t="str">
        <f>VLOOKUP(A58,vehicle_detail!$A$2:$DK$101,101,FALSE)</f>
        <v>은색</v>
      </c>
      <c r="D58" t="str">
        <f>VLOOKUP(A58,list_100!$B$2:$P$101,9,FALSE)</f>
        <v>현대</v>
      </c>
      <c r="E58" t="str">
        <f>VLOOKUP(A58,list_100!$B$2:$P$101,11,FALSE)</f>
        <v>싼타페 더 프라임</v>
      </c>
      <c r="F58" t="str">
        <f>VLOOKUP(A58,list_100!$B$2:$P$101,2,FALSE)</f>
        <v>디젤 2.0 2WD</v>
      </c>
      <c r="G58" t="str">
        <f>VLOOKUP(A58,list_100!$B$2:$P$101,3,FALSE)</f>
        <v>프리미엄</v>
      </c>
      <c r="H58" t="str">
        <f>VLOOKUP(A58,list_100!$B$2:$P$101,6,FALSE)</f>
        <v>2016</v>
      </c>
      <c r="I58" t="str">
        <f>VLOOKUP(A58,list_100!$B$2:$P$101,7,FALSE)</f>
        <v>디젤</v>
      </c>
      <c r="J58" t="str">
        <f>VLOOKUP(A58,vehicle_detail!$A$2:$DK$101,100,FALSE)</f>
        <v>SUV</v>
      </c>
      <c r="K58" s="2">
        <f>VLOOKUP(A58,list_100!$B$2:$P$101,15,FALSE)</f>
        <v>1479</v>
      </c>
      <c r="L58" s="2">
        <f>VLOOKUP(A58,list_100!$B$2:$P$101,10,FALSE)</f>
        <v>49401</v>
      </c>
      <c r="M58">
        <f>VLOOKUP(A58,list_100!$B$2:$V$101,21,FALSE)</f>
        <v>201609</v>
      </c>
      <c r="N58" t="str">
        <f>VLOOKUP(A58,seller_user!$A$2:$Y$101,2,FALSE)</f>
        <v>wlals743</v>
      </c>
      <c r="O58" t="str">
        <f>VLOOKUP(A58,seller_user!$A$2:$Y$101,25,FALSE)</f>
        <v>서지민</v>
      </c>
      <c r="P58" t="str">
        <f>VLOOKUP(A58,seller_user!$A$2:$Y$101,3,FALSE)</f>
        <v>[{"companyType": "FIRM", "companyName": "공은모터스", "brn": "725-22-01380", "associationCd": 19, "associationName": "경기도1 자동차매매사업조합", "associationPhoneNumber": "031-876-8138", "certificatedEmployeeNumber": "GG22-01310", "address": {"zipcode": "10135 ", "location": null, "sido": "경기", "sigungu": "김포시", "eupmyeondong": null, "eupmyeondongEtc": null, "address": "경기 김포시 아라육로152번길 45", "buildingCd": "4157025325106840000000001"}, "contacts": null, "used": true}]</v>
      </c>
      <c r="Q58" t="str">
        <f>VLOOKUP(A58,inspection_detail_raw!A58:BK157,4,FALSE)</f>
        <v>["TABLE"]</v>
      </c>
      <c r="R58" t="str">
        <f>IFERROR("https://ci.encar.com"&amp;VLOOKUP(A58,'성능점검 이미지정보'!A:E,2,FALSE),"")</f>
        <v>https://ci.encar.com/carsdata/cars/inspection/41189810_photoFront.jpg</v>
      </c>
      <c r="S58" t="str">
        <f>IFERROR(VLOOKUP(TEXT(A58,"0"), inspection_detail_raw!A:BK, 50, FALSE), "알수없음")</f>
        <v>[]</v>
      </c>
      <c r="T58" t="str">
        <f>IFERROR(VLOOKUP(TEXT(A58,"0"), inspection_detail_raw!A:BK, 51, FALSE), "알수없음")</f>
        <v>20260920</v>
      </c>
      <c r="U58" t="str">
        <f>IFERROR(VLOOKUP(TEXT(A58,"0"), inspection_detail_raw!A:BK, 52, FALSE), "알수없음")</f>
        <v>20240921</v>
      </c>
      <c r="V58" t="str">
        <f>IFERROR(VLOOKUP(TEXT(A58,"0"), inspection_detail_raw!A:BK, 54, FALSE), "알수없음")</f>
        <v>KMHSW81UBGU688835</v>
      </c>
      <c r="W58" t="b">
        <f>IFERROR(VLOOKUP(TEXT(A58,"0"), inspection_detail_raw!A:BK, 57, FALSE), "알수없음")</f>
        <v>0</v>
      </c>
      <c r="X58" t="str">
        <f>IFERROR(VLOOKUP(TEXT(A58,"0"), inspection_detail_raw!A:BK, 59, FALSE), "알수없음")</f>
        <v>[]</v>
      </c>
      <c r="Y58" t="str">
        <f>VLOOKUP(A58,vehicle_detail!$A$2:$DK$101,78,FALSE)</f>
        <v>["1165"]</v>
      </c>
      <c r="Z58" t="str">
        <f>VLOOKUP(A58,vehicle_detail!$A$2:$DK$101,80,FALSE)</f>
        <v>["001", "003", "004", "005", "006", "007", "008", "014", "015", "017", "019", "020", "021", "022", "023", "024", "026", "027", "030", "031", "032", "033", "035", "055", "056", "057", "058", "062", "063", "068", "071", "072", "074", "082", "092", "096", "097"]</v>
      </c>
    </row>
    <row r="59" spans="1:26">
      <c r="A59" t="s">
        <v>93</v>
      </c>
      <c r="B59" t="str">
        <f>VLOOKUP(A59,vehicle_detail!$A$2:$DK$101,111,FALSE)</f>
        <v>139러5374</v>
      </c>
      <c r="C59" t="str">
        <f>VLOOKUP(A59,vehicle_detail!$A$2:$DK$101,101,FALSE)</f>
        <v>녹색</v>
      </c>
      <c r="D59" t="str">
        <f>VLOOKUP(A59,list_100!$B$2:$P$101,9,FALSE)</f>
        <v>현대</v>
      </c>
      <c r="E59" t="str">
        <f>VLOOKUP(A59,list_100!$B$2:$P$101,11,FALSE)</f>
        <v>캐스퍼</v>
      </c>
      <c r="F59" t="str">
        <f>VLOOKUP(A59,list_100!$B$2:$P$101,2,FALSE)</f>
        <v>디 에센셜</v>
      </c>
      <c r="G59">
        <f>VLOOKUP(A59,list_100!$B$2:$P$101,3,FALSE)</f>
        <v>0</v>
      </c>
      <c r="H59" t="str">
        <f>VLOOKUP(A59,list_100!$B$2:$P$101,6,FALSE)</f>
        <v>2023</v>
      </c>
      <c r="I59" t="str">
        <f>VLOOKUP(A59,list_100!$B$2:$P$101,7,FALSE)</f>
        <v>가솔린</v>
      </c>
      <c r="J59" t="str">
        <f>VLOOKUP(A59,vehicle_detail!$A$2:$DK$101,100,FALSE)</f>
        <v>경차</v>
      </c>
      <c r="K59" s="2">
        <f>VLOOKUP(A59,list_100!$B$2:$P$101,15,FALSE)</f>
        <v>1620</v>
      </c>
      <c r="L59" s="2">
        <f>VLOOKUP(A59,list_100!$B$2:$P$101,10,FALSE)</f>
        <v>20173</v>
      </c>
      <c r="M59">
        <f>VLOOKUP(A59,list_100!$B$2:$V$101,21,FALSE)</f>
        <v>202305</v>
      </c>
      <c r="N59" t="str">
        <f>VLOOKUP(A59,seller_user!$A$2:$Y$101,2,FALSE)</f>
        <v>sopy1764</v>
      </c>
      <c r="O59" t="str">
        <f>VLOOKUP(A59,seller_user!$A$2:$Y$101,25,FALSE)</f>
        <v>호길수</v>
      </c>
      <c r="P59" t="str">
        <f>VLOOKUP(A59,seller_user!$A$2:$Y$101,3,FALSE)</f>
        <v>[{"companyType": "FIRM", "companyName": "에쓰아이모터스", "brn": "314-07-87244", "associationCd": 28, "associationName": "경기 자동차매매사업조합", "associationPhoneNumber": "031-242-8940", "certificatedEmployeeNumber": "15-031-72357", "address": {"zipcode": "15457 ", "location": null, "sido": "경기", "sigungu": "안산시 단원구", "eupmyeondong": null, "eupmyeondongEtc": null, "address": "경기 안산시 단원구 원포공원1로 16", "buildingCd": "4127310700107450003000001"}, "contacts": null, "used": true}]</v>
      </c>
      <c r="Q59" t="str">
        <f>VLOOKUP(A59,inspection_detail_raw!A59:BK158,4,FALSE)</f>
        <v>["TABLE"]</v>
      </c>
      <c r="R59" t="str">
        <f>IFERROR("https://ci.encar.com"&amp;VLOOKUP(A59,'성능점검 이미지정보'!A:E,2,FALSE),"")</f>
        <v/>
      </c>
      <c r="S59" t="str">
        <f>VLOOKUP(A59,inspection_detail_raw!A59:BK158,50,FALSE)</f>
        <v>[]</v>
      </c>
      <c r="T59" t="str">
        <f>IFERROR(VLOOKUP(TEXT(A59,"0"), inspection_detail_raw!A:BK, 51, FALSE), "알수없음")</f>
        <v>20270509</v>
      </c>
      <c r="U59" t="str">
        <f>IFERROR(VLOOKUP(TEXT(A59,"0"), inspection_detail_raw!A:BK, 52, FALSE), "알수없음")</f>
        <v>20230510</v>
      </c>
      <c r="V59" t="str">
        <f>IFERROR(VLOOKUP(TEXT(A59,"0"), inspection_detail_raw!A:BK, 54, FALSE), "알수없음")</f>
        <v>KMHB3518BPW066972</v>
      </c>
      <c r="W59" t="b">
        <f>IFERROR(VLOOKUP(TEXT(A59,"0"), inspection_detail_raw!A:BK, 57, FALSE), "알수없음")</f>
        <v>0</v>
      </c>
      <c r="X59" t="str">
        <f>IFERROR(VLOOKUP(TEXT(A59,"0"), inspection_detail_raw!A:BK, 59, FALSE), "알수없음")</f>
        <v>[]</v>
      </c>
      <c r="Y59" t="str">
        <f>VLOOKUP(A59,vehicle_detail!$A$2:$DK$101,78,FALSE)</f>
        <v>["1001", "1003"]</v>
      </c>
      <c r="Z59" t="str">
        <f>VLOOKUP(A59,vehicle_detail!$A$2:$DK$101,80,FALSE)</f>
        <v>["001", "004", "005", "006", "007", "008", "010", "014", "015", "019", "020", "022", "023", "024", "026", "027", "031", "032", "033", "034", "055", "056", "057", "058", "062", "068", "072", "074", "082", "088", "096", "097"]</v>
      </c>
    </row>
    <row r="60" spans="1:26">
      <c r="A60" t="s">
        <v>95</v>
      </c>
      <c r="B60" t="str">
        <f>VLOOKUP(A60,vehicle_detail!$A$2:$DK$101,111,FALSE)</f>
        <v>188소8205</v>
      </c>
      <c r="C60" t="str">
        <f>VLOOKUP(A60,vehicle_detail!$A$2:$DK$101,101,FALSE)</f>
        <v>검정색</v>
      </c>
      <c r="D60" t="str">
        <f>VLOOKUP(A60,list_100!$B$2:$P$101,9,FALSE)</f>
        <v>현대</v>
      </c>
      <c r="E60" t="str">
        <f>VLOOKUP(A60,list_100!$B$2:$P$101,11,FALSE)</f>
        <v>그랜저 IG</v>
      </c>
      <c r="F60" t="str">
        <f>VLOOKUP(A60,list_100!$B$2:$P$101,2,FALSE)</f>
        <v>3.0 익스클루시브</v>
      </c>
      <c r="G60" t="str">
        <f>VLOOKUP(A60,list_100!$B$2:$P$101,3,FALSE)</f>
        <v>스페셜</v>
      </c>
      <c r="H60" t="str">
        <f>VLOOKUP(A60,list_100!$B$2:$P$101,6,FALSE)</f>
        <v>2019</v>
      </c>
      <c r="I60" t="str">
        <f>VLOOKUP(A60,list_100!$B$2:$P$101,7,FALSE)</f>
        <v>가솔린</v>
      </c>
      <c r="J60" t="str">
        <f>VLOOKUP(A60,vehicle_detail!$A$2:$DK$101,100,FALSE)</f>
        <v>대형차</v>
      </c>
      <c r="K60" s="2">
        <f>VLOOKUP(A60,list_100!$B$2:$P$101,15,FALSE)</f>
        <v>1570</v>
      </c>
      <c r="L60" s="2">
        <f>VLOOKUP(A60,list_100!$B$2:$P$101,10,FALSE)</f>
        <v>113584</v>
      </c>
      <c r="M60">
        <f>VLOOKUP(A60,list_100!$B$2:$V$101,21,FALSE)</f>
        <v>201810</v>
      </c>
      <c r="N60" t="str">
        <f>VLOOKUP(A60,seller_user!$A$2:$Y$101,2,FALSE)</f>
        <v>vvcar78</v>
      </c>
      <c r="O60" t="str">
        <f>VLOOKUP(A60,seller_user!$A$2:$Y$101,25,FALSE)</f>
        <v>안용운</v>
      </c>
      <c r="P60" t="str">
        <f>VLOOKUP(A60,seller_user!$A$2:$Y$101,3,FALSE)</f>
        <v>[{"companyType": "EXPORTER", "companyName": "부릉부릉닷컴(주)", "brn": null, "associationCd": null, "associationName": null, "associationPhoneNumber": null, "certificatedEmployeeNumber": null, "address": {"zipcode": "37659", "location": null, "sido": "경북", "sigungu": "포항시 남구", "eupmyeondong": "희망대로", "eupmyeondongEtc": "480", "address": null, "buildingCd": "4711111700100240000000001"}, "contacts": {"PHONE": ["0542720222"]}, "used": true}, {"companyType": "FIRM", "companyName": "부릉부릉닷컴(주)", "brn": "835-86-01151", "associationCd": 8, "associationName": "경북 자동차매매사업조합", "associationPhoneNumber": "053-254-0555", "certificatedEmployeeNumber": "19-054-15727", "address": {"zipcode": "37659 ", "location": null, "sido": "경북", "sigungu": "포항시 남구", "eupmyeondong": null, "eupmyeondongEtc": null, "address": "경북 포항시 남구 희망대로 480", "buildingCd": "4711111700100240000000001"}, "contacts": null, "used": true}]</v>
      </c>
      <c r="Q60" t="str">
        <f>VLOOKUP(A60,inspection_detail_raw!A60:BK159,4,FALSE)</f>
        <v>["TABLE"]</v>
      </c>
      <c r="R60" t="str">
        <f>IFERROR("https://ci.encar.com"&amp;VLOOKUP(A60,'성능점검 이미지정보'!A:E,2,FALSE),"")</f>
        <v>https://ci.encar.com/carsdata/cars/inspection/41179282_photoFront.jpg</v>
      </c>
      <c r="S60" t="str">
        <f>VLOOKUP(A60,inspection_detail_raw!A60:BK159,50,FALSE)</f>
        <v>[{"code": "1", "title": "렌트"}]</v>
      </c>
      <c r="T60" t="str">
        <f>IFERROR(VLOOKUP(TEXT(A60,"0"), inspection_detail_raw!A:BK, 51, FALSE), "알수없음")</f>
        <v>20260930</v>
      </c>
      <c r="U60" t="str">
        <f>IFERROR(VLOOKUP(TEXT(A60,"0"), inspection_detail_raw!A:BK, 52, FALSE), "알수없음")</f>
        <v>20251001</v>
      </c>
      <c r="V60" t="str">
        <f>IFERROR(VLOOKUP(TEXT(A60,"0"), inspection_detail_raw!A:BK, 54, FALSE), "알수없음")</f>
        <v>KMHF341EBKA210420</v>
      </c>
      <c r="W60" t="b">
        <f>IFERROR(VLOOKUP(TEXT(A60,"0"), inspection_detail_raw!A:BK, 57, FALSE), "알수없음")</f>
        <v>1</v>
      </c>
      <c r="X60" t="str">
        <f>IFERROR(VLOOKUP(TEXT(A60,"0"), inspection_detail_raw!A:BK, 59, FALSE), "알수없음")</f>
        <v>[{"type": {"code": "P041", "title": "트렁크 리드"}, "statusTypes": [{"code": "W", "title": "판금/용접"}], "attributes": ["RANK_ONE"]}, {"type": {"code": "P181", "title": "리어 패널"}, "statusTypes": [{"code": "X", "title": "교환(교체)"}], "attributes": ["RANK_A"]}]</v>
      </c>
      <c r="Y60" t="str">
        <f>VLOOKUP(A60,vehicle_detail!$A$2:$DK$101,78,FALSE)</f>
        <v>["1030"]</v>
      </c>
      <c r="Z60" t="str">
        <f>VLOOKUP(A60,vehicle_detail!$A$2:$DK$101,80,FALSE)</f>
        <v>["001", "003", "004", "005", "006", "007", "008", "014", "015", "017", "019", "020", "021", "022", "023", "024", "026", "027", "030", "031", "032", "033", "034", "035", "051", "055", "056", "057", "058", "059", "063", "068", "071", "072", "074", "075", "077", "081", "082", "083", "085", "086", "087", "092", "093", "094", "096", "097"]</v>
      </c>
    </row>
    <row r="61" spans="1:26">
      <c r="A61" t="s">
        <v>97</v>
      </c>
      <c r="B61" t="str">
        <f>VLOOKUP(A61,vehicle_detail!$A$2:$DK$101,111,FALSE)</f>
        <v>174무5547</v>
      </c>
      <c r="C61" t="str">
        <f>VLOOKUP(A61,vehicle_detail!$A$2:$DK$101,101,FALSE)</f>
        <v>흰색</v>
      </c>
      <c r="D61" t="str">
        <f>VLOOKUP(A61,list_100!$B$2:$P$101,9,FALSE)</f>
        <v>현대</v>
      </c>
      <c r="E61" t="str">
        <f>VLOOKUP(A61,list_100!$B$2:$P$101,11,FALSE)</f>
        <v>쏘나타 (DN8)</v>
      </c>
      <c r="F61" t="str">
        <f>VLOOKUP(A61,list_100!$B$2:$P$101,2,FALSE)</f>
        <v>2.0</v>
      </c>
      <c r="G61" t="str">
        <f>VLOOKUP(A61,list_100!$B$2:$P$101,3,FALSE)</f>
        <v>프리미엄 플러스</v>
      </c>
      <c r="H61" t="str">
        <f>VLOOKUP(A61,list_100!$B$2:$P$101,6,FALSE)</f>
        <v>2022</v>
      </c>
      <c r="I61" t="str">
        <f>VLOOKUP(A61,list_100!$B$2:$P$101,7,FALSE)</f>
        <v>가솔린</v>
      </c>
      <c r="J61" t="str">
        <f>VLOOKUP(A61,vehicle_detail!$A$2:$DK$101,100,FALSE)</f>
        <v>중형차</v>
      </c>
      <c r="K61" s="2">
        <f>VLOOKUP(A61,list_100!$B$2:$P$101,15,FALSE)</f>
        <v>2450</v>
      </c>
      <c r="L61" s="2">
        <f>VLOOKUP(A61,list_100!$B$2:$P$101,10,FALSE)</f>
        <v>63138</v>
      </c>
      <c r="M61">
        <f>VLOOKUP(A61,list_100!$B$2:$V$101,21,FALSE)</f>
        <v>202207</v>
      </c>
      <c r="N61" t="str">
        <f>VLOOKUP(A61,seller_user!$A$2:$Y$101,2,FALSE)</f>
        <v>chaseunggun7</v>
      </c>
      <c r="O61" t="str">
        <f>VLOOKUP(A61,seller_user!$A$2:$Y$101,25,FALSE)</f>
        <v>차승건</v>
      </c>
      <c r="P61" t="str">
        <f>VLOOKUP(A61,seller_user!$A$2:$Y$101,3,FALSE)</f>
        <v>[{"companyType": "FIRM", "companyName": "차마이카", "brn": "155-19-02450", "associationCd": 19, "associationName": "경기도1 자동차매매사업조합", "associationPhoneNumber": "031-876-8138", "certificatedEmployeeNumber": "GG25-01656", "address": {"zipcode": "11366 ", "location": null, "sido": "경기", "sigungu": "동두천시", "eupmyeondong": null, "eupmyeondongEtc": null, "address": "경기 동두천시 평화로 2120", "buildingCd": "4125010100104830005009355"}, "contacts": null, "used": true}]</v>
      </c>
      <c r="Q61" t="str">
        <f>VLOOKUP(A61,inspection_detail_raw!A61:BK160,4,FALSE)</f>
        <v>["TABLE"]</v>
      </c>
      <c r="R61" t="str">
        <f>IFERROR("https://ci.encar.com"&amp;VLOOKUP(A61,'성능점검 이미지정보'!A:E,2,FALSE),"")</f>
        <v>https://ci.encar.com/carsdata/cars/inspection/41161416_photoFront.jpg</v>
      </c>
      <c r="S61" t="str">
        <f>VLOOKUP(A61,inspection_detail_raw!A61:BK160,50,FALSE)</f>
        <v>[]</v>
      </c>
      <c r="T61" t="str">
        <f>IFERROR(VLOOKUP(TEXT(A61,"0"), inspection_detail_raw!A:BK, 51, FALSE), "알수없음")</f>
        <v>20260717</v>
      </c>
      <c r="U61" t="str">
        <f>IFERROR(VLOOKUP(TEXT(A61,"0"), inspection_detail_raw!A:BK, 52, FALSE), "알수없음")</f>
        <v>20220718</v>
      </c>
      <c r="V61" t="str">
        <f>IFERROR(VLOOKUP(TEXT(A61,"0"), inspection_detail_raw!A:BK, 54, FALSE), "알수없음")</f>
        <v>KMHL141EBNA249679</v>
      </c>
      <c r="W61" t="b">
        <f>IFERROR(VLOOKUP(TEXT(A61,"0"), inspection_detail_raw!A:BK, 57, FALSE), "알수없음")</f>
        <v>0</v>
      </c>
      <c r="X61" t="str">
        <f>IFERROR(VLOOKUP(TEXT(A61,"0"), inspection_detail_raw!A:BK, 59, FALSE), "알수없음")</f>
        <v>[]</v>
      </c>
      <c r="Y61" t="str">
        <f>VLOOKUP(A61,vehicle_detail!$A$2:$DK$101,78,FALSE)</f>
        <v>["10009", "10004", "10006", "10003", "10001", "10005"]</v>
      </c>
      <c r="Z61" t="str">
        <f>VLOOKUP(A61,vehicle_detail!$A$2:$DK$101,80,FALSE)</f>
        <v>["001", "004", "005", "006", "007", "008", "010", "014", "015", "017", "019", "020", "021", "022", "023", "024", "026", "027", "030", "031", "032", "033", "034", "035", "051", "055", "056", "057", "058", "072", "074", "075", "077", "079", "081", "082", "084", "085", "086", "087", "088", "094", "095", "096", "097"]</v>
      </c>
    </row>
    <row r="62" spans="1:26">
      <c r="A62" t="s">
        <v>99</v>
      </c>
      <c r="B62" t="str">
        <f>VLOOKUP(A62,vehicle_detail!$A$2:$DK$101,111,FALSE)</f>
        <v>275누2825</v>
      </c>
      <c r="C62" t="str">
        <f>VLOOKUP(A62,vehicle_detail!$A$2:$DK$101,101,FALSE)</f>
        <v>흰색</v>
      </c>
      <c r="D62" t="str">
        <f>VLOOKUP(A62,list_100!$B$2:$P$101,9,FALSE)</f>
        <v>현대</v>
      </c>
      <c r="E62" t="str">
        <f>VLOOKUP(A62,list_100!$B$2:$P$101,11,FALSE)</f>
        <v>아반떼 (CN7)</v>
      </c>
      <c r="F62" t="str">
        <f>VLOOKUP(A62,list_100!$B$2:$P$101,2,FALSE)</f>
        <v>1.6</v>
      </c>
      <c r="G62" t="str">
        <f>VLOOKUP(A62,list_100!$B$2:$P$101,3,FALSE)</f>
        <v>스마트</v>
      </c>
      <c r="H62" t="str">
        <f>VLOOKUP(A62,list_100!$B$2:$P$101,6,FALSE)</f>
        <v>2022</v>
      </c>
      <c r="I62" t="str">
        <f>VLOOKUP(A62,list_100!$B$2:$P$101,7,FALSE)</f>
        <v>가솔린</v>
      </c>
      <c r="J62" t="str">
        <f>VLOOKUP(A62,vehicle_detail!$A$2:$DK$101,100,FALSE)</f>
        <v>준중형차</v>
      </c>
      <c r="K62" s="2">
        <f>VLOOKUP(A62,list_100!$B$2:$P$101,15,FALSE)</f>
        <v>1480</v>
      </c>
      <c r="L62" s="2">
        <f>VLOOKUP(A62,list_100!$B$2:$P$101,10,FALSE)</f>
        <v>58364</v>
      </c>
      <c r="M62">
        <f>VLOOKUP(A62,list_100!$B$2:$V$101,21,FALSE)</f>
        <v>202202</v>
      </c>
      <c r="N62" t="str">
        <f>VLOOKUP(A62,seller_user!$A$2:$Y$101,2,FALSE)</f>
        <v>lsw30992288</v>
      </c>
      <c r="O62" t="str">
        <f>VLOOKUP(A62,seller_user!$A$2:$Y$101,25,FALSE)</f>
        <v>T카 용인매매센터</v>
      </c>
      <c r="P62" t="str">
        <f>VLOOKUP(A62,seller_user!$A$2:$Y$101,3,FALSE)</f>
        <v>[{"companyType": "FIRM", "companyName": "롯데렌탈", "brn": "214-87-79183", "associationCd": 28, "associationName": null, "associationPhoneNumber": null, "certificatedEmployeeNumber": "GC25-03404", "address": {"zipcode": "16994 ", "location": null, "sido": "경기", "sigungu": "용인시", "eupmyeondong": null, "eupmyeondongEtc": null, "address": "경기 용인시 기흥구 어정로 36", "buildingCd": "4146311700106410000000001"}, "contacts": null, "used": true}]</v>
      </c>
      <c r="Q62" t="str">
        <f>VLOOKUP(A62,inspection_detail_raw!A62:BK161,4,FALSE)</f>
        <v>["TABLE"]</v>
      </c>
      <c r="R62" t="str">
        <f>IFERROR("https://ci.encar.com"&amp;VLOOKUP(A62,'성능점검 이미지정보'!A:E,2,FALSE),"")</f>
        <v/>
      </c>
      <c r="S62" t="str">
        <f>VLOOKUP(A62,inspection_detail_raw!A62:BK161,50,FALSE)</f>
        <v>[{"code": "1", "title": "렌트"}]</v>
      </c>
      <c r="T62" t="str">
        <f>IFERROR(VLOOKUP(TEXT(A62,"0"), inspection_detail_raw!A:BK, 51, FALSE), "알수없음")</f>
        <v>20260214</v>
      </c>
      <c r="U62" t="str">
        <f>IFERROR(VLOOKUP(TEXT(A62,"0"), inspection_detail_raw!A:BK, 52, FALSE), "알수없음")</f>
        <v>20250215</v>
      </c>
      <c r="V62" t="str">
        <f>IFERROR(VLOOKUP(TEXT(A62,"0"), inspection_detail_raw!A:BK, 54, FALSE), "알수없음")</f>
        <v>KMHLL41EENU322580</v>
      </c>
      <c r="W62" t="b">
        <f>IFERROR(VLOOKUP(TEXT(A62,"0"), inspection_detail_raw!A:BK, 57, FALSE), "알수없음")</f>
        <v>1</v>
      </c>
      <c r="X62" t="str">
        <f>IFERROR(VLOOKUP(TEXT(A62,"0"), inspection_detail_raw!A:BK, 59, FALSE), "알수없음")</f>
        <v>[{"type": {"code": "P034", "title": "리어 도어(우)"}, "statusTypes": [{"code": "W", "title": "판금/용접"}], "attributes": ["RANK_ONE"]}, {"type": {"code": "P011", "title": "후드"}, "statusTypes": [{"code": "X", "title": "교환(교체)"}], "attributes": ["RANK_ONE"]}, {"type": {"code": "P041", "title": "트렁크 리드"}, "statusTypes": [{"code": "X", "title": "교환(교체)"}], "attributes": ["RANK_ONE"]}, {"type": {"code": "P062", "title": "쿼터 패널(우)"}, "statusTypes": [{"code": "W", "title": "판금/용접"}], "attributes": ["RANK_TWO"]}, {"type": {"code": "P082", "title": "사이드실 패널(우)"}, "statusTypes": [{"code": "W", "title": "판금/용접"}], "attributes": ["RANK_TWO"]}]</v>
      </c>
      <c r="Y62" t="str">
        <f>VLOOKUP(A62,vehicle_detail!$A$2:$DK$101,78,FALSE)</f>
        <v>["1160", "10001", "1162"]</v>
      </c>
      <c r="Z62" t="str">
        <f>VLOOKUP(A62,vehicle_detail!$A$2:$DK$101,80,FALSE)</f>
        <v>["001", "004", "005", "006", "007", "008", "014", "015", "019", "020", "023", "024", "026", "027", "030", "031", "032", "033", "055", "056", "057", "058", "068", "072", "074", "088", "096", "097"]</v>
      </c>
    </row>
    <row r="63" spans="1:26">
      <c r="A63" t="s">
        <v>100</v>
      </c>
      <c r="B63" t="str">
        <f>VLOOKUP(A63,vehicle_detail!$A$2:$DK$101,111,FALSE)</f>
        <v>11고9428</v>
      </c>
      <c r="C63" t="str">
        <f>VLOOKUP(A63,vehicle_detail!$A$2:$DK$101,101,FALSE)</f>
        <v>흰색</v>
      </c>
      <c r="D63" t="str">
        <f>VLOOKUP(A63,list_100!$B$2:$P$101,9,FALSE)</f>
        <v>현대</v>
      </c>
      <c r="E63" t="str">
        <f>VLOOKUP(A63,list_100!$B$2:$P$101,11,FALSE)</f>
        <v>아반떼 XD</v>
      </c>
      <c r="F63" t="str">
        <f>VLOOKUP(A63,list_100!$B$2:$P$101,2,FALSE)</f>
        <v>1.5 DOHC 디럭스</v>
      </c>
      <c r="G63" t="str">
        <f>VLOOKUP(A63,list_100!$B$2:$P$101,3,FALSE)</f>
        <v>기본형</v>
      </c>
      <c r="H63" t="str">
        <f>VLOOKUP(A63,list_100!$B$2:$P$101,6,FALSE)</f>
        <v>2001</v>
      </c>
      <c r="I63" t="str">
        <f>VLOOKUP(A63,list_100!$B$2:$P$101,7,FALSE)</f>
        <v>가솔린</v>
      </c>
      <c r="J63" t="str">
        <f>VLOOKUP(A63,vehicle_detail!$A$2:$DK$101,100,FALSE)</f>
        <v>준중형차</v>
      </c>
      <c r="K63" s="2">
        <f>VLOOKUP(A63,list_100!$B$2:$P$101,15,FALSE)</f>
        <v>220</v>
      </c>
      <c r="L63" s="2">
        <f>VLOOKUP(A63,list_100!$B$2:$P$101,10,FALSE)</f>
        <v>72994</v>
      </c>
      <c r="M63">
        <f>VLOOKUP(A63,list_100!$B$2:$V$101,21,FALSE)</f>
        <v>200107</v>
      </c>
      <c r="N63" t="str">
        <f>VLOOKUP(A63,seller_user!$A$2:$Y$101,2,FALSE)</f>
        <v>kami0870</v>
      </c>
      <c r="O63" t="str">
        <f>VLOOKUP(A63,seller_user!$A$2:$Y$101,25,FALSE)</f>
        <v>이준호</v>
      </c>
      <c r="P63" t="str">
        <f>VLOOKUP(A63,seller_user!$A$2:$Y$101,3,FALSE)</f>
        <v>[{"companyType": "FIRM", "companyName": "지니모터스", "brn": "313-11-63019", "associationCd": 3, "associationName": "대구 자동차매매사업조합", "associationPhoneNumber": "053-341-7788", "certificatedEmployeeNumber": "2305300244", "address": {"zipcode": "41844 ", "location": null, "sido": "대구", "sigungu": "서구", "eupmyeondong": null, "eupmyeondongEtc": null, "address": "대구 서구", "buildingCd": "2717010500111200009022740"}, "contacts": null, "used": true}]</v>
      </c>
      <c r="Q63" t="str">
        <f>VLOOKUP(A63,inspection_detail_raw!A63:BK162,4,FALSE)</f>
        <v>["TABLE"]</v>
      </c>
      <c r="R63" t="str">
        <f>IFERROR("https://ci.encar.com"&amp;VLOOKUP(A63,'성능점검 이미지정보'!A:E,2,FALSE),"")</f>
        <v>https://ci.encar.com/carsdata/cars/inspection/41149660_photoFront.jpg</v>
      </c>
      <c r="S63" t="str">
        <f>VLOOKUP(A63,inspection_detail_raw!A63:BK162,50,FALSE)</f>
        <v>[]</v>
      </c>
      <c r="T63" t="str">
        <f>IFERROR(VLOOKUP(TEXT(A63,"0"), inspection_detail_raw!A:BK, 51, FALSE), "알수없음")</f>
        <v>20270717</v>
      </c>
      <c r="U63" t="str">
        <f>IFERROR(VLOOKUP(TEXT(A63,"0"), inspection_detail_raw!A:BK, 52, FALSE), "알수없음")</f>
        <v>20250718</v>
      </c>
      <c r="V63" t="str">
        <f>IFERROR(VLOOKUP(TEXT(A63,"0"), inspection_detail_raw!A:BK, 54, FALSE), "알수없음")</f>
        <v>249180</v>
      </c>
      <c r="W63" t="b">
        <f>IFERROR(VLOOKUP(TEXT(A63,"0"), inspection_detail_raw!A:BK, 57, FALSE), "알수없음")</f>
        <v>1</v>
      </c>
      <c r="X63" t="str">
        <f>IFERROR(VLOOKUP(TEXT(A63,"0"), inspection_detail_raw!A:BK, 59, FALSE), "알수없음")</f>
        <v>[{"type": {"code": "P034", "title": "리어 도어(우)"}, "statusTypes": [{"code": "W", "title": "판금/용접"}], "attributes": ["RANK_ONE"]}]</v>
      </c>
      <c r="Y63" t="str">
        <f>VLOOKUP(A63,vehicle_detail!$A$2:$DK$101,78,FALSE)</f>
        <v>[]</v>
      </c>
      <c r="Z63" t="str">
        <f>VLOOKUP(A63,vehicle_detail!$A$2:$DK$101,80,FALSE)</f>
        <v>["007", "008", "014", "017", "023", "024", "026"]</v>
      </c>
    </row>
    <row r="64" spans="1:26">
      <c r="A64" t="s">
        <v>102</v>
      </c>
      <c r="B64" t="str">
        <f>VLOOKUP(A64,vehicle_detail!$A$2:$DK$101,111,FALSE)</f>
        <v>139저1277</v>
      </c>
      <c r="C64" t="str">
        <f>VLOOKUP(A64,vehicle_detail!$A$2:$DK$101,101,FALSE)</f>
        <v>검정색</v>
      </c>
      <c r="D64" t="str">
        <f>VLOOKUP(A64,list_100!$B$2:$P$101,9,FALSE)</f>
        <v>현대</v>
      </c>
      <c r="E64" t="str">
        <f>VLOOKUP(A64,list_100!$B$2:$P$101,11,FALSE)</f>
        <v>더 뉴 싼타페</v>
      </c>
      <c r="F64" t="str">
        <f>VLOOKUP(A64,list_100!$B$2:$P$101,2,FALSE)</f>
        <v>가솔린 2.5T 2WD</v>
      </c>
      <c r="G64" t="str">
        <f>VLOOKUP(A64,list_100!$B$2:$P$101,3,FALSE)</f>
        <v>캘리그래피</v>
      </c>
      <c r="H64" t="str">
        <f>VLOOKUP(A64,list_100!$B$2:$P$101,6,FALSE)</f>
        <v>2021</v>
      </c>
      <c r="I64" t="str">
        <f>VLOOKUP(A64,list_100!$B$2:$P$101,7,FALSE)</f>
        <v>가솔린</v>
      </c>
      <c r="J64" t="str">
        <f>VLOOKUP(A64,vehicle_detail!$A$2:$DK$101,100,FALSE)</f>
        <v>SUV</v>
      </c>
      <c r="K64" s="2">
        <f>VLOOKUP(A64,list_100!$B$2:$P$101,15,FALSE)</f>
        <v>3180</v>
      </c>
      <c r="L64" s="2">
        <f>VLOOKUP(A64,list_100!$B$2:$P$101,10,FALSE)</f>
        <v>56571</v>
      </c>
      <c r="M64">
        <f>VLOOKUP(A64,list_100!$B$2:$V$101,21,FALSE)</f>
        <v>202103</v>
      </c>
      <c r="N64" t="str">
        <f>VLOOKUP(A64,seller_user!$A$2:$Y$101,2,FALSE)</f>
        <v>silvercoin</v>
      </c>
      <c r="O64" t="str">
        <f>VLOOKUP(A64,seller_user!$A$2:$Y$101,25,FALSE)</f>
        <v>이상근</v>
      </c>
      <c r="P64" t="str">
        <f>VLOOKUP(A64,seller_user!$A$2:$Y$101,3,FALSE)</f>
        <v>[{"companyType": "FIRM", "companyName": "주뉴카뱅크", "brn": "878-88-01400", "associationCd": 0, "associationName": "서울 자동차매매사업조합", "associationPhoneNumber": "02-847-3448", "certificatedEmployeeNumber": "SE23-00505", "address": {"zipcode": "06378 ", "location": null, "sido": "서울", "sigungu": "강남구", "eupmyeondong": null, "eupmyeondongEtc": null, "address": "서울 강남구", "buildingCd": "1168011300101080009000001"}, "contacts": null, "used": true}]</v>
      </c>
      <c r="Q64" t="str">
        <f>VLOOKUP(A64,inspection_detail_raw!A64:BK163,4,FALSE)</f>
        <v>["IMAGE"]</v>
      </c>
      <c r="R64" t="str">
        <f>IFERROR("https://ci.encar.com"&amp;VLOOKUP(A64,'성능점검 이미지정보'!A:E,2,FALSE),"")</f>
        <v>https://ci.encar.com/carsdata/cars/inspection/41148444_I1.jpg</v>
      </c>
      <c r="S64">
        <f>VLOOKUP(A64,inspection_detail_raw!A64:BK163,50,FALSE)</f>
        <v>0</v>
      </c>
      <c r="T64">
        <f>IFERROR(VLOOKUP(TEXT(A64,"0"), inspection_detail_raw!A:BK, 51, FALSE), "알수없음")</f>
        <v>0</v>
      </c>
      <c r="U64">
        <f>IFERROR(VLOOKUP(TEXT(A64,"0"), inspection_detail_raw!A:BK, 52, FALSE), "알수없음")</f>
        <v>0</v>
      </c>
      <c r="V64">
        <f>IFERROR(VLOOKUP(TEXT(A64,"0"), inspection_detail_raw!A:BK, 54, FALSE), "알수없음")</f>
        <v>0</v>
      </c>
      <c r="W64" t="b">
        <f>IFERROR(VLOOKUP(TEXT(A64,"0"), inspection_detail_raw!A:BK, 57, FALSE), "알수없음")</f>
        <v>0</v>
      </c>
      <c r="X64" t="str">
        <f>IFERROR(VLOOKUP(TEXT(A64,"0"), inspection_detail_raw!A:BK, 59, FALSE), "알수없음")</f>
        <v>[]</v>
      </c>
      <c r="Y64" t="str">
        <f>VLOOKUP(A64,vehicle_detail!$A$2:$DK$101,78,FALSE)</f>
        <v>["10002", "1063", "10001"]</v>
      </c>
      <c r="Z64" t="str">
        <f>VLOOKUP(A64,vehicle_detail!$A$2:$DK$101,80,FALSE)</f>
        <v>["001", "004", "005", "006", "007", "008", "010", "014", "015", "017", "019", "020", "021", "022", "023", "024", "026", "027", "030", "031", "032", "033", "034", "035", "051", "055", "056", "057", "058", "059", "062", "063", "072", "074", "075", "077", "079", "081", "082", "084", "085", "086", "087", "088", "094", "095", "096", "097"]</v>
      </c>
    </row>
    <row r="65" spans="1:26">
      <c r="A65" t="s">
        <v>104</v>
      </c>
      <c r="B65" t="str">
        <f>VLOOKUP(A65,vehicle_detail!$A$2:$DK$101,111,FALSE)</f>
        <v>397모4744</v>
      </c>
      <c r="C65" t="str">
        <f>VLOOKUP(A65,vehicle_detail!$A$2:$DK$101,101,FALSE)</f>
        <v>검정색</v>
      </c>
      <c r="D65" t="str">
        <f>VLOOKUP(A65,list_100!$B$2:$P$101,9,FALSE)</f>
        <v>현대</v>
      </c>
      <c r="E65" t="str">
        <f>VLOOKUP(A65,list_100!$B$2:$P$101,11,FALSE)</f>
        <v>그랜저 IG</v>
      </c>
      <c r="F65" t="str">
        <f>VLOOKUP(A65,list_100!$B$2:$P$101,2,FALSE)</f>
        <v>3.0 익스클루시브</v>
      </c>
      <c r="G65" t="str">
        <f>VLOOKUP(A65,list_100!$B$2:$P$101,3,FALSE)</f>
        <v>스페셜</v>
      </c>
      <c r="H65" t="str">
        <f>VLOOKUP(A65,list_100!$B$2:$P$101,6,FALSE)</f>
        <v>2018</v>
      </c>
      <c r="I65" t="str">
        <f>VLOOKUP(A65,list_100!$B$2:$P$101,7,FALSE)</f>
        <v>가솔린</v>
      </c>
      <c r="J65" t="str">
        <f>VLOOKUP(A65,vehicle_detail!$A$2:$DK$101,100,FALSE)</f>
        <v>대형차</v>
      </c>
      <c r="K65" s="2">
        <f>VLOOKUP(A65,list_100!$B$2:$P$101,15,FALSE)</f>
        <v>1290</v>
      </c>
      <c r="L65" s="2">
        <f>VLOOKUP(A65,list_100!$B$2:$P$101,10,FALSE)</f>
        <v>155482</v>
      </c>
      <c r="M65">
        <f>VLOOKUP(A65,list_100!$B$2:$V$101,21,FALSE)</f>
        <v>201804</v>
      </c>
      <c r="N65" t="str">
        <f>VLOOKUP(A65,seller_user!$A$2:$Y$101,2,FALSE)</f>
        <v>zuzusl</v>
      </c>
      <c r="O65" t="str">
        <f>VLOOKUP(A65,seller_user!$A$2:$Y$101,25,FALSE)</f>
        <v>이경준</v>
      </c>
      <c r="P65" t="str">
        <f>VLOOKUP(A65,seller_user!$A$2:$Y$101,3,FALSE)</f>
        <v>[{"companyType": "FIRM", "companyName": "모던모터스 대표", "brn": "218-02-61349", "associationCd": 3, "associationName": null, "associationPhoneNumber": null, "certificatedEmployeeNumber": "17-053-00212", "address": {"zipcode": "41080 ", "location": null, "sido": "대구", "sigungu": "동구", "eupmyeondong": null, "eupmyeondongEtc": null, "address": "대구 동구 안심로69길 35", "buildingCd": "2714012400106380006032957"}, "contacts": null, "used": true}]</v>
      </c>
      <c r="Q65" t="str">
        <f>VLOOKUP(A65,inspection_detail_raw!A65:BK164,4,FALSE)</f>
        <v>["TABLE"]</v>
      </c>
      <c r="R65" t="str">
        <f>IFERROR("https://ci.encar.com"&amp;VLOOKUP(A65,'성능점검 이미지정보'!A:E,2,FALSE),"")</f>
        <v/>
      </c>
      <c r="S65" t="str">
        <f>VLOOKUP(A65,inspection_detail_raw!A65:BK164,50,FALSE)</f>
        <v>[]</v>
      </c>
      <c r="T65" t="str">
        <f>IFERROR(VLOOKUP(TEXT(A65,"0"), inspection_detail_raw!A:BK, 51, FALSE), "알수없음")</f>
        <v>20270401</v>
      </c>
      <c r="U65" t="str">
        <f>IFERROR(VLOOKUP(TEXT(A65,"0"), inspection_detail_raw!A:BK, 52, FALSE), "알수없음")</f>
        <v>20250402</v>
      </c>
      <c r="V65" t="str">
        <f>IFERROR(VLOOKUP(TEXT(A65,"0"), inspection_detail_raw!A:BK, 54, FALSE), "알수없음")</f>
        <v>159724</v>
      </c>
      <c r="W65" t="b">
        <f>IFERROR(VLOOKUP(TEXT(A65,"0"), inspection_detail_raw!A:BK, 57, FALSE), "알수없음")</f>
        <v>1</v>
      </c>
      <c r="X65" t="str">
        <f>IFERROR(VLOOKUP(TEXT(A65,"0"), inspection_detail_raw!A:BK, 59, FALSE), "알수없음")</f>
        <v>[{"type": {"code": "P022", "title": "프론트 휀더(우)"}, "statusTypes": [{"code": "X", "title": "교환(교체)"}], "attributes": ["RANK_ONE"]}]</v>
      </c>
      <c r="Y65" t="str">
        <f>VLOOKUP(A65,vehicle_detail!$A$2:$DK$101,78,FALSE)</f>
        <v>[]</v>
      </c>
      <c r="Z65" t="str">
        <f>VLOOKUP(A65,vehicle_detail!$A$2:$DK$101,80,FALSE)</f>
        <v>["001", "004", "005", "006", "007", "008", "014", "015", "017", "019", "020", "021", "022", "023", "024", "026", "027", "030", "031", "032", "033", "034", "035", "051", "055", "056", "057", "058", "059", "063", "068", "071", "072", "074", "075", "077", "081", "082", "083", "085", "086", "087", "092", "093", "094", "096", "097"]</v>
      </c>
    </row>
    <row r="66" spans="1:26">
      <c r="A66" t="s">
        <v>106</v>
      </c>
      <c r="B66" t="str">
        <f>VLOOKUP(A66,vehicle_detail!$A$2:$DK$101,111,FALSE)</f>
        <v>201모8157</v>
      </c>
      <c r="C66" t="str">
        <f>VLOOKUP(A66,vehicle_detail!$A$2:$DK$101,101,FALSE)</f>
        <v>검정색</v>
      </c>
      <c r="D66" t="str">
        <f>VLOOKUP(A66,list_100!$B$2:$P$101,9,FALSE)</f>
        <v>현대</v>
      </c>
      <c r="E66" t="str">
        <f>VLOOKUP(A66,list_100!$B$2:$P$101,11,FALSE)</f>
        <v>투싼 (NX4)</v>
      </c>
      <c r="F66" t="str">
        <f>VLOOKUP(A66,list_100!$B$2:$P$101,2,FALSE)</f>
        <v>가솔린 1.6 터보 2WD</v>
      </c>
      <c r="G66" t="str">
        <f>VLOOKUP(A66,list_100!$B$2:$P$101,3,FALSE)</f>
        <v>프리미엄</v>
      </c>
      <c r="H66" t="str">
        <f>VLOOKUP(A66,list_100!$B$2:$P$101,6,FALSE)</f>
        <v>2023</v>
      </c>
      <c r="I66" t="str">
        <f>VLOOKUP(A66,list_100!$B$2:$P$101,7,FALSE)</f>
        <v>가솔린</v>
      </c>
      <c r="J66" t="str">
        <f>VLOOKUP(A66,vehicle_detail!$A$2:$DK$101,100,FALSE)</f>
        <v>SUV</v>
      </c>
      <c r="K66" s="2">
        <f>VLOOKUP(A66,list_100!$B$2:$P$101,15,FALSE)</f>
        <v>2550</v>
      </c>
      <c r="L66" s="2">
        <f>VLOOKUP(A66,list_100!$B$2:$P$101,10,FALSE)</f>
        <v>58901</v>
      </c>
      <c r="M66">
        <f>VLOOKUP(A66,list_100!$B$2:$V$101,21,FALSE)</f>
        <v>202306</v>
      </c>
      <c r="N66" t="str">
        <f>VLOOKUP(A66,seller_user!$A$2:$Y$101,2,FALSE)</f>
        <v>kdy1007</v>
      </c>
      <c r="O66" t="str">
        <f>VLOOKUP(A66,seller_user!$A$2:$Y$101,25,FALSE)</f>
        <v>간건우</v>
      </c>
      <c r="P66" t="str">
        <f>VLOOKUP(A66,seller_user!$A$2:$Y$101,3,FALSE)</f>
        <v>[{"companyType": "FIRM", "companyName": "(주)태양모터스", "brn": "704-86-02384", "associationCd": 11, "associationName": "충남 자동차매매사업조합", "associationPhoneNumber": "041-572-8444", "certificatedEmployeeNumber": "대2022-2-002", "address": {"zipcode": "31068 ", "location": null, "sido": "충남", "sigungu": "천안시 동남구", "eupmyeondong": null, "eupmyeondongEtc": null, "address": "충남 천안시 동남구 유량로 108", "buildingCd": "4413111200103530001000001"}, "contacts": null, "used": true}]</v>
      </c>
      <c r="Q66" t="str">
        <f>VLOOKUP(A66,inspection_detail_raw!A66:BK165,4,FALSE)</f>
        <v>["TABLE"]</v>
      </c>
      <c r="R66" t="str">
        <f>IFERROR("https://ci.encar.com"&amp;VLOOKUP(A66,'성능점검 이미지정보'!A:E,2,FALSE),"")</f>
        <v/>
      </c>
      <c r="S66" t="str">
        <f>VLOOKUP(A66,inspection_detail_raw!A66:BK165,50,FALSE)</f>
        <v>[]</v>
      </c>
      <c r="T66" t="str">
        <f>IFERROR(VLOOKUP(TEXT(A66,"0"), inspection_detail_raw!A:BK, 51, FALSE), "알수없음")</f>
        <v>20270611</v>
      </c>
      <c r="U66" t="str">
        <f>IFERROR(VLOOKUP(TEXT(A66,"0"), inspection_detail_raw!A:BK, 52, FALSE), "알수없음")</f>
        <v>20230612</v>
      </c>
      <c r="V66" t="str">
        <f>IFERROR(VLOOKUP(TEXT(A66,"0"), inspection_detail_raw!A:BK, 54, FALSE), "알수없음")</f>
        <v>KMHJC81BGPU265496</v>
      </c>
      <c r="W66" t="b">
        <f>IFERROR(VLOOKUP(TEXT(A66,"0"), inspection_detail_raw!A:BK, 57, FALSE), "알수없음")</f>
        <v>0</v>
      </c>
      <c r="X66" t="str">
        <f>IFERROR(VLOOKUP(TEXT(A66,"0"), inspection_detail_raw!A:BK, 59, FALSE), "알수없음")</f>
        <v>[]</v>
      </c>
      <c r="Y66" t="str">
        <f>VLOOKUP(A66,vehicle_detail!$A$2:$DK$101,78,FALSE)</f>
        <v>[]</v>
      </c>
      <c r="Z66" t="str">
        <f>VLOOKUP(A66,vehicle_detail!$A$2:$DK$101,80,FALSE)</f>
        <v>["001", "004", "005", "006", "007", "008", "014", "015", "017", "019", "020", "022", "023", "024", "026", "027", "030", "031", "032", "033", "034", "055", "056", "057", "058", "062", "068", "072", "074", "077", "081", "082", "084", "085", "088", "094", "096", "097"]</v>
      </c>
    </row>
    <row r="67" spans="1:26">
      <c r="A67" t="s">
        <v>108</v>
      </c>
      <c r="B67" t="str">
        <f>VLOOKUP(A67,vehicle_detail!$A$2:$DK$101,111,FALSE)</f>
        <v>269라2787</v>
      </c>
      <c r="C67" t="str">
        <f>VLOOKUP(A67,vehicle_detail!$A$2:$DK$101,101,FALSE)</f>
        <v>쥐색</v>
      </c>
      <c r="D67" t="str">
        <f>VLOOKUP(A67,list_100!$B$2:$P$101,9,FALSE)</f>
        <v>현대</v>
      </c>
      <c r="E67" t="str">
        <f>VLOOKUP(A67,list_100!$B$2:$P$101,11,FALSE)</f>
        <v>더 뉴 팰리세이드</v>
      </c>
      <c r="F67" t="str">
        <f>VLOOKUP(A67,list_100!$B$2:$P$101,2,FALSE)</f>
        <v>디젤 2.2 2WD</v>
      </c>
      <c r="G67" t="str">
        <f>VLOOKUP(A67,list_100!$B$2:$P$101,3,FALSE)</f>
        <v>익스클루시브</v>
      </c>
      <c r="H67" t="str">
        <f>VLOOKUP(A67,list_100!$B$2:$P$101,6,FALSE)</f>
        <v>2023</v>
      </c>
      <c r="I67" t="str">
        <f>VLOOKUP(A67,list_100!$B$2:$P$101,7,FALSE)</f>
        <v>디젤</v>
      </c>
      <c r="J67" t="str">
        <f>VLOOKUP(A67,vehicle_detail!$A$2:$DK$101,100,FALSE)</f>
        <v>SUV</v>
      </c>
      <c r="K67" s="2">
        <f>VLOOKUP(A67,list_100!$B$2:$P$101,15,FALSE)</f>
        <v>3400</v>
      </c>
      <c r="L67" s="2">
        <f>VLOOKUP(A67,list_100!$B$2:$P$101,10,FALSE)</f>
        <v>77880</v>
      </c>
      <c r="M67">
        <f>VLOOKUP(A67,list_100!$B$2:$V$101,21,FALSE)</f>
        <v>202304</v>
      </c>
      <c r="N67" t="str">
        <f>VLOOKUP(A67,seller_user!$A$2:$Y$101,2,FALSE)</f>
        <v>rnjsduddls</v>
      </c>
      <c r="O67" t="str">
        <f>VLOOKUP(A67,seller_user!$A$2:$Y$101,25,FALSE)</f>
        <v>권영인</v>
      </c>
      <c r="P67" t="str">
        <f>VLOOKUP(A67,seller_user!$A$2:$Y$101,3,FALSE)</f>
        <v>[{"companyType": "FIRM", "companyName": "(주)시우자동차", "brn": "347-87-00540", "associationCd": 27, "associationName": "인천엠파크 자동차매매사업조합", "associationPhoneNumber": "032-715-5533", "certificatedEmployeeNumber": "IM17-02903", "address": {"zipcode": "22836 ", "location": null, "sido": "인천", "sigungu": "서구", "eupmyeondong": null, "eupmyeondongEtc": null, "address": "인천 서구", "buildingCd": "2826011200101500019000001"}, "contacts": null, "used": true}]</v>
      </c>
      <c r="Q67" t="str">
        <f>VLOOKUP(A67,inspection_detail_raw!A67:BK166,4,FALSE)</f>
        <v>["TABLE"]</v>
      </c>
      <c r="R67" t="str">
        <f>IFERROR("https://ci.encar.com"&amp;VLOOKUP(A67,'성능점검 이미지정보'!A:E,2,FALSE),"")</f>
        <v/>
      </c>
      <c r="S67" t="str">
        <f>VLOOKUP(A67,inspection_detail_raw!A67:BK166,50,FALSE)</f>
        <v>[{"code": "1", "title": "렌트"}]</v>
      </c>
      <c r="T67" t="str">
        <f>IFERROR(VLOOKUP(TEXT(A67,"0"), inspection_detail_raw!A:BK, 51, FALSE), "알수없음")</f>
        <v>20260424</v>
      </c>
      <c r="U67" t="str">
        <f>IFERROR(VLOOKUP(TEXT(A67,"0"), inspection_detail_raw!A:BK, 52, FALSE), "알수없음")</f>
        <v>20250425</v>
      </c>
      <c r="V67" t="str">
        <f>IFERROR(VLOOKUP(TEXT(A67,"0"), inspection_detail_raw!A:BK, 54, FALSE), "알수없음")</f>
        <v>KMHR281ABPU624522</v>
      </c>
      <c r="W67" t="b">
        <f>IFERROR(VLOOKUP(TEXT(A67,"0"), inspection_detail_raw!A:BK, 57, FALSE), "알수없음")</f>
        <v>1</v>
      </c>
      <c r="X67" t="str">
        <f>IFERROR(VLOOKUP(TEXT(A67,"0"), inspection_detail_raw!A:BK, 59, FALSE), "알수없음")</f>
        <v>[{"type": {"code": "P021", "title": "프론트 휀더(좌)"}, "statusTypes": [{"code": "X", "title": "교환(교체)"}], "attributes": ["RANK_ONE"]}]</v>
      </c>
      <c r="Y67" t="str">
        <f>VLOOKUP(A67,vehicle_detail!$A$2:$DK$101,78,FALSE)</f>
        <v>["1063"]</v>
      </c>
      <c r="Z67" t="str">
        <f>VLOOKUP(A67,vehicle_detail!$A$2:$DK$101,80,FALSE)</f>
        <v>["001", "004", "005", "006", "007", "008", "014", "015", "017", "019", "020", "021", "022", "023", "024", "026", "027", "030", "031", "032", "033", "034", "051", "055", "056", "057", "058", "062", "063", "072", "074", "075", "077", "079", "082", "083", "084", "085", "086", "087", "088", "094", "096", "097"]</v>
      </c>
    </row>
    <row r="68" spans="1:26">
      <c r="A68" t="s">
        <v>110</v>
      </c>
      <c r="B68" t="str">
        <f>VLOOKUP(A68,vehicle_detail!$A$2:$DK$101,111,FALSE)</f>
        <v>236모7370</v>
      </c>
      <c r="C68" t="str">
        <f>VLOOKUP(A68,vehicle_detail!$A$2:$DK$101,101,FALSE)</f>
        <v>흰색</v>
      </c>
      <c r="D68" t="str">
        <f>VLOOKUP(A68,list_100!$B$2:$P$101,9,FALSE)</f>
        <v>현대</v>
      </c>
      <c r="E68" t="str">
        <f>VLOOKUP(A68,list_100!$B$2:$P$101,11,FALSE)</f>
        <v>싼타페 (MX5)</v>
      </c>
      <c r="F68" t="str">
        <f>VLOOKUP(A68,list_100!$B$2:$P$101,2,FALSE)</f>
        <v>가솔린 2.5T 4WD</v>
      </c>
      <c r="G68" t="str">
        <f>VLOOKUP(A68,list_100!$B$2:$P$101,3,FALSE)</f>
        <v>캘리그래피</v>
      </c>
      <c r="H68" t="str">
        <f>VLOOKUP(A68,list_100!$B$2:$P$101,6,FALSE)</f>
        <v>2024</v>
      </c>
      <c r="I68" t="str">
        <f>VLOOKUP(A68,list_100!$B$2:$P$101,7,FALSE)</f>
        <v>가솔린</v>
      </c>
      <c r="J68" t="str">
        <f>VLOOKUP(A68,vehicle_detail!$A$2:$DK$101,100,FALSE)</f>
        <v>SUV</v>
      </c>
      <c r="K68" s="2">
        <f>VLOOKUP(A68,list_100!$B$2:$P$101,15,FALSE)</f>
        <v>4299</v>
      </c>
      <c r="L68" s="2">
        <f>VLOOKUP(A68,list_100!$B$2:$P$101,10,FALSE)</f>
        <v>19480</v>
      </c>
      <c r="M68">
        <f>VLOOKUP(A68,list_100!$B$2:$V$101,21,FALSE)</f>
        <v>202403</v>
      </c>
      <c r="N68" t="str">
        <f>VLOOKUP(A68,seller_user!$A$2:$Y$101,2,FALSE)</f>
        <v>mmm486</v>
      </c>
      <c r="O68" t="str">
        <f>VLOOKUP(A68,seller_user!$A$2:$Y$101,25,FALSE)</f>
        <v>서민호</v>
      </c>
      <c r="P68" t="str">
        <f>VLOOKUP(A68,seller_user!$A$2:$Y$101,3,FALSE)</f>
        <v>[{"companyType": "FIRM", "companyName": "카보스", "brn": "772-45-00386", "associationCd": 23, "associationName": null, "associationPhoneNumber": null, "certificatedEmployeeNumber": "1905300036", "address": {"zipcode": "41076 ", "location": null, "sido": "대구", "sigungu": "동구", "eupmyeondong": null, "eupmyeondongEtc": null, "address": "대구 동구", "buildingCd": "2714012400104800001025121"}, "contacts": null, "used": true}]</v>
      </c>
      <c r="Q68" t="str">
        <f>VLOOKUP(A68,inspection_detail_raw!A68:BK167,4,FALSE)</f>
        <v>["TABLE"]</v>
      </c>
      <c r="R68" t="str">
        <f>IFERROR("https://ci.encar.com"&amp;VLOOKUP(A68,'성능점검 이미지정보'!A:E,2,FALSE),"")</f>
        <v/>
      </c>
      <c r="S68" t="str">
        <f>VLOOKUP(A68,inspection_detail_raw!A68:BK167,50,FALSE)</f>
        <v>[{"code": "1", "title": "렌트"}]</v>
      </c>
      <c r="T68" t="str">
        <f>IFERROR(VLOOKUP(TEXT(A68,"0"), inspection_detail_raw!A:BK, 51, FALSE), "알수없음")</f>
        <v>20260327</v>
      </c>
      <c r="U68" t="str">
        <f>IFERROR(VLOOKUP(TEXT(A68,"0"), inspection_detail_raw!A:BK, 52, FALSE), "알수없음")</f>
        <v>20240328</v>
      </c>
      <c r="V68" t="str">
        <f>IFERROR(VLOOKUP(TEXT(A68,"0"), inspection_detail_raw!A:BK, 54, FALSE), "알수없음")</f>
        <v>KMHP581LHRU</v>
      </c>
      <c r="W68" t="b">
        <f>IFERROR(VLOOKUP(TEXT(A68,"0"), inspection_detail_raw!A:BK, 57, FALSE), "알수없음")</f>
        <v>0</v>
      </c>
      <c r="X68" t="str">
        <f>IFERROR(VLOOKUP(TEXT(A68,"0"), inspection_detail_raw!A:BK, 59, FALSE), "알수없음")</f>
        <v>[]</v>
      </c>
      <c r="Y68" t="str">
        <f>VLOOKUP(A68,vehicle_detail!$A$2:$DK$101,78,FALSE)</f>
        <v>["10008", "10005", "1118", "10003", "10002", "10004", "10001", "1120"]</v>
      </c>
      <c r="Z68" t="str">
        <f>VLOOKUP(A68,vehicle_detail!$A$2:$DK$101,80,FALSE)</f>
        <v>["001", "004", "005", "006", "007", "008", "010", "014", "015", "017", "019", "020", "021", "022", "023", "024", "026", "027", "030", "031", "032", "033", "034", "035", "051", "055", "056", "057", "058", "059", "062", "063", "072", "074", "075", "077", "079", "081", "082", "083", "084", "085", "086", "087", "088", "089", "091", "092", "094", "095", "096", "097"]</v>
      </c>
    </row>
    <row r="69" spans="1:26">
      <c r="A69" t="s">
        <v>112</v>
      </c>
      <c r="B69" t="str">
        <f>VLOOKUP(A69,vehicle_detail!$A$2:$DK$101,111,FALSE)</f>
        <v>145어6438</v>
      </c>
      <c r="C69" t="str">
        <f>VLOOKUP(A69,vehicle_detail!$A$2:$DK$101,101,FALSE)</f>
        <v>쥐색</v>
      </c>
      <c r="D69" t="str">
        <f>VLOOKUP(A69,list_100!$B$2:$P$101,9,FALSE)</f>
        <v>현대</v>
      </c>
      <c r="E69" t="str">
        <f>VLOOKUP(A69,list_100!$B$2:$P$101,11,FALSE)</f>
        <v>더 뉴 그랜저 IG</v>
      </c>
      <c r="F69" t="str">
        <f>VLOOKUP(A69,list_100!$B$2:$P$101,2,FALSE)</f>
        <v>2.5</v>
      </c>
      <c r="G69" t="str">
        <f>VLOOKUP(A69,list_100!$B$2:$P$101,3,FALSE)</f>
        <v>프리미엄 초이스</v>
      </c>
      <c r="H69" t="str">
        <f>VLOOKUP(A69,list_100!$B$2:$P$101,6,FALSE)</f>
        <v>2020</v>
      </c>
      <c r="I69" t="str">
        <f>VLOOKUP(A69,list_100!$B$2:$P$101,7,FALSE)</f>
        <v>가솔린</v>
      </c>
      <c r="J69" t="str">
        <f>VLOOKUP(A69,vehicle_detail!$A$2:$DK$101,100,FALSE)</f>
        <v>대형차</v>
      </c>
      <c r="K69" s="2">
        <f>VLOOKUP(A69,list_100!$B$2:$P$101,15,FALSE)</f>
        <v>1860</v>
      </c>
      <c r="L69" s="2">
        <f>VLOOKUP(A69,list_100!$B$2:$P$101,10,FALSE)</f>
        <v>60089</v>
      </c>
      <c r="M69">
        <f>VLOOKUP(A69,list_100!$B$2:$V$101,21,FALSE)</f>
        <v>202006</v>
      </c>
      <c r="N69" t="str">
        <f>VLOOKUP(A69,seller_user!$A$2:$Y$101,2,FALSE)</f>
        <v>ashssw</v>
      </c>
      <c r="O69" t="str">
        <f>VLOOKUP(A69,seller_user!$A$2:$Y$101,25,FALSE)</f>
        <v>서송원</v>
      </c>
      <c r="P69" t="str">
        <f>VLOOKUP(A69,seller_user!$A$2:$Y$101,3,FALSE)</f>
        <v>[{"companyType": "FIRM", "companyName": "베스트자동차", "brn": "125-22-49022", "associationCd": 28, "associationName": "경기 자동차매매사업조합", "associationPhoneNumber": "031-242-8940", "certificatedEmployeeNumber": "10-031-03778", "address": {"zipcode": "17878 ", "location": null, "sido": "경기", "sigungu": "평택시", "eupmyeondong": null, "eupmyeondongEtc": null, "address": "경기 평택시", "buildingCd": "4122011700101210008001618"}, "contacts": null, "used": true}]</v>
      </c>
      <c r="Q69" t="str">
        <f>VLOOKUP(A69,inspection_detail_raw!A69:BK168,4,FALSE)</f>
        <v>["TABLE"]</v>
      </c>
      <c r="R69" t="str">
        <f>IFERROR("https://ci.encar.com"&amp;VLOOKUP(A69,'성능점검 이미지정보'!A:E,2,FALSE),"")</f>
        <v/>
      </c>
      <c r="S69" t="str">
        <f>VLOOKUP(A69,inspection_detail_raw!A69:BK168,50,FALSE)</f>
        <v>[]</v>
      </c>
      <c r="T69" t="str">
        <f>IFERROR(VLOOKUP(TEXT(A69,"0"), inspection_detail_raw!A:BK, 51, FALSE), "알수없음")</f>
        <v>20260418</v>
      </c>
      <c r="U69" t="str">
        <f>IFERROR(VLOOKUP(TEXT(A69,"0"), inspection_detail_raw!A:BK, 52, FALSE), "알수없음")</f>
        <v>20240419</v>
      </c>
      <c r="V69" t="str">
        <f>IFERROR(VLOOKUP(TEXT(A69,"0"), inspection_detail_raw!A:BK, 54, FALSE), "알수없음")</f>
        <v>363712</v>
      </c>
      <c r="W69" t="b">
        <f>IFERROR(VLOOKUP(TEXT(A69,"0"), inspection_detail_raw!A:BK, 57, FALSE), "알수없음")</f>
        <v>1</v>
      </c>
      <c r="X69" t="str">
        <f>IFERROR(VLOOKUP(TEXT(A69,"0"), inspection_detail_raw!A:BK, 59, FALSE), "알수없음")</f>
        <v>[{"type": {"code": "P033", "title": "리어 도어(좌)"}, "statusTypes": [{"code": "X", "title": "교환(교체)"}], "attributes": ["RANK_ONE"]}, {"type": {"code": "P041", "title": "트렁크 리드"}, "statusTypes": [{"code": "X", "title": "교환(교체)"}], "attributes": ["RANK_ONE"]}, {"type": {"code": "P031", "title": "프론트 도어(좌)"}, "statusTypes": [{"code": "X", "title": "교환(교체)"}], "attributes": ["RANK_ONE"]}, {"type": {"code": "P061", "title": "쿼터 패널(좌)"}, "statusTypes": [{"code": "X", "title": "교환(교체)"}], "attributes": ["RANK_TWO"]}]</v>
      </c>
      <c r="Y69" t="str">
        <f>VLOOKUP(A69,vehicle_detail!$A$2:$DK$101,78,FALSE)</f>
        <v>["1042", "1040"]</v>
      </c>
      <c r="Z69" t="str">
        <f>VLOOKUP(A69,vehicle_detail!$A$2:$DK$101,80,FALSE)</f>
        <v>["001", "004", "005", "006", "007", "008", "014", "015", "017", "019", "020", "021", "022", "023", "024", "026", "027", "030", "031", "032", "033", "034", "035", "055", "056", "057", "058", "059", "063", "072", "074", "075", "077", "079", "081", "082", "084", "085", "086", "087", "088", "094", "096", "097"]</v>
      </c>
    </row>
    <row r="70" spans="1:26">
      <c r="A70" t="s">
        <v>114</v>
      </c>
      <c r="B70" t="str">
        <f>VLOOKUP(A70,vehicle_detail!$A$2:$DK$101,111,FALSE)</f>
        <v>57하7482</v>
      </c>
      <c r="C70" t="str">
        <f>VLOOKUP(A70,vehicle_detail!$A$2:$DK$101,101,FALSE)</f>
        <v>검정색</v>
      </c>
      <c r="D70" t="str">
        <f>VLOOKUP(A70,list_100!$B$2:$P$101,9,FALSE)</f>
        <v>현대</v>
      </c>
      <c r="E70" t="str">
        <f>VLOOKUP(A70,list_100!$B$2:$P$101,11,FALSE)</f>
        <v>그랜저 IG</v>
      </c>
      <c r="F70" t="str">
        <f>VLOOKUP(A70,list_100!$B$2:$P$101,2,FALSE)</f>
        <v>3.0 LPi 모던 (렌터카)</v>
      </c>
      <c r="G70">
        <f>VLOOKUP(A70,list_100!$B$2:$P$101,3,FALSE)</f>
        <v>0</v>
      </c>
      <c r="H70" t="str">
        <f>VLOOKUP(A70,list_100!$B$2:$P$101,6,FALSE)</f>
        <v>2018</v>
      </c>
      <c r="I70" t="str">
        <f>VLOOKUP(A70,list_100!$B$2:$P$101,7,FALSE)</f>
        <v>LPG(일반인 구입)</v>
      </c>
      <c r="J70" t="str">
        <f>VLOOKUP(A70,vehicle_detail!$A$2:$DK$101,100,FALSE)</f>
        <v>대형차</v>
      </c>
      <c r="K70" s="2">
        <f>VLOOKUP(A70,list_100!$B$2:$P$101,15,FALSE)</f>
        <v>2895</v>
      </c>
      <c r="L70" s="2">
        <f>VLOOKUP(A70,list_100!$B$2:$P$101,10,FALSE)</f>
        <v>180599</v>
      </c>
      <c r="M70">
        <f>VLOOKUP(A70,list_100!$B$2:$V$101,21,FALSE)</f>
        <v>201805</v>
      </c>
      <c r="N70" t="str">
        <f>VLOOKUP(A70,seller_user!$A$2:$Y$101,2,FALSE)</f>
        <v>icar07072</v>
      </c>
      <c r="O70" t="str">
        <f>VLOOKUP(A70,seller_user!$A$2:$Y$101,25,FALSE)</f>
        <v>전담 매니저</v>
      </c>
      <c r="P70" t="str">
        <f>VLOOKUP(A70,seller_user!$A$2:$Y$101,3,FALSE)</f>
        <v>[]</v>
      </c>
      <c r="Q70">
        <f>VLOOKUP(A70,inspection_detail_raw!A70:BK169,4,FALSE)</f>
        <v>0</v>
      </c>
      <c r="R70" t="str">
        <f>IFERROR("https://ci.encar.com"&amp;VLOOKUP(A70,'성능점검 이미지정보'!A:E,2,FALSE),"")</f>
        <v/>
      </c>
      <c r="S70">
        <f>VLOOKUP(A70,inspection_detail_raw!A70:BK169,50,FALSE)</f>
        <v>0</v>
      </c>
      <c r="T70">
        <f>IFERROR(VLOOKUP(TEXT(A70,"0"), inspection_detail_raw!A:BK, 51, FALSE), "알수없음")</f>
        <v>0</v>
      </c>
      <c r="U70">
        <f>IFERROR(VLOOKUP(TEXT(A70,"0"), inspection_detail_raw!A:BK, 52, FALSE), "알수없음")</f>
        <v>0</v>
      </c>
      <c r="V70">
        <f>IFERROR(VLOOKUP(TEXT(A70,"0"), inspection_detail_raw!A:BK, 54, FALSE), "알수없음")</f>
        <v>0</v>
      </c>
      <c r="W70">
        <f>IFERROR(VLOOKUP(TEXT(A70,"0"), inspection_detail_raw!A:BK, 57, FALSE), "알수없음")</f>
        <v>0</v>
      </c>
      <c r="X70">
        <f>IFERROR(VLOOKUP(TEXT(A70,"0"), inspection_detail_raw!A:BK, 59, FALSE), "알수없음")</f>
        <v>0</v>
      </c>
      <c r="Y70" t="str">
        <f>VLOOKUP(A70,vehicle_detail!$A$2:$DK$101,78,FALSE)</f>
        <v>[]</v>
      </c>
      <c r="Z70" t="str">
        <f>VLOOKUP(A70,vehicle_detail!$A$2:$DK$101,80,FALSE)</f>
        <v>["001", "004", "005", "006", "007", "008", "014", "015", "017", "019", "020", "021", "022", "023", "024", "026", "027", "030", "031", "032", "033", "034", "035", "055", "056", "057", "058", "063", "068", "071", "072", "074", "077", "082", "085", "096", "097"]</v>
      </c>
    </row>
    <row r="71" spans="1:26">
      <c r="A71" t="s">
        <v>116</v>
      </c>
      <c r="B71" t="str">
        <f>VLOOKUP(A71,vehicle_detail!$A$2:$DK$101,111,FALSE)</f>
        <v>10호0563</v>
      </c>
      <c r="C71" t="str">
        <f>VLOOKUP(A71,vehicle_detail!$A$2:$DK$101,101,FALSE)</f>
        <v>쥐색</v>
      </c>
      <c r="D71" t="str">
        <f>VLOOKUP(A71,list_100!$B$2:$P$101,9,FALSE)</f>
        <v>현대</v>
      </c>
      <c r="E71" t="str">
        <f>VLOOKUP(A71,list_100!$B$2:$P$101,11,FALSE)</f>
        <v>더 뉴 그랜저 IG</v>
      </c>
      <c r="F71" t="str">
        <f>VLOOKUP(A71,list_100!$B$2:$P$101,2,FALSE)</f>
        <v>3.0 LPi (렌터카용)</v>
      </c>
      <c r="G71" t="str">
        <f>VLOOKUP(A71,list_100!$B$2:$P$101,3,FALSE)</f>
        <v>모던</v>
      </c>
      <c r="H71" t="str">
        <f>VLOOKUP(A71,list_100!$B$2:$P$101,6,FALSE)</f>
        <v>2019</v>
      </c>
      <c r="I71" t="str">
        <f>VLOOKUP(A71,list_100!$B$2:$P$101,7,FALSE)</f>
        <v>LPG(일반인 구입)</v>
      </c>
      <c r="J71" t="str">
        <f>VLOOKUP(A71,vehicle_detail!$A$2:$DK$101,100,FALSE)</f>
        <v>대형차</v>
      </c>
      <c r="K71" s="2">
        <f>VLOOKUP(A71,list_100!$B$2:$P$101,15,FALSE)</f>
        <v>2905</v>
      </c>
      <c r="L71" s="2">
        <f>VLOOKUP(A71,list_100!$B$2:$P$101,10,FALSE)</f>
        <v>166185</v>
      </c>
      <c r="M71">
        <f>VLOOKUP(A71,list_100!$B$2:$V$101,21,FALSE)</f>
        <v>201906</v>
      </c>
      <c r="N71" t="str">
        <f>VLOOKUP(A71,seller_user!$A$2:$Y$101,2,FALSE)</f>
        <v>icar07072</v>
      </c>
      <c r="O71" t="str">
        <f>VLOOKUP(A71,seller_user!$A$2:$Y$101,25,FALSE)</f>
        <v>전담 매니저</v>
      </c>
      <c r="P71" t="str">
        <f>VLOOKUP(A71,seller_user!$A$2:$Y$101,3,FALSE)</f>
        <v>[]</v>
      </c>
      <c r="Q71">
        <f>VLOOKUP(A71,inspection_detail_raw!A71:BK170,4,FALSE)</f>
        <v>0</v>
      </c>
      <c r="R71" t="str">
        <f>IFERROR("https://ci.encar.com"&amp;VLOOKUP(A71,'성능점검 이미지정보'!A:E,2,FALSE),"")</f>
        <v/>
      </c>
      <c r="S71">
        <f>VLOOKUP(A71,inspection_detail_raw!A71:BK170,50,FALSE)</f>
        <v>0</v>
      </c>
      <c r="T71">
        <f>IFERROR(VLOOKUP(TEXT(A71,"0"), inspection_detail_raw!A:BK, 51, FALSE), "알수없음")</f>
        <v>0</v>
      </c>
      <c r="U71">
        <f>IFERROR(VLOOKUP(TEXT(A71,"0"), inspection_detail_raw!A:BK, 52, FALSE), "알수없음")</f>
        <v>0</v>
      </c>
      <c r="V71">
        <f>IFERROR(VLOOKUP(TEXT(A71,"0"), inspection_detail_raw!A:BK, 54, FALSE), "알수없음")</f>
        <v>0</v>
      </c>
      <c r="W71">
        <f>IFERROR(VLOOKUP(TEXT(A71,"0"), inspection_detail_raw!A:BK, 57, FALSE), "알수없음")</f>
        <v>0</v>
      </c>
      <c r="X71">
        <f>IFERROR(VLOOKUP(TEXT(A71,"0"), inspection_detail_raw!A:BK, 59, FALSE), "알수없음")</f>
        <v>0</v>
      </c>
      <c r="Y71" t="str">
        <f>VLOOKUP(A71,vehicle_detail!$A$2:$DK$101,78,FALSE)</f>
        <v>[]</v>
      </c>
      <c r="Z71" t="str">
        <f>VLOOKUP(A71,vehicle_detail!$A$2:$DK$101,80,FALSE)</f>
        <v>["001", "004", "005", "006", "007", "008", "014", "015", "017", "019", "020", "021", "022", "023", "024", "026", "027", "030", "031", "032", "033", "034", "035", "055", "056", "057", "058", "063", "068", "071", "072", "074", "077", "082", "085", "094", "096", "097"]</v>
      </c>
    </row>
    <row r="72" spans="1:26">
      <c r="A72" t="s">
        <v>117</v>
      </c>
      <c r="B72" t="str">
        <f>VLOOKUP(A72,vehicle_detail!$A$2:$DK$101,111,FALSE)</f>
        <v>369주9506</v>
      </c>
      <c r="C72" t="str">
        <f>VLOOKUP(A72,vehicle_detail!$A$2:$DK$101,101,FALSE)</f>
        <v>흰색</v>
      </c>
      <c r="D72" t="str">
        <f>VLOOKUP(A72,list_100!$B$2:$P$101,9,FALSE)</f>
        <v>현대</v>
      </c>
      <c r="E72" t="str">
        <f>VLOOKUP(A72,list_100!$B$2:$P$101,11,FALSE)</f>
        <v>아반떼 (CN7)</v>
      </c>
      <c r="F72" t="str">
        <f>VLOOKUP(A72,list_100!$B$2:$P$101,2,FALSE)</f>
        <v>1.6</v>
      </c>
      <c r="G72" t="str">
        <f>VLOOKUP(A72,list_100!$B$2:$P$101,3,FALSE)</f>
        <v>모던</v>
      </c>
      <c r="H72" t="str">
        <f>VLOOKUP(A72,list_100!$B$2:$P$101,6,FALSE)</f>
        <v>2021</v>
      </c>
      <c r="I72" t="str">
        <f>VLOOKUP(A72,list_100!$B$2:$P$101,7,FALSE)</f>
        <v>가솔린</v>
      </c>
      <c r="J72" t="str">
        <f>VLOOKUP(A72,vehicle_detail!$A$2:$DK$101,100,FALSE)</f>
        <v>준중형차</v>
      </c>
      <c r="K72" s="2">
        <f>VLOOKUP(A72,list_100!$B$2:$P$101,15,FALSE)</f>
        <v>1650</v>
      </c>
      <c r="L72" s="2">
        <f>VLOOKUP(A72,list_100!$B$2:$P$101,10,FALSE)</f>
        <v>58676</v>
      </c>
      <c r="M72">
        <f>VLOOKUP(A72,list_100!$B$2:$V$101,21,FALSE)</f>
        <v>202010</v>
      </c>
      <c r="N72" t="str">
        <f>VLOOKUP(A72,seller_user!$A$2:$Y$101,2,FALSE)</f>
        <v>wlghks7592</v>
      </c>
      <c r="O72" t="str">
        <f>VLOOKUP(A72,seller_user!$A$2:$Y$101,25,FALSE)</f>
        <v>권지환</v>
      </c>
      <c r="P72" t="str">
        <f>VLOOKUP(A72,seller_user!$A$2:$Y$101,3,FALSE)</f>
        <v>[{"companyType": "FIRM", "companyName": "(주)고려자동차", "brn": "503-81-15938", "associationCd": 3, "associationName": null, "associationPhoneNumber": null, "certificatedEmployeeNumber": "24-053-00327", "address": {"zipcode": "42721 ", "location": null, "sido": "대구", "sigungu": "달서구", "eupmyeondong": null, "eupmyeondongEtc": null, "address": "대구 달서구", "buildingCd": "2729012100110130000004084"}, "contacts": null, "used": true}]</v>
      </c>
      <c r="Q72" t="str">
        <f>VLOOKUP(A72,inspection_detail_raw!A72:BK171,4,FALSE)</f>
        <v>["TABLE"]</v>
      </c>
      <c r="R72" t="str">
        <f>IFERROR("https://ci.encar.com"&amp;VLOOKUP(A72,'성능점검 이미지정보'!A:E,2,FALSE),"")</f>
        <v/>
      </c>
      <c r="S72" t="str">
        <f>VLOOKUP(A72,inspection_detail_raw!A72:BK171,50,FALSE)</f>
        <v>[{"code": "1", "title": "렌트"}]</v>
      </c>
      <c r="T72" t="str">
        <f>IFERROR(VLOOKUP(TEXT(A72,"0"), inspection_detail_raw!A:BK, 51, FALSE), "알수없음")</f>
        <v>20261014</v>
      </c>
      <c r="U72" t="str">
        <f>IFERROR(VLOOKUP(TEXT(A72,"0"), inspection_detail_raw!A:BK, 52, FALSE), "알수없음")</f>
        <v>20251015</v>
      </c>
      <c r="V72" t="str">
        <f>IFERROR(VLOOKUP(TEXT(A72,"0"), inspection_detail_raw!A:BK, 54, FALSE), "알수없음")</f>
        <v>072597</v>
      </c>
      <c r="W72" t="b">
        <f>IFERROR(VLOOKUP(TEXT(A72,"0"), inspection_detail_raw!A:BK, 57, FALSE), "알수없음")</f>
        <v>0</v>
      </c>
      <c r="X72" t="str">
        <f>IFERROR(VLOOKUP(TEXT(A72,"0"), inspection_detail_raw!A:BK, 59, FALSE), "알수없음")</f>
        <v>[]</v>
      </c>
      <c r="Y72" t="str">
        <f>VLOOKUP(A72,vehicle_detail!$A$2:$DK$101,78,FALSE)</f>
        <v>["10001", "10003", "10008", "10002"]</v>
      </c>
      <c r="Z72" t="str">
        <f>VLOOKUP(A72,vehicle_detail!$A$2:$DK$101,80,FALSE)</f>
        <v>["001", "004", "005", "006", "007", "008", "014", "015", "017", "019", "020", "021", "022", "023", "024", "026", "027", "030", "031", "032", "033", "034", "051", "055", "056", "057", "058", "068", "072", "074", "077", "082", "085", "088", "096", "097"]</v>
      </c>
    </row>
    <row r="73" spans="1:26">
      <c r="A73" t="s">
        <v>119</v>
      </c>
      <c r="B73" t="str">
        <f>VLOOKUP(A73,vehicle_detail!$A$2:$DK$101,111,FALSE)</f>
        <v>23러7004</v>
      </c>
      <c r="C73" t="str">
        <f>VLOOKUP(A73,vehicle_detail!$A$2:$DK$101,101,FALSE)</f>
        <v>흰색</v>
      </c>
      <c r="D73" t="str">
        <f>VLOOKUP(A73,list_100!$B$2:$P$101,9,FALSE)</f>
        <v>현대</v>
      </c>
      <c r="E73" t="str">
        <f>VLOOKUP(A73,list_100!$B$2:$P$101,11,FALSE)</f>
        <v>쏘나타 뉴 라이즈</v>
      </c>
      <c r="F73" t="str">
        <f>VLOOKUP(A73,list_100!$B$2:$P$101,2,FALSE)</f>
        <v>2.0 스마트 스페셜</v>
      </c>
      <c r="G73">
        <f>VLOOKUP(A73,list_100!$B$2:$P$101,3,FALSE)</f>
        <v>0</v>
      </c>
      <c r="H73" t="str">
        <f>VLOOKUP(A73,list_100!$B$2:$P$101,6,FALSE)</f>
        <v>2019</v>
      </c>
      <c r="I73" t="str">
        <f>VLOOKUP(A73,list_100!$B$2:$P$101,7,FALSE)</f>
        <v>가솔린</v>
      </c>
      <c r="J73" t="str">
        <f>VLOOKUP(A73,vehicle_detail!$A$2:$DK$101,100,FALSE)</f>
        <v>중형차</v>
      </c>
      <c r="K73" s="2">
        <f>VLOOKUP(A73,list_100!$B$2:$P$101,15,FALSE)</f>
        <v>1200</v>
      </c>
      <c r="L73" s="2">
        <f>VLOOKUP(A73,list_100!$B$2:$P$101,10,FALSE)</f>
        <v>106485</v>
      </c>
      <c r="M73">
        <f>VLOOKUP(A73,list_100!$B$2:$V$101,21,FALSE)</f>
        <v>201806</v>
      </c>
      <c r="N73" t="str">
        <f>VLOOKUP(A73,seller_user!$A$2:$Y$101,2,FALSE)</f>
        <v>smasu2024</v>
      </c>
      <c r="O73" t="str">
        <f>VLOOKUP(A73,seller_user!$A$2:$Y$101,25,FALSE)</f>
        <v>성항현</v>
      </c>
      <c r="P73" t="str">
        <f>VLOOKUP(A73,seller_user!$A$2:$Y$101,3,FALSE)</f>
        <v>[{"companyType": "FIRM", "companyName": "주식회사 투게더카", "brn": "487-87-03092", "associationCd": 27, "associationName": null, "associationPhoneNumber": null, "certificatedEmployeeNumber": "IM24-00095", "address": {"zipcode": "22840 ", "location": null, "sido": "인천", "sigungu": "서구", "eupmyeondong": null, "eupmyeondongEtc": null, "address": "인천 서구 봉수대로 158", "buildingCd": "2826011200101780105000001"}, "contacts": null, "used": true}]</v>
      </c>
      <c r="Q73" t="str">
        <f>VLOOKUP(A73,inspection_detail_raw!A73:BK172,4,FALSE)</f>
        <v>["TABLE"]</v>
      </c>
      <c r="R73" t="str">
        <f>IFERROR("https://ci.encar.com"&amp;VLOOKUP(A73,'성능점검 이미지정보'!A:E,2,FALSE),"")</f>
        <v>https://ci.encar.com/carsdata/cars/inspection/40943677_photoFront.jpg</v>
      </c>
      <c r="S73" t="str">
        <f>VLOOKUP(A73,inspection_detail_raw!A73:BK172,50,FALSE)</f>
        <v>[]</v>
      </c>
      <c r="T73" t="str">
        <f>IFERROR(VLOOKUP(TEXT(A73,"0"), inspection_detail_raw!A:BK, 51, FALSE), "알수없음")</f>
        <v>20260830</v>
      </c>
      <c r="U73" t="str">
        <f>IFERROR(VLOOKUP(TEXT(A73,"0"), inspection_detail_raw!A:BK, 52, FALSE), "알수없음")</f>
        <v>20240831</v>
      </c>
      <c r="V73" t="str">
        <f>IFERROR(VLOOKUP(TEXT(A73,"0"), inspection_detail_raw!A:BK, 54, FALSE), "알수없음")</f>
        <v>KMHE241CBKA499037</v>
      </c>
      <c r="W73" t="b">
        <f>IFERROR(VLOOKUP(TEXT(A73,"0"), inspection_detail_raw!A:BK, 57, FALSE), "알수없음")</f>
        <v>1</v>
      </c>
      <c r="X73" t="str">
        <f>IFERROR(VLOOKUP(TEXT(A73,"0"), inspection_detail_raw!A:BK, 59, FALSE), "알수없음")</f>
        <v>[{"type": {"code": "P021", "title": "프론트 휀더(좌)"}, "statusTypes": [{"code": "X", "title": "교환(교체)"}], "attributes": ["RANK_ONE"]}]</v>
      </c>
      <c r="Y73" t="str">
        <f>VLOOKUP(A73,vehicle_detail!$A$2:$DK$101,78,FALSE)</f>
        <v>["1119", "1108"]</v>
      </c>
      <c r="Z73" t="str">
        <f>VLOOKUP(A73,vehicle_detail!$A$2:$DK$101,80,FALSE)</f>
        <v>["001", "004", "005", "006", "007", "008", "010", "014", "015", "017", "019", "020", "022", "023", "024", "026", "027", "031", "032", "033", "034", "055", "056", "057", "058", "068", "071", "072", "074", "077", "082", "096", "097"]</v>
      </c>
    </row>
    <row r="74" spans="1:26">
      <c r="A74" t="s">
        <v>121</v>
      </c>
      <c r="B74" t="str">
        <f>VLOOKUP(A74,vehicle_detail!$A$2:$DK$101,111,FALSE)</f>
        <v>324도9561</v>
      </c>
      <c r="C74" t="str">
        <f>VLOOKUP(A74,vehicle_detail!$A$2:$DK$101,101,FALSE)</f>
        <v>담녹색</v>
      </c>
      <c r="D74" t="str">
        <f>VLOOKUP(A74,list_100!$B$2:$P$101,9,FALSE)</f>
        <v>현대</v>
      </c>
      <c r="E74" t="str">
        <f>VLOOKUP(A74,list_100!$B$2:$P$101,11,FALSE)</f>
        <v>캐스퍼</v>
      </c>
      <c r="F74" t="str">
        <f>VLOOKUP(A74,list_100!$B$2:$P$101,2,FALSE)</f>
        <v>터보 인스퍼레이션</v>
      </c>
      <c r="G74">
        <f>VLOOKUP(A74,list_100!$B$2:$P$101,3,FALSE)</f>
        <v>0</v>
      </c>
      <c r="H74" t="str">
        <f>VLOOKUP(A74,list_100!$B$2:$P$101,6,FALSE)</f>
        <v>2023</v>
      </c>
      <c r="I74" t="str">
        <f>VLOOKUP(A74,list_100!$B$2:$P$101,7,FALSE)</f>
        <v>가솔린</v>
      </c>
      <c r="J74" t="str">
        <f>VLOOKUP(A74,vehicle_detail!$A$2:$DK$101,100,FALSE)</f>
        <v>경차</v>
      </c>
      <c r="K74" s="2">
        <f>VLOOKUP(A74,list_100!$B$2:$P$101,15,FALSE)</f>
        <v>1410</v>
      </c>
      <c r="L74" s="2">
        <f>VLOOKUP(A74,list_100!$B$2:$P$101,10,FALSE)</f>
        <v>109945</v>
      </c>
      <c r="M74">
        <f>VLOOKUP(A74,list_100!$B$2:$V$101,21,FALSE)</f>
        <v>202202</v>
      </c>
      <c r="N74" t="str">
        <f>VLOOKUP(A74,seller_user!$A$2:$Y$101,2,FALSE)</f>
        <v>is98381</v>
      </c>
      <c r="O74" t="str">
        <f>VLOOKUP(A74,seller_user!$A$2:$Y$101,25,FALSE)</f>
        <v>김정재</v>
      </c>
      <c r="P74" t="str">
        <f>VLOOKUP(A74,seller_user!$A$2:$Y$101,3,FALSE)</f>
        <v>[{"companyType": "FIRM", "companyName": "케이모터스", "brn": "888-43-00843", "associationCd": 3, "associationName": null, "associationPhoneNumber": null, "certificatedEmployeeNumber": "2505300097", "address": {"zipcode": "41081 ", "location": null, "sido": "대구", "sigungu": "동구", "eupmyeondong": null, "eupmyeondongEtc": null, "address": "대구 동구 안심로 327", "buildingCd": "2714012300103000007000005"}, "contacts": null, "used": true}]</v>
      </c>
      <c r="Q74" t="str">
        <f>VLOOKUP(A74,inspection_detail_raw!A74:BK173,4,FALSE)</f>
        <v>["TABLE"]</v>
      </c>
      <c r="R74" t="str">
        <f>IFERROR("https://ci.encar.com"&amp;VLOOKUP(A74,'성능점검 이미지정보'!A:E,2,FALSE),"")</f>
        <v>https://ci.encar.com/carsdata/cars/inspection/40951140_photoFront.jpg</v>
      </c>
      <c r="S74" t="str">
        <f>VLOOKUP(A74,inspection_detail_raw!A74:BK173,50,FALSE)</f>
        <v>[]</v>
      </c>
      <c r="T74" t="str">
        <f>IFERROR(VLOOKUP(TEXT(A74,"0"), inspection_detail_raw!A:BK, 51, FALSE), "알수없음")</f>
        <v>20260215</v>
      </c>
      <c r="U74" t="str">
        <f>IFERROR(VLOOKUP(TEXT(A74,"0"), inspection_detail_raw!A:BK, 52, FALSE), "알수없음")</f>
        <v>20220216</v>
      </c>
      <c r="V74" t="str">
        <f>IFERROR(VLOOKUP(TEXT(A74,"0"), inspection_detail_raw!A:BK, 54, FALSE), "알수없음")</f>
        <v>KMHB5516BPW016652</v>
      </c>
      <c r="W74" t="b">
        <f>IFERROR(VLOOKUP(TEXT(A74,"0"), inspection_detail_raw!A:BK, 57, FALSE), "알수없음")</f>
        <v>0</v>
      </c>
      <c r="X74" t="str">
        <f>IFERROR(VLOOKUP(TEXT(A74,"0"), inspection_detail_raw!A:BK, 59, FALSE), "알수없음")</f>
        <v>[]</v>
      </c>
      <c r="Y74" t="str">
        <f>VLOOKUP(A74,vehicle_detail!$A$2:$DK$101,78,FALSE)</f>
        <v>["1005", "10001"]</v>
      </c>
      <c r="Z74" t="str">
        <f>VLOOKUP(A74,vehicle_detail!$A$2:$DK$101,80,FALSE)</f>
        <v>["001", "004", "005", "006", "007", "008", "010", "014", "015", "017", "019", "020", "022", "023", "024", "026", "027", "031", "032", "033", "034", "055", "056", "057", "058", "062", "072", "074", "079", "082", "086", "088", "096", "097"]</v>
      </c>
    </row>
    <row r="75" spans="1:26">
      <c r="A75" t="s">
        <v>123</v>
      </c>
      <c r="B75" t="str">
        <f>VLOOKUP(A75,vehicle_detail!$A$2:$DK$101,111,FALSE)</f>
        <v>49루7514</v>
      </c>
      <c r="C75" t="str">
        <f>VLOOKUP(A75,vehicle_detail!$A$2:$DK$101,101,FALSE)</f>
        <v>검정색</v>
      </c>
      <c r="D75" t="str">
        <f>VLOOKUP(A75,list_100!$B$2:$P$101,9,FALSE)</f>
        <v>현대</v>
      </c>
      <c r="E75" t="str">
        <f>VLOOKUP(A75,list_100!$B$2:$P$101,11,FALSE)</f>
        <v>제네시스</v>
      </c>
      <c r="F75" t="str">
        <f>VLOOKUP(A75,list_100!$B$2:$P$101,2,FALSE)</f>
        <v>BH330 럭셔리</v>
      </c>
      <c r="G75" t="str">
        <f>VLOOKUP(A75,list_100!$B$2:$P$101,3,FALSE)</f>
        <v>기본형</v>
      </c>
      <c r="H75" t="str">
        <f>VLOOKUP(A75,list_100!$B$2:$P$101,6,FALSE)</f>
        <v>2012</v>
      </c>
      <c r="I75" t="str">
        <f>VLOOKUP(A75,list_100!$B$2:$P$101,7,FALSE)</f>
        <v>가솔린</v>
      </c>
      <c r="J75" t="str">
        <f>VLOOKUP(A75,vehicle_detail!$A$2:$DK$101,100,FALSE)</f>
        <v>대형차</v>
      </c>
      <c r="K75" s="2">
        <f>VLOOKUP(A75,list_100!$B$2:$P$101,15,FALSE)</f>
        <v>479</v>
      </c>
      <c r="L75" s="2">
        <f>VLOOKUP(A75,list_100!$B$2:$P$101,10,FALSE)</f>
        <v>125368</v>
      </c>
      <c r="M75">
        <f>VLOOKUP(A75,list_100!$B$2:$V$101,21,FALSE)</f>
        <v>201107</v>
      </c>
      <c r="N75" t="str">
        <f>VLOOKUP(A75,seller_user!$A$2:$Y$101,2,FALSE)</f>
        <v>whwqkq18</v>
      </c>
      <c r="O75" t="str">
        <f>VLOOKUP(A75,seller_user!$A$2:$Y$101,25,FALSE)</f>
        <v>임여신</v>
      </c>
      <c r="P75" t="str">
        <f>VLOOKUP(A75,seller_user!$A$2:$Y$101,3,FALSE)</f>
        <v>[{"companyType": "FIRM", "companyName": "국민중고차", "brn": "775-86-03366", "associationCd": 28, "associationName": null, "associationPhoneNumber": null, "certificatedEmployeeNumber": "GC2503077", "address": {"zipcode": "16613 ", "location": null, "sido": "경기", "sigungu": "수원시 권선구", "eupmyeondong": null, "eupmyeondongEtc": null, "address": "경기 수원시 권선구 권선로 343", "buildingCd": "4111313100100660000078173"}, "contacts": null, "used": true}]</v>
      </c>
      <c r="Q75" t="str">
        <f>VLOOKUP(A75,inspection_detail_raw!A75:BK174,4,FALSE)</f>
        <v>["TABLE"]</v>
      </c>
      <c r="R75" t="str">
        <f>IFERROR("https://ci.encar.com"&amp;VLOOKUP(A75,'성능점검 이미지정보'!A:E,2,FALSE),"")</f>
        <v>https://ci.encar.com/carsdata/cars/inspection/41289569_photoFront.jpg</v>
      </c>
      <c r="S75" t="str">
        <f>VLOOKUP(A75,inspection_detail_raw!A75:BK174,50,FALSE)</f>
        <v>[]</v>
      </c>
      <c r="T75" t="str">
        <f>IFERROR(VLOOKUP(TEXT(A75,"0"), inspection_detail_raw!A:BK, 51, FALSE), "알수없음")</f>
        <v>20270711</v>
      </c>
      <c r="U75" t="str">
        <f>IFERROR(VLOOKUP(TEXT(A75,"0"), inspection_detail_raw!A:BK, 52, FALSE), "알수없음")</f>
        <v>20250712</v>
      </c>
      <c r="V75" t="str">
        <f>IFERROR(VLOOKUP(TEXT(A75,"0"), inspection_detail_raw!A:BK, 54, FALSE), "알수없음")</f>
        <v>KMHGB41BBCU156006</v>
      </c>
      <c r="W75" t="b">
        <f>IFERROR(VLOOKUP(TEXT(A75,"0"), inspection_detail_raw!A:BK, 57, FALSE), "알수없음")</f>
        <v>0</v>
      </c>
      <c r="X75" t="str">
        <f>IFERROR(VLOOKUP(TEXT(A75,"0"), inspection_detail_raw!A:BK, 59, FALSE), "알수없음")</f>
        <v>[]</v>
      </c>
      <c r="Y75" t="str">
        <f>VLOOKUP(A75,vehicle_detail!$A$2:$DK$101,78,FALSE)</f>
        <v>["1082", "1112"]</v>
      </c>
      <c r="Z75" t="str">
        <f>VLOOKUP(A75,vehicle_detail!$A$2:$DK$101,80,FALSE)</f>
        <v>["001", "003", "005", "006", "007", "008", "010", "014", "015", "017", "019", "020", "021", "022", "023", "024", "026", "027", "029", "030", "031", "032", "034", "035", "051", "055", "056", "057", "058", "063", "068", "071", "072", "074", "077", "081", "082", "083", "085", "096", "097"]</v>
      </c>
    </row>
    <row r="76" spans="1:26">
      <c r="A76" t="s">
        <v>125</v>
      </c>
      <c r="B76" t="str">
        <f>VLOOKUP(A76,vehicle_detail!$A$2:$DK$101,111,FALSE)</f>
        <v>136라7028</v>
      </c>
      <c r="C76" t="str">
        <f>VLOOKUP(A76,vehicle_detail!$A$2:$DK$101,101,FALSE)</f>
        <v>은색</v>
      </c>
      <c r="D76" t="str">
        <f>VLOOKUP(A76,list_100!$B$2:$P$101,9,FALSE)</f>
        <v>현대</v>
      </c>
      <c r="E76" t="str">
        <f>VLOOKUP(A76,list_100!$B$2:$P$101,11,FALSE)</f>
        <v>제네시스 DH</v>
      </c>
      <c r="F76" t="str">
        <f>VLOOKUP(A76,list_100!$B$2:$P$101,2,FALSE)</f>
        <v>G380 프레스티지 AWD</v>
      </c>
      <c r="G76">
        <f>VLOOKUP(A76,list_100!$B$2:$P$101,3,FALSE)</f>
        <v>0</v>
      </c>
      <c r="H76" t="str">
        <f>VLOOKUP(A76,list_100!$B$2:$P$101,6,FALSE)</f>
        <v>2014</v>
      </c>
      <c r="I76" t="str">
        <f>VLOOKUP(A76,list_100!$B$2:$P$101,7,FALSE)</f>
        <v>가솔린</v>
      </c>
      <c r="J76" t="str">
        <f>VLOOKUP(A76,vehicle_detail!$A$2:$DK$101,100,FALSE)</f>
        <v>대형차</v>
      </c>
      <c r="K76" s="2">
        <f>VLOOKUP(A76,list_100!$B$2:$P$101,15,FALSE)</f>
        <v>879</v>
      </c>
      <c r="L76" s="2">
        <f>VLOOKUP(A76,list_100!$B$2:$P$101,10,FALSE)</f>
        <v>181453</v>
      </c>
      <c r="M76">
        <f>VLOOKUP(A76,list_100!$B$2:$V$101,21,FALSE)</f>
        <v>201402</v>
      </c>
      <c r="N76" t="str">
        <f>VLOOKUP(A76,seller_user!$A$2:$Y$101,2,FALSE)</f>
        <v>cht0109</v>
      </c>
      <c r="O76" t="str">
        <f>VLOOKUP(A76,seller_user!$A$2:$Y$101,25,FALSE)</f>
        <v>이정규</v>
      </c>
      <c r="P76" t="str">
        <f>VLOOKUP(A76,seller_user!$A$2:$Y$101,3,FALSE)</f>
        <v>[{"companyType": "FIRM", "companyName": "준 모터스", "brn": "604-24-30355", "associationCd": 3, "associationName": null, "associationPhoneNumber": null, "certificatedEmployeeNumber": "2405300141", "address": {"zipcode": "42721 ", "location": null, "sido": "대구", "sigungu": "달서구", "eupmyeondong": null, "eupmyeondongEtc": null, "address": "대구 달서구", "buildingCd": "2729012100110130000004084"}, "contacts": null, "used": true}]</v>
      </c>
      <c r="Q76">
        <f>VLOOKUP(A76,inspection_detail_raw!A76:BK175,4,FALSE)</f>
        <v>0</v>
      </c>
      <c r="R76" t="str">
        <f>IFERROR("https://ci.encar.com"&amp;VLOOKUP(A76,'성능점검 이미지정보'!A:E,2,FALSE),"")</f>
        <v/>
      </c>
      <c r="S76">
        <f>VLOOKUP(A76,inspection_detail_raw!A76:BK175,50,FALSE)</f>
        <v>0</v>
      </c>
      <c r="T76">
        <f>IFERROR(VLOOKUP(TEXT(A76,"0"), inspection_detail_raw!A:BK, 51, FALSE), "알수없음")</f>
        <v>0</v>
      </c>
      <c r="U76">
        <f>IFERROR(VLOOKUP(TEXT(A76,"0"), inspection_detail_raw!A:BK, 52, FALSE), "알수없음")</f>
        <v>0</v>
      </c>
      <c r="V76">
        <f>IFERROR(VLOOKUP(TEXT(A76,"0"), inspection_detail_raw!A:BK, 54, FALSE), "알수없음")</f>
        <v>0</v>
      </c>
      <c r="W76">
        <f>IFERROR(VLOOKUP(TEXT(A76,"0"), inspection_detail_raw!A:BK, 57, FALSE), "알수없음")</f>
        <v>0</v>
      </c>
      <c r="X76">
        <f>IFERROR(VLOOKUP(TEXT(A76,"0"), inspection_detail_raw!A:BK, 59, FALSE), "알수없음")</f>
        <v>0</v>
      </c>
      <c r="Y76" t="str">
        <f>VLOOKUP(A76,vehicle_detail!$A$2:$DK$101,78,FALSE)</f>
        <v>["1001", "1002"]</v>
      </c>
      <c r="Z76" t="str">
        <f>VLOOKUP(A76,vehicle_detail!$A$2:$DK$101,80,FALSE)</f>
        <v>["001", "003", "004", "005", "006", "007", "008", "010", "014", "015", "017", "019", "020", "021", "022", "023", "024", "026", "027", "029", "030", "031", "032", "033", "034", "035", "051", "055", "056", "057", "058", "059", "063", "071", "072", "074", "077", "079", "080", "081", "082", "083", "084", "085", "086", "087", "088", "092", "093", "094", "096", "097"]</v>
      </c>
    </row>
    <row r="77" spans="1:26">
      <c r="A77" t="s">
        <v>127</v>
      </c>
      <c r="B77" t="str">
        <f>VLOOKUP(A77,vehicle_detail!$A$2:$DK$101,111,FALSE)</f>
        <v>239가1233</v>
      </c>
      <c r="C77" t="str">
        <f>VLOOKUP(A77,vehicle_detail!$A$2:$DK$101,101,FALSE)</f>
        <v>검정색</v>
      </c>
      <c r="D77" t="str">
        <f>VLOOKUP(A77,list_100!$B$2:$P$101,9,FALSE)</f>
        <v>현대</v>
      </c>
      <c r="E77" t="str">
        <f>VLOOKUP(A77,list_100!$B$2:$P$101,11,FALSE)</f>
        <v>더 뉴 그랜저 IG 하이브리드</v>
      </c>
      <c r="F77" t="str">
        <f>VLOOKUP(A77,list_100!$B$2:$P$101,2,FALSE)</f>
        <v>프리미엄</v>
      </c>
      <c r="G77">
        <f>VLOOKUP(A77,list_100!$B$2:$P$101,3,FALSE)</f>
        <v>0</v>
      </c>
      <c r="H77" t="str">
        <f>VLOOKUP(A77,list_100!$B$2:$P$101,6,FALSE)</f>
        <v>2022</v>
      </c>
      <c r="I77" t="str">
        <f>VLOOKUP(A77,list_100!$B$2:$P$101,7,FALSE)</f>
        <v>가솔린+전기</v>
      </c>
      <c r="J77" t="str">
        <f>VLOOKUP(A77,vehicle_detail!$A$2:$DK$101,100,FALSE)</f>
        <v>대형차</v>
      </c>
      <c r="K77" s="2">
        <f>VLOOKUP(A77,list_100!$B$2:$P$101,15,FALSE)</f>
        <v>2450</v>
      </c>
      <c r="L77" s="2">
        <f>VLOOKUP(A77,list_100!$B$2:$P$101,10,FALSE)</f>
        <v>79829</v>
      </c>
      <c r="M77">
        <f>VLOOKUP(A77,list_100!$B$2:$V$101,21,FALSE)</f>
        <v>202205</v>
      </c>
      <c r="N77" t="str">
        <f>VLOOKUP(A77,seller_user!$A$2:$Y$101,2,FALSE)</f>
        <v>lotte03</v>
      </c>
      <c r="O77" t="str">
        <f>VLOOKUP(A77,seller_user!$A$2:$Y$101,25,FALSE)</f>
        <v>T카 부천매매센터</v>
      </c>
      <c r="P77" t="str">
        <f>VLOOKUP(A77,seller_user!$A$2:$Y$101,3,FALSE)</f>
        <v>[{"companyType": "FIRM", "companyName": "롯데렌탈", "brn": "214-87-79183", "associationCd": 19, "associationName": null, "associationPhoneNumber": null, "certificatedEmployeeNumber": "GG25-00352", "address": {"zipcode": "14449 ", "location": null, "sido": "경기", "sigungu": "부천시", "eupmyeondong": null, "eupmyeondongEtc": null, "address": "경기 부천시 오정구", "buildingCd": "4119910700103660001044268"}, "contacts": null, "used": true}]</v>
      </c>
      <c r="Q77" t="str">
        <f>VLOOKUP(A77,inspection_detail_raw!A77:BK176,4,FALSE)</f>
        <v>["IMAGE"]</v>
      </c>
      <c r="R77" t="str">
        <f>IFERROR("https://ci.encar.com"&amp;VLOOKUP(A77,'성능점검 이미지정보'!A:E,2,FALSE),"")</f>
        <v>https://ci.encar.com/carsdata/cars/inspection/41295732_photoPerform1.jpg</v>
      </c>
      <c r="S77">
        <f>VLOOKUP(A77,inspection_detail_raw!A77:BK176,50,FALSE)</f>
        <v>0</v>
      </c>
      <c r="T77">
        <f>IFERROR(VLOOKUP(TEXT(A77,"0"), inspection_detail_raw!A:BK, 51, FALSE), "알수없음")</f>
        <v>0</v>
      </c>
      <c r="U77">
        <f>IFERROR(VLOOKUP(TEXT(A77,"0"), inspection_detail_raw!A:BK, 52, FALSE), "알수없음")</f>
        <v>0</v>
      </c>
      <c r="V77">
        <f>IFERROR(VLOOKUP(TEXT(A77,"0"), inspection_detail_raw!A:BK, 54, FALSE), "알수없음")</f>
        <v>0</v>
      </c>
      <c r="W77" t="b">
        <f>IFERROR(VLOOKUP(TEXT(A77,"0"), inspection_detail_raw!A:BK, 57, FALSE), "알수없음")</f>
        <v>0</v>
      </c>
      <c r="X77" t="str">
        <f>IFERROR(VLOOKUP(TEXT(A77,"0"), inspection_detail_raw!A:BK, 59, FALSE), "알수없음")</f>
        <v>[]</v>
      </c>
      <c r="Y77" t="str">
        <f>VLOOKUP(A77,vehicle_detail!$A$2:$DK$101,78,FALSE)</f>
        <v>["10004"]</v>
      </c>
      <c r="Z77" t="str">
        <f>VLOOKUP(A77,vehicle_detail!$A$2:$DK$101,80,FALSE)</f>
        <v>["001", "004", "005", "006", "007", "008", "014", "015", "017", "019", "020", "021", "022", "023", "024", "026", "027", "030", "031", "032", "033", "034", "035", "055", "056", "057", "058", "059", "063", "068", "072", "074", "075", "077", "081", "082", "084", "085", "088", "094", "096", "097"]</v>
      </c>
    </row>
    <row r="78" spans="1:26">
      <c r="A78" t="s">
        <v>129</v>
      </c>
      <c r="B78" t="str">
        <f>VLOOKUP(A78,vehicle_detail!$A$2:$DK$101,111,FALSE)</f>
        <v>240오6264</v>
      </c>
      <c r="C78" t="str">
        <f>VLOOKUP(A78,vehicle_detail!$A$2:$DK$101,101,FALSE)</f>
        <v>검정색</v>
      </c>
      <c r="D78" t="str">
        <f>VLOOKUP(A78,list_100!$B$2:$P$101,9,FALSE)</f>
        <v>현대</v>
      </c>
      <c r="E78" t="str">
        <f>VLOOKUP(A78,list_100!$B$2:$P$101,11,FALSE)</f>
        <v>올 뉴 투싼</v>
      </c>
      <c r="F78" t="str">
        <f>VLOOKUP(A78,list_100!$B$2:$P$101,2,FALSE)</f>
        <v>디젤 1.7 2WD</v>
      </c>
      <c r="G78" t="str">
        <f>VLOOKUP(A78,list_100!$B$2:$P$101,3,FALSE)</f>
        <v>스마트</v>
      </c>
      <c r="H78" t="str">
        <f>VLOOKUP(A78,list_100!$B$2:$P$101,6,FALSE)</f>
        <v>2018</v>
      </c>
      <c r="I78" t="str">
        <f>VLOOKUP(A78,list_100!$B$2:$P$101,7,FALSE)</f>
        <v>디젤</v>
      </c>
      <c r="J78" t="str">
        <f>VLOOKUP(A78,vehicle_detail!$A$2:$DK$101,100,FALSE)</f>
        <v>SUV</v>
      </c>
      <c r="K78" s="2">
        <f>VLOOKUP(A78,list_100!$B$2:$P$101,15,FALSE)</f>
        <v>1090</v>
      </c>
      <c r="L78" s="2">
        <f>VLOOKUP(A78,list_100!$B$2:$P$101,10,FALSE)</f>
        <v>117042</v>
      </c>
      <c r="M78">
        <f>VLOOKUP(A78,list_100!$B$2:$V$101,21,FALSE)</f>
        <v>201712</v>
      </c>
      <c r="N78" t="str">
        <f>VLOOKUP(A78,seller_user!$A$2:$Y$101,2,FALSE)</f>
        <v>hsj227</v>
      </c>
      <c r="O78" t="str">
        <f>VLOOKUP(A78,seller_user!$A$2:$Y$101,25,FALSE)</f>
        <v>황선재</v>
      </c>
      <c r="P78" t="str">
        <f>VLOOKUP(A78,seller_user!$A$2:$Y$101,3,FALSE)</f>
        <v>[{"companyType": "FIRM", "companyName": "세원자동차", "brn": "724-29-00432", "associationCd": 27, "associationName": "인천엠파크 자동차매매사업조합", "associationPhoneNumber": "032-715-5533", "certificatedEmployeeNumber": "IM25-00857", "address": {"zipcode": "22840 ", "location": null, "sido": "인천", "sigungu": "서구", "eupmyeondong": null, "eupmyeondongEtc": null, "address": "인천 서구 봉수대로 158", "buildingCd": "2826011200101780105000001"}, "contacts": null, "used": true}]</v>
      </c>
      <c r="Q78" t="str">
        <f>VLOOKUP(A78,inspection_detail_raw!A78:BK177,4,FALSE)</f>
        <v>["TABLE"]</v>
      </c>
      <c r="R78" t="str">
        <f>IFERROR("https://ci.encar.com"&amp;VLOOKUP(A78,'성능점검 이미지정보'!A:E,2,FALSE),"")</f>
        <v>https://ci.encar.com/carsdata/cars/inspection/41285870_photoFront.jpg</v>
      </c>
      <c r="S78" t="str">
        <f>VLOOKUP(A78,inspection_detail_raw!A78:BK177,50,FALSE)</f>
        <v>[{"code": "1", "title": "렌트"}]</v>
      </c>
      <c r="T78" t="str">
        <f>IFERROR(VLOOKUP(TEXT(A78,"0"), inspection_detail_raw!A:BK, 51, FALSE), "알수없음")</f>
        <v>20271210</v>
      </c>
      <c r="U78" t="str">
        <f>IFERROR(VLOOKUP(TEXT(A78,"0"), inspection_detail_raw!A:BK, 52, FALSE), "알수없음")</f>
        <v>20251211</v>
      </c>
      <c r="V78" t="str">
        <f>IFERROR(VLOOKUP(TEXT(A78,"0"), inspection_detail_raw!A:BK, 54, FALSE), "알수없음")</f>
        <v>KMHJ2815GJU616614</v>
      </c>
      <c r="W78" t="b">
        <f>IFERROR(VLOOKUP(TEXT(A78,"0"), inspection_detail_raw!A:BK, 57, FALSE), "알수없음")</f>
        <v>1</v>
      </c>
      <c r="X78" t="str">
        <f>IFERROR(VLOOKUP(TEXT(A78,"0"), inspection_detail_raw!A:BK, 59, FALSE), "알수없음")</f>
        <v>[{"type": {"code": "P021", "title": "프론트 휀더(좌)"}, "statusTypes": [{"code": "X", "title": "교환(교체)"}], "attributes": ["RANK_ONE"]}]</v>
      </c>
      <c r="Y78" t="str">
        <f>VLOOKUP(A78,vehicle_detail!$A$2:$DK$101,78,FALSE)</f>
        <v>[]</v>
      </c>
      <c r="Z78" t="str">
        <f>VLOOKUP(A78,vehicle_detail!$A$2:$DK$101,80,FALSE)</f>
        <v>["001", "003", "004", "005", "006", "007", "008", "014", "015", "017", "019", "020", "022", "024", "026", "027", "031", "032", "033", "055", "056", "057", "058", "071", "072", "096", "097"]</v>
      </c>
    </row>
    <row r="79" spans="1:26">
      <c r="A79" t="s">
        <v>131</v>
      </c>
      <c r="B79" t="str">
        <f>VLOOKUP(A79,vehicle_detail!$A$2:$DK$101,111,FALSE)</f>
        <v>02로6875</v>
      </c>
      <c r="C79" t="str">
        <f>VLOOKUP(A79,vehicle_detail!$A$2:$DK$101,101,FALSE)</f>
        <v>흰색</v>
      </c>
      <c r="D79" t="str">
        <f>VLOOKUP(A79,list_100!$B$2:$P$101,9,FALSE)</f>
        <v>현대</v>
      </c>
      <c r="E79" t="str">
        <f>VLOOKUP(A79,list_100!$B$2:$P$101,11,FALSE)</f>
        <v>그랜저 IG</v>
      </c>
      <c r="F79" t="str">
        <f>VLOOKUP(A79,list_100!$B$2:$P$101,2,FALSE)</f>
        <v>2.4 프리미엄</v>
      </c>
      <c r="G79" t="str">
        <f>VLOOKUP(A79,list_100!$B$2:$P$101,3,FALSE)</f>
        <v>(세부등급 없음)</v>
      </c>
      <c r="H79" t="str">
        <f>VLOOKUP(A79,list_100!$B$2:$P$101,6,FALSE)</f>
        <v>2018</v>
      </c>
      <c r="I79" t="str">
        <f>VLOOKUP(A79,list_100!$B$2:$P$101,7,FALSE)</f>
        <v>가솔린</v>
      </c>
      <c r="J79" t="str">
        <f>VLOOKUP(A79,vehicle_detail!$A$2:$DK$101,100,FALSE)</f>
        <v>대형차</v>
      </c>
      <c r="K79" s="2">
        <f>VLOOKUP(A79,list_100!$B$2:$P$101,15,FALSE)</f>
        <v>1090</v>
      </c>
      <c r="L79" s="2">
        <f>VLOOKUP(A79,list_100!$B$2:$P$101,10,FALSE)</f>
        <v>177496</v>
      </c>
      <c r="M79">
        <f>VLOOKUP(A79,list_100!$B$2:$V$101,21,FALSE)</f>
        <v>201707</v>
      </c>
      <c r="N79" t="str">
        <f>VLOOKUP(A79,seller_user!$A$2:$Y$101,2,FALSE)</f>
        <v>hnyjds</v>
      </c>
      <c r="O79" t="str">
        <f>VLOOKUP(A79,seller_user!$A$2:$Y$101,25,FALSE)</f>
        <v>전두석</v>
      </c>
      <c r="P79" t="str">
        <f>VLOOKUP(A79,seller_user!$A$2:$Y$101,3,FALSE)</f>
        <v>[{"companyType": "FIRM", "companyName": "드림모터스", "brn": "134-16-50712", "associationCd": 28, "associationName": null, "associationPhoneNumber": null, "certificatedEmployeeNumber": "GC20-00639", "address": {"zipcode": "15457 ", "location": null, "sido": "경기", "sigungu": "안산시", "eupmyeondong": null, "eupmyeondongEtc": null, "address": "경기 안산시 단원구 원포공원1로 16", "buildingCd": "4127310700107450003000001"}, "contacts": null, "used": true}]</v>
      </c>
      <c r="Q79" t="str">
        <f>VLOOKUP(A79,inspection_detail_raw!A79:BK178,4,FALSE)</f>
        <v>["TABLE"]</v>
      </c>
      <c r="R79" t="str">
        <f>IFERROR("https://ci.encar.com"&amp;VLOOKUP(A79,'성능점검 이미지정보'!A:E,2,FALSE),"")</f>
        <v>https://ci.encar.com/carsdata/cars/inspection/41279771_photoFront.jpg</v>
      </c>
      <c r="S79" t="str">
        <f>VLOOKUP(A79,inspection_detail_raw!A79:BK178,50,FALSE)</f>
        <v>[]</v>
      </c>
      <c r="T79" t="str">
        <f>IFERROR(VLOOKUP(TEXT(A79,"0"), inspection_detail_raw!A:BK, 51, FALSE), "알수없음")</f>
        <v>20270705</v>
      </c>
      <c r="U79" t="str">
        <f>IFERROR(VLOOKUP(TEXT(A79,"0"), inspection_detail_raw!A:BK, 52, FALSE), "알수없음")</f>
        <v>20250706</v>
      </c>
      <c r="V79" t="str">
        <f>IFERROR(VLOOKUP(TEXT(A79,"0"), inspection_detail_raw!A:BK, 54, FALSE), "알수없음")</f>
        <v>KMHF141CBJA089226</v>
      </c>
      <c r="W79" t="b">
        <f>IFERROR(VLOOKUP(TEXT(A79,"0"), inspection_detail_raw!A:BK, 57, FALSE), "알수없음")</f>
        <v>0</v>
      </c>
      <c r="X79" t="str">
        <f>IFERROR(VLOOKUP(TEXT(A79,"0"), inspection_detail_raw!A:BK, 59, FALSE), "알수없음")</f>
        <v>[]</v>
      </c>
      <c r="Y79" t="str">
        <f>VLOOKUP(A79,vehicle_detail!$A$2:$DK$101,78,FALSE)</f>
        <v>["1009", "1012", "1013"]</v>
      </c>
      <c r="Z79" t="str">
        <f>VLOOKUP(A79,vehicle_detail!$A$2:$DK$101,80,FALSE)</f>
        <v>["001", "004", "005", "006", "007", "008", "010", "014", "015", "017", "019", "020", "021", "022", "023", "024", "026", "027", "030", "031", "032", "033", "034", "035", "055", "056", "057", "058", "063", "071", "072", "074", "075", "077", "079", "081", "082", "085", "086", "088", "094", "096", "097"]</v>
      </c>
    </row>
    <row r="80" spans="1:26">
      <c r="A80" t="s">
        <v>133</v>
      </c>
      <c r="B80" t="str">
        <f>VLOOKUP(A80,vehicle_detail!$A$2:$DK$101,111,FALSE)</f>
        <v>96구7581</v>
      </c>
      <c r="C80" t="str">
        <f>VLOOKUP(A80,vehicle_detail!$A$2:$DK$101,101,FALSE)</f>
        <v>흰색</v>
      </c>
      <c r="D80" t="str">
        <f>VLOOKUP(A80,list_100!$B$2:$P$101,9,FALSE)</f>
        <v>현대</v>
      </c>
      <c r="E80" t="str">
        <f>VLOOKUP(A80,list_100!$B$2:$P$101,11,FALSE)</f>
        <v>그랜드 스타렉스</v>
      </c>
      <c r="F80" t="str">
        <f>VLOOKUP(A80,list_100!$B$2:$P$101,2,FALSE)</f>
        <v>5인승 밴</v>
      </c>
      <c r="G80" t="str">
        <f>VLOOKUP(A80,list_100!$B$2:$P$101,3,FALSE)</f>
        <v>스마트</v>
      </c>
      <c r="H80" t="str">
        <f>VLOOKUP(A80,list_100!$B$2:$P$101,6,FALSE)</f>
        <v>2017</v>
      </c>
      <c r="I80" t="str">
        <f>VLOOKUP(A80,list_100!$B$2:$P$101,7,FALSE)</f>
        <v>디젤</v>
      </c>
      <c r="J80" t="str">
        <f>VLOOKUP(A80,vehicle_detail!$A$2:$DK$101,100,FALSE)</f>
        <v>승합차</v>
      </c>
      <c r="K80" s="2">
        <f>VLOOKUP(A80,list_100!$B$2:$P$101,15,FALSE)</f>
        <v>1150</v>
      </c>
      <c r="L80" s="2">
        <f>VLOOKUP(A80,list_100!$B$2:$P$101,10,FALSE)</f>
        <v>124915</v>
      </c>
      <c r="M80">
        <f>VLOOKUP(A80,list_100!$B$2:$V$101,21,FALSE)</f>
        <v>201609</v>
      </c>
      <c r="N80" t="str">
        <f>VLOOKUP(A80,seller_user!$A$2:$Y$101,2,FALSE)</f>
        <v>CHO01020</v>
      </c>
      <c r="O80" t="str">
        <f>VLOOKUP(A80,seller_user!$A$2:$Y$101,25,FALSE)</f>
        <v>조권희</v>
      </c>
      <c r="P80" t="str">
        <f>VLOOKUP(A80,seller_user!$A$2:$Y$101,3,FALSE)</f>
        <v>[{"companyType": "FIRM", "companyName": "MK모터스", "brn": "135-28-60050", "associationCd": 28, "associationName": "경기 자동차매매사업조합", "associationPhoneNumber": "031-242-8940", "certificatedEmployeeNumber": "13-031-82055", "address": {"zipcode": "17095 ", "location": null, "sido": "경기", "sigungu": "용인시", "eupmyeondong": null, "eupmyeondongEtc": null, "address": "경기 용인시 기흥구 중부대로 242", "buildingCd": "4146311100100210001000001"}, "contacts": null, "used": true}]</v>
      </c>
      <c r="Q80" t="str">
        <f>VLOOKUP(A80,inspection_detail_raw!A80:BK179,4,FALSE)</f>
        <v>["TABLE"]</v>
      </c>
      <c r="R80" t="str">
        <f>IFERROR("https://ci.encar.com"&amp;VLOOKUP(A80,'성능점검 이미지정보'!A:E,2,FALSE),"")</f>
        <v/>
      </c>
      <c r="S80" t="str">
        <f>VLOOKUP(A80,inspection_detail_raw!A80:BK179,50,FALSE)</f>
        <v>[]</v>
      </c>
      <c r="T80" t="str">
        <f>IFERROR(VLOOKUP(TEXT(A80,"0"), inspection_detail_raw!A:BK, 51, FALSE), "알수없음")</f>
        <v>20250929</v>
      </c>
      <c r="U80" t="str">
        <f>IFERROR(VLOOKUP(TEXT(A80,"0"), inspection_detail_raw!A:BK, 52, FALSE), "알수없음")</f>
        <v>20240930</v>
      </c>
      <c r="V80" t="str">
        <f>IFERROR(VLOOKUP(TEXT(A80,"0"), inspection_detail_raw!A:BK, 54, FALSE), "알수없음")</f>
        <v>KMFWBX7KBHU862899</v>
      </c>
      <c r="W80" t="b">
        <f>IFERROR(VLOOKUP(TEXT(A80,"0"), inspection_detail_raw!A:BK, 57, FALSE), "알수없음")</f>
        <v>0</v>
      </c>
      <c r="X80" t="str">
        <f>IFERROR(VLOOKUP(TEXT(A80,"0"), inspection_detail_raw!A:BK, 59, FALSE), "알수없음")</f>
        <v>[]</v>
      </c>
      <c r="Y80" t="str">
        <f>VLOOKUP(A80,vehicle_detail!$A$2:$DK$101,78,FALSE)</f>
        <v>[]</v>
      </c>
      <c r="Z80" t="str">
        <f>VLOOKUP(A80,vehicle_detail!$A$2:$DK$101,80,FALSE)</f>
        <v>["001", "003", "006", "007", "008", "014", "015", "017", "019", "020", "022", "024", "026", "027", "032", "033", "055", "071", "072"]</v>
      </c>
    </row>
    <row r="81" spans="1:26">
      <c r="A81" t="s">
        <v>135</v>
      </c>
      <c r="B81" t="str">
        <f>VLOOKUP(A81,vehicle_detail!$A$2:$DK$101,111,FALSE)</f>
        <v>47수7009</v>
      </c>
      <c r="C81" t="str">
        <f>VLOOKUP(A81,vehicle_detail!$A$2:$DK$101,101,FALSE)</f>
        <v>은회색</v>
      </c>
      <c r="D81" t="str">
        <f>VLOOKUP(A81,list_100!$B$2:$P$101,9,FALSE)</f>
        <v>현대</v>
      </c>
      <c r="E81" t="str">
        <f>VLOOKUP(A81,list_100!$B$2:$P$101,11,FALSE)</f>
        <v>엑센트(신형)</v>
      </c>
      <c r="F81" t="str">
        <f>VLOOKUP(A81,list_100!$B$2:$P$101,2,FALSE)</f>
        <v>1.4 VVT 스마트</v>
      </c>
      <c r="G81">
        <f>VLOOKUP(A81,list_100!$B$2:$P$101,3,FALSE)</f>
        <v>0</v>
      </c>
      <c r="H81" t="str">
        <f>VLOOKUP(A81,list_100!$B$2:$P$101,6,FALSE)</f>
        <v>2014</v>
      </c>
      <c r="I81" t="str">
        <f>VLOOKUP(A81,list_100!$B$2:$P$101,7,FALSE)</f>
        <v>가솔린</v>
      </c>
      <c r="J81" t="str">
        <f>VLOOKUP(A81,vehicle_detail!$A$2:$DK$101,100,FALSE)</f>
        <v>소형차</v>
      </c>
      <c r="K81" s="2">
        <f>VLOOKUP(A81,list_100!$B$2:$P$101,15,FALSE)</f>
        <v>350</v>
      </c>
      <c r="L81" s="2">
        <f>VLOOKUP(A81,list_100!$B$2:$P$101,10,FALSE)</f>
        <v>154850</v>
      </c>
      <c r="M81">
        <f>VLOOKUP(A81,list_100!$B$2:$V$101,21,FALSE)</f>
        <v>201309</v>
      </c>
      <c r="N81" t="str">
        <f>VLOOKUP(A81,seller_user!$A$2:$Y$101,2,FALSE)</f>
        <v>chun9993</v>
      </c>
      <c r="O81" t="str">
        <f>VLOOKUP(A81,seller_user!$A$2:$Y$101,25,FALSE)</f>
        <v>김영춘</v>
      </c>
      <c r="P81" t="str">
        <f>VLOOKUP(A81,seller_user!$A$2:$Y$101,3,FALSE)</f>
        <v>[{"companyType": "FIRM", "companyName": "(주)더챔", "brn": "696-73-00256", "associationCd": 14, "associationName": null, "associationPhoneNumber": null, "certificatedEmployeeNumber": "CB22-00002", "address": {"zipcode": "28308 ", "location": null, "sido": "충북", "sigungu": "청주시 청원구", "eupmyeondong": null, "eupmyeondongEtc": null, "address": "충북 청주시 청원구 2순환로 292", "buildingCd": "4311113200101850022000001"}, "contacts": null, "used": true}]</v>
      </c>
      <c r="Q81" t="str">
        <f>VLOOKUP(A81,inspection_detail_raw!A81:BK180,4,FALSE)</f>
        <v>["TABLE"]</v>
      </c>
      <c r="R81" t="str">
        <f>IFERROR("https://ci.encar.com"&amp;VLOOKUP(A81,'성능점검 이미지정보'!A:E,2,FALSE),"")</f>
        <v>https://ci.encar.com/carsdata/cars/inspection/40648835_photoFront.jpg</v>
      </c>
      <c r="S81" t="str">
        <f>VLOOKUP(A81,inspection_detail_raw!A81:BK180,50,FALSE)</f>
        <v>[]</v>
      </c>
      <c r="T81" t="str">
        <f>IFERROR(VLOOKUP(TEXT(A81,"0"), inspection_detail_raw!A:BK, 51, FALSE), "알수없음")</f>
        <v>20250926</v>
      </c>
      <c r="U81" t="str">
        <f>IFERROR(VLOOKUP(TEXT(A81,"0"), inspection_detail_raw!A:BK, 52, FALSE), "알수없음")</f>
        <v>20230927</v>
      </c>
      <c r="V81" t="str">
        <f>IFERROR(VLOOKUP(TEXT(A81,"0"), inspection_detail_raw!A:BK, 54, FALSE), "알수없음")</f>
        <v>KMHCS41CBEU572105</v>
      </c>
      <c r="W81" t="b">
        <f>IFERROR(VLOOKUP(TEXT(A81,"0"), inspection_detail_raw!A:BK, 57, FALSE), "알수없음")</f>
        <v>1</v>
      </c>
      <c r="X81" t="str">
        <f>IFERROR(VLOOKUP(TEXT(A81,"0"), inspection_detail_raw!A:BK, 59, FALSE), "알수없음")</f>
        <v>[{"type": {"code": "P022", "title": "프론트 휀더(우)"}, "statusTypes": [{"code": "X", "title": "교환(교체)"}], "attributes": ["RANK_ONE"]}, {"type": {"code": "P032", "title": "프론트 도어(우)"}, "statusTypes": [{"code": "X", "title": "교환(교체)"}], "attributes": ["RANK_ONE"]}, {"type": {"code": "P082", "title": "사이드실 패널(우)"}, "statusTypes": [{"code": "X", "title": "교환(교체)"}], "attributes": ["RANK_TWO"]}]</v>
      </c>
      <c r="Y81" t="str">
        <f>VLOOKUP(A81,vehicle_detail!$A$2:$DK$101,78,FALSE)</f>
        <v>["1091"]</v>
      </c>
      <c r="Z81" t="str">
        <f>VLOOKUP(A81,vehicle_detail!$A$2:$DK$101,80,FALSE)</f>
        <v>["001", "006", "007", "008", "014", "019", "020", "026", "027", "032", "055", "056", "071", "072"]</v>
      </c>
    </row>
    <row r="82" spans="1:26">
      <c r="A82" t="s">
        <v>137</v>
      </c>
      <c r="B82" t="str">
        <f>VLOOKUP(A82,vehicle_detail!$A$2:$DK$101,111,FALSE)</f>
        <v>105다4923</v>
      </c>
      <c r="C82" t="str">
        <f>VLOOKUP(A82,vehicle_detail!$A$2:$DK$101,101,FALSE)</f>
        <v>쥐색</v>
      </c>
      <c r="D82" t="str">
        <f>VLOOKUP(A82,list_100!$B$2:$P$101,9,FALSE)</f>
        <v>현대</v>
      </c>
      <c r="E82" t="str">
        <f>VLOOKUP(A82,list_100!$B$2:$P$101,11,FALSE)</f>
        <v>더 뉴 그랜저 IG 하이브리드</v>
      </c>
      <c r="F82" t="str">
        <f>VLOOKUP(A82,list_100!$B$2:$P$101,2,FALSE)</f>
        <v>르블랑</v>
      </c>
      <c r="G82">
        <f>VLOOKUP(A82,list_100!$B$2:$P$101,3,FALSE)</f>
        <v>0</v>
      </c>
      <c r="H82" t="str">
        <f>VLOOKUP(A82,list_100!$B$2:$P$101,6,FALSE)</f>
        <v>2022</v>
      </c>
      <c r="I82" t="str">
        <f>VLOOKUP(A82,list_100!$B$2:$P$101,7,FALSE)</f>
        <v>가솔린+전기</v>
      </c>
      <c r="J82" t="str">
        <f>VLOOKUP(A82,vehicle_detail!$A$2:$DK$101,100,FALSE)</f>
        <v>대형차</v>
      </c>
      <c r="K82" s="2">
        <f>VLOOKUP(A82,list_100!$B$2:$P$101,15,FALSE)</f>
        <v>2990</v>
      </c>
      <c r="L82" s="2">
        <f>VLOOKUP(A82,list_100!$B$2:$P$101,10,FALSE)</f>
        <v>45009</v>
      </c>
      <c r="M82">
        <f>VLOOKUP(A82,list_100!$B$2:$V$101,21,FALSE)</f>
        <v>202202</v>
      </c>
      <c r="N82" t="str">
        <f>VLOOKUP(A82,seller_user!$A$2:$Y$101,2,FALSE)</f>
        <v>glakehtk95</v>
      </c>
      <c r="O82" t="str">
        <f>VLOOKUP(A82,seller_user!$A$2:$Y$101,25,FALSE)</f>
        <v>강민혁</v>
      </c>
      <c r="P82" t="str">
        <f>VLOOKUP(A82,seller_user!$A$2:$Y$101,3,FALSE)</f>
        <v>[{"companyType": "FIRM", "companyName": "명문자동차", "brn": "347-01-00338", "associationCd": 28, "associationName": null, "associationPhoneNumber": null, "certificatedEmployeeNumber": "GC24-01348", "address": {"zipcode": "16602 ", "location": null, "sido": "경기", "sigungu": "수원시 권선구", "eupmyeondong": null, "eupmyeondongEtc": null, "address": "경기 수원시 권선구 권선로 308", "buildingCd": "4111312800100140134000001"}, "contacts": null, "used": true}]</v>
      </c>
      <c r="Q82" t="str">
        <f>VLOOKUP(A82,inspection_detail_raw!A82:BK181,4,FALSE)</f>
        <v>["TABLE"]</v>
      </c>
      <c r="R82" t="str">
        <f>IFERROR("https://ci.encar.com"&amp;VLOOKUP(A82,'성능점검 이미지정보'!A:E,2,FALSE),"")</f>
        <v>https://ci.encar.com/carsdata/cars/inspection/40681023_photoFront.jpg</v>
      </c>
      <c r="S82" t="str">
        <f>VLOOKUP(A82,inspection_detail_raw!A82:BK181,50,FALSE)</f>
        <v>[{"code": "1", "title": "렌트"}]</v>
      </c>
      <c r="T82" t="str">
        <f>IFERROR(VLOOKUP(TEXT(A82,"0"), inspection_detail_raw!A:BK, 51, FALSE), "알수없음")</f>
        <v>20260215</v>
      </c>
      <c r="U82" t="str">
        <f>IFERROR(VLOOKUP(TEXT(A82,"0"), inspection_detail_raw!A:BK, 52, FALSE), "알수없음")</f>
        <v>20250216</v>
      </c>
      <c r="V82" t="str">
        <f>IFERROR(VLOOKUP(TEXT(A82,"0"), inspection_detail_raw!A:BK, 54, FALSE), "알수없음")</f>
        <v>KMHF1413BNA139279</v>
      </c>
      <c r="W82" t="b">
        <f>IFERROR(VLOOKUP(TEXT(A82,"0"), inspection_detail_raw!A:BK, 57, FALSE), "알수없음")</f>
        <v>0</v>
      </c>
      <c r="X82" t="str">
        <f>IFERROR(VLOOKUP(TEXT(A82,"0"), inspection_detail_raw!A:BK, 59, FALSE), "알수없음")</f>
        <v>[]</v>
      </c>
      <c r="Y82" t="str">
        <f>VLOOKUP(A82,vehicle_detail!$A$2:$DK$101,78,FALSE)</f>
        <v>["1038"]</v>
      </c>
      <c r="Z82" t="str">
        <f>VLOOKUP(A82,vehicle_detail!$A$2:$DK$101,80,FALSE)</f>
        <v>["001", "004", "005", "006", "007", "008", "010", "014", "015", "017", "019", "020", "021", "022", "023", "024", "026", "027", "030", "031", "032", "033", "034", "035", "055", "056", "057", "058", "059", "063", "072", "074", "075", "077", "079", "081", "082", "084", "085", "086", "087", "088", "094", "096", "097"]</v>
      </c>
    </row>
    <row r="83" spans="1:26">
      <c r="A83" t="s">
        <v>139</v>
      </c>
      <c r="B83" t="str">
        <f>VLOOKUP(A83,vehicle_detail!$A$2:$DK$101,111,FALSE)</f>
        <v>64고0423</v>
      </c>
      <c r="C83" t="str">
        <f>VLOOKUP(A83,vehicle_detail!$A$2:$DK$101,101,FALSE)</f>
        <v>흰색</v>
      </c>
      <c r="D83" t="str">
        <f>VLOOKUP(A83,list_100!$B$2:$P$101,9,FALSE)</f>
        <v>현대</v>
      </c>
      <c r="E83" t="str">
        <f>VLOOKUP(A83,list_100!$B$2:$P$101,11,FALSE)</f>
        <v>더 뉴 맥스크루즈</v>
      </c>
      <c r="F83" t="str">
        <f>VLOOKUP(A83,list_100!$B$2:$P$101,2,FALSE)</f>
        <v>가솔린 3.3 4WD</v>
      </c>
      <c r="G83" t="str">
        <f>VLOOKUP(A83,list_100!$B$2:$P$101,3,FALSE)</f>
        <v>프레스티지</v>
      </c>
      <c r="H83" t="str">
        <f>VLOOKUP(A83,list_100!$B$2:$P$101,6,FALSE)</f>
        <v>2017</v>
      </c>
      <c r="I83" t="str">
        <f>VLOOKUP(A83,list_100!$B$2:$P$101,7,FALSE)</f>
        <v>가솔린</v>
      </c>
      <c r="J83" t="str">
        <f>VLOOKUP(A83,vehicle_detail!$A$2:$DK$101,100,FALSE)</f>
        <v>SUV</v>
      </c>
      <c r="K83" s="2">
        <f>VLOOKUP(A83,list_100!$B$2:$P$101,15,FALSE)</f>
        <v>1190</v>
      </c>
      <c r="L83" s="2">
        <f>VLOOKUP(A83,list_100!$B$2:$P$101,10,FALSE)</f>
        <v>190569</v>
      </c>
      <c r="M83">
        <f>VLOOKUP(A83,list_100!$B$2:$V$101,21,FALSE)</f>
        <v>201609</v>
      </c>
      <c r="N83" t="str">
        <f>VLOOKUP(A83,seller_user!$A$2:$Y$101,2,FALSE)</f>
        <v>sunleepre</v>
      </c>
      <c r="O83" t="str">
        <f>VLOOKUP(A83,seller_user!$A$2:$Y$101,25,FALSE)</f>
        <v>이병주</v>
      </c>
      <c r="P83" t="str">
        <f>VLOOKUP(A83,seller_user!$A$2:$Y$101,3,FALSE)</f>
        <v>[{"companyType": "FIRM", "companyName": "(주)이수오토", "brn": "615-87-00540", "associationCd": 29, "associationName": "대전 자동차매매사업조합", "associationPhoneNumber": "042-222-1551", "certificatedEmployeeNumber": "da13-03369", "address": {"zipcode": "34202 ", "location": null, "sido": "대전", "sigungu": "유성구", "eupmyeondong": null, "eupmyeondongEtc": null, "address": "대전 유성구", "buildingCd": "3020011600101890003015610"}, "contacts": null, "used": true}]</v>
      </c>
      <c r="Q83" t="str">
        <f>VLOOKUP(A83,inspection_detail_raw!A83:BK182,4,FALSE)</f>
        <v>["TABLE"]</v>
      </c>
      <c r="R83" t="str">
        <f>IFERROR("https://ci.encar.com"&amp;VLOOKUP(A83,'성능점검 이미지정보'!A:E,2,FALSE),"")</f>
        <v/>
      </c>
      <c r="S83" t="str">
        <f>VLOOKUP(A83,inspection_detail_raw!A83:BK182,50,FALSE)</f>
        <v>[]</v>
      </c>
      <c r="T83" t="str">
        <f>IFERROR(VLOOKUP(TEXT(A83,"0"), inspection_detail_raw!A:BK, 51, FALSE), "알수없음")</f>
        <v>20260921</v>
      </c>
      <c r="U83" t="str">
        <f>IFERROR(VLOOKUP(TEXT(A83,"0"), inspection_detail_raw!A:BK, 52, FALSE), "알수없음")</f>
        <v>20240922</v>
      </c>
      <c r="V83" t="str">
        <f>IFERROR(VLOOKUP(TEXT(A83,"0"), inspection_detail_raw!A:BK, 54, FALSE), "알수없음")</f>
        <v>KMHSR81FDHU217036</v>
      </c>
      <c r="W83" t="b">
        <f>IFERROR(VLOOKUP(TEXT(A83,"0"), inspection_detail_raw!A:BK, 57, FALSE), "알수없음")</f>
        <v>1</v>
      </c>
      <c r="X83" t="str">
        <f>IFERROR(VLOOKUP(TEXT(A83,"0"), inspection_detail_raw!A:BK, 59, FALSE), "알수없음")</f>
        <v>[{"type": {"code": "P022", "title": "프론트 휀더(우)"}, "statusTypes": [{"code": "X", "title": "교환(교체)"}], "attributes": ["RANK_ONE"]}, {"type": {"code": "P011", "title": "후드"}, "statusTypes": [{"code": "X", "title": "교환(교체)"}], "attributes": ["RANK_ONE"]}, {"type": {"code": "P041", "title": "트렁크 리드"}, "statusTypes": [{"code": "X", "title": "교환(교체)"}], "attributes": ["RANK_ONE"]}, {"type": {"code": "P051", "title": "라디에이터 서포트(볼트체결부품)"}, "statusTypes": [{"code": "X", "title": "교환(교체)"}], "attributes": ["RANK_ONE"]}]</v>
      </c>
      <c r="Y83" t="str">
        <f>VLOOKUP(A83,vehicle_detail!$A$2:$DK$101,78,FALSE)</f>
        <v>["1001"]</v>
      </c>
      <c r="Z83" t="str">
        <f>VLOOKUP(A83,vehicle_detail!$A$2:$DK$101,80,FALSE)</f>
        <v>["001", "003", "004", "005", "006", "007", "008", "014", "015", "017", "019", "020", "021", "022", "023", "024", "026", "027", "029", "030", "031", "032", "033", "034", "035", "051", "055", "056", "057", "058", "059", "062", "063", "068", "071", "072", "074", "077", "081", "082", "084", "085", "092", "094", "096", "097"]</v>
      </c>
    </row>
    <row r="84" spans="1:26">
      <c r="A84" t="s">
        <v>141</v>
      </c>
      <c r="B84" t="str">
        <f>VLOOKUP(A84,vehicle_detail!$A$2:$DK$101,111,FALSE)</f>
        <v>68루1233</v>
      </c>
      <c r="C84" t="str">
        <f>VLOOKUP(A84,vehicle_detail!$A$2:$DK$101,101,FALSE)</f>
        <v>검정색</v>
      </c>
      <c r="D84" t="str">
        <f>VLOOKUP(A84,list_100!$B$2:$P$101,9,FALSE)</f>
        <v>현대</v>
      </c>
      <c r="E84" t="str">
        <f>VLOOKUP(A84,list_100!$B$2:$P$101,11,FALSE)</f>
        <v>제네시스 DH</v>
      </c>
      <c r="F84" t="str">
        <f>VLOOKUP(A84,list_100!$B$2:$P$101,2,FALSE)</f>
        <v>G380 파이니스트 에디션 AWD</v>
      </c>
      <c r="G84">
        <f>VLOOKUP(A84,list_100!$B$2:$P$101,3,FALSE)</f>
        <v>0</v>
      </c>
      <c r="H84" t="str">
        <f>VLOOKUP(A84,list_100!$B$2:$P$101,6,FALSE)</f>
        <v>2014</v>
      </c>
      <c r="I84" t="str">
        <f>VLOOKUP(A84,list_100!$B$2:$P$101,7,FALSE)</f>
        <v>가솔린</v>
      </c>
      <c r="J84" t="str">
        <f>VLOOKUP(A84,vehicle_detail!$A$2:$DK$101,100,FALSE)</f>
        <v>대형차</v>
      </c>
      <c r="K84" s="2">
        <f>VLOOKUP(A84,list_100!$B$2:$P$101,15,FALSE)</f>
        <v>1385</v>
      </c>
      <c r="L84" s="2">
        <f>VLOOKUP(A84,list_100!$B$2:$P$101,10,FALSE)</f>
        <v>144031</v>
      </c>
      <c r="M84">
        <f>VLOOKUP(A84,list_100!$B$2:$V$101,21,FALSE)</f>
        <v>201402</v>
      </c>
      <c r="N84" t="str">
        <f>VLOOKUP(A84,seller_user!$A$2:$Y$101,2,FALSE)</f>
        <v>manful83</v>
      </c>
      <c r="O84" t="str">
        <f>VLOOKUP(A84,seller_user!$A$2:$Y$101,25,FALSE)</f>
        <v>최지훈</v>
      </c>
      <c r="P84" t="str">
        <f>VLOOKUP(A84,seller_user!$A$2:$Y$101,3,FALSE)</f>
        <v>[{"companyType": "FIRM", "companyName": "넘버원모터스", "brn": "442-39-00261", "associationCd": 17, "associationName": "경남 자동차매매사업조합", "associationPhoneNumber": "055-256-0077", "certificatedEmployeeNumber": "23-055-00115", "address": {"zipcode": "51339 ", "location": null, "sido": "경남", "sigungu": "창원시 마산회원구", "eupmyeondong": null, "eupmyeondongEtc": null, "address": "경남 창원시 마산회원구", "buildingCd": "4812710500109740021000001"}, "contacts": null, "used": true}]</v>
      </c>
      <c r="Q84" t="str">
        <f>VLOOKUP(A84,inspection_detail_raw!A84:BK183,4,FALSE)</f>
        <v>["TABLE"]</v>
      </c>
      <c r="R84" t="str">
        <f>IFERROR("https://ci.encar.com"&amp;VLOOKUP(A84,'성능점검 이미지정보'!A:E,2,FALSE),"")</f>
        <v/>
      </c>
      <c r="S84" t="str">
        <f>VLOOKUP(A84,inspection_detail_raw!A84:BK183,50,FALSE)</f>
        <v>[]</v>
      </c>
      <c r="T84" t="str">
        <f>IFERROR(VLOOKUP(TEXT(A84,"0"), inspection_detail_raw!A:BK, 51, FALSE), "알수없음")</f>
        <v>20260210</v>
      </c>
      <c r="U84" t="str">
        <f>IFERROR(VLOOKUP(TEXT(A84,"0"), inspection_detail_raw!A:BK, 52, FALSE), "알수없음")</f>
        <v>20240211</v>
      </c>
      <c r="V84" t="str">
        <f>IFERROR(VLOOKUP(TEXT(A84,"0"), inspection_detail_raw!A:BK, 54, FALSE), "알수없음")</f>
        <v>KMHGR41EDEU009033</v>
      </c>
      <c r="W84" t="b">
        <f>IFERROR(VLOOKUP(TEXT(A84,"0"), inspection_detail_raw!A:BK, 57, FALSE), "알수없음")</f>
        <v>1</v>
      </c>
      <c r="X84" t="str">
        <f>IFERROR(VLOOKUP(TEXT(A84,"0"), inspection_detail_raw!A:BK, 59, FALSE), "알수없음")</f>
        <v>[{"type": {"code": "P111", "title": "인사이드 패널(좌)"}, "statusTypes": [{"code": "W", "title": "판금/용접"}], "attributes": ["RANK_A"]}, {"type": {"code": "P121", "title": "프론트 사이드 멤버(좌)"}, "statusTypes": [{"code": "W", "title": "판금/용접"}], "attributes": ["RANK_B"]}, {"type": {"code": "P011", "title": "후드"}, "statusTypes": [{"code": "X", "title": "교환(교체)"}], "attributes": ["RANK_ONE"]}, {"type": {"code": "P021", "title": "프론트 휀더(좌)"}, "statusTypes": [{"code": "X", "title": "교환(교체)"}], "attributes": ["RANK_ONE"]}, {"type": {"code": "P091", "title": "프론트 패널"}, "statusTypes": [{"code": "W", "title": "판금/용접"}], "attributes": ["RANK_A"]}]</v>
      </c>
      <c r="Y84" t="str">
        <f>VLOOKUP(A84,vehicle_detail!$A$2:$DK$101,78,FALSE)</f>
        <v>[]</v>
      </c>
      <c r="Z84" t="str">
        <f>VLOOKUP(A84,vehicle_detail!$A$2:$DK$101,80,FALSE)</f>
        <v>["001", "002", "003", "004", "005", "006", "007", "008", "014", "015", "017", "019", "020", "021", "022", "023", "024", "026", "027", "029", "030", "031", "032", "033", "034", "035", "051", "054", "055", "056", "057", "058", "059", "063", "071", "072", "074", "077", "079", "080", "081", "082", "083", "084", "085", "086", "087", "088", "089", "090", "092", "093", "094", "095", "096", "097"]</v>
      </c>
    </row>
    <row r="85" spans="1:26">
      <c r="A85" t="s">
        <v>143</v>
      </c>
      <c r="B85" t="str">
        <f>VLOOKUP(A85,vehicle_detail!$A$2:$DK$101,111,FALSE)</f>
        <v>65모9217</v>
      </c>
      <c r="C85" t="str">
        <f>VLOOKUP(A85,vehicle_detail!$A$2:$DK$101,101,FALSE)</f>
        <v>검정색</v>
      </c>
      <c r="D85" t="str">
        <f>VLOOKUP(A85,list_100!$B$2:$P$101,9,FALSE)</f>
        <v>현대</v>
      </c>
      <c r="E85" t="str">
        <f>VLOOKUP(A85,list_100!$B$2:$P$101,11,FALSE)</f>
        <v>제네시스 DH</v>
      </c>
      <c r="F85" t="str">
        <f>VLOOKUP(A85,list_100!$B$2:$P$101,2,FALSE)</f>
        <v>G330 프리미엄 AWD</v>
      </c>
      <c r="G85">
        <f>VLOOKUP(A85,list_100!$B$2:$P$101,3,FALSE)</f>
        <v>0</v>
      </c>
      <c r="H85" t="str">
        <f>VLOOKUP(A85,list_100!$B$2:$P$101,6,FALSE)</f>
        <v>2015</v>
      </c>
      <c r="I85" t="str">
        <f>VLOOKUP(A85,list_100!$B$2:$P$101,7,FALSE)</f>
        <v>가솔린</v>
      </c>
      <c r="J85" t="str">
        <f>VLOOKUP(A85,vehicle_detail!$A$2:$DK$101,100,FALSE)</f>
        <v>대형차</v>
      </c>
      <c r="K85" s="2">
        <f>VLOOKUP(A85,list_100!$B$2:$P$101,15,FALSE)</f>
        <v>1149</v>
      </c>
      <c r="L85" s="2">
        <f>VLOOKUP(A85,list_100!$B$2:$P$101,10,FALSE)</f>
        <v>158535</v>
      </c>
      <c r="M85">
        <f>VLOOKUP(A85,list_100!$B$2:$V$101,21,FALSE)</f>
        <v>201501</v>
      </c>
      <c r="N85" t="str">
        <f>VLOOKUP(A85,seller_user!$A$2:$Y$101,2,FALSE)</f>
        <v>rla7910aa</v>
      </c>
      <c r="O85" t="str">
        <f>VLOOKUP(A85,seller_user!$A$2:$Y$101,25,FALSE)</f>
        <v>김정남</v>
      </c>
      <c r="P85" t="str">
        <f>VLOOKUP(A85,seller_user!$A$2:$Y$101,3,FALSE)</f>
        <v>[{"companyType": "FIRM", "companyName": "기운 모터스", "brn": "111-02-71420", "associationCd": 28, "associationName": "경기 자동차매매사업조합", "associationPhoneNumber": "031-242-8940", "certificatedEmployeeNumber": "GC21-00639", "address": {"zipcode": "15082 ", "location": null, "sido": "경기", "sigungu": "시흥시", "eupmyeondong": null, "eupmyeondongEtc": null, "address": "경기 시흥시", "buildingCd": "4139013200121670002019332"}, "contacts": null, "used": true}]</v>
      </c>
      <c r="Q85" t="str">
        <f>VLOOKUP(A85,inspection_detail_raw!A85:BK184,4,FALSE)</f>
        <v>["TABLE"]</v>
      </c>
      <c r="R85" t="str">
        <f>IFERROR("https://ci.encar.com"&amp;VLOOKUP(A85,'성능점검 이미지정보'!A:E,2,FALSE),"")</f>
        <v/>
      </c>
      <c r="S85" t="str">
        <f>VLOOKUP(A85,inspection_detail_raw!A85:BK184,50,FALSE)</f>
        <v>[]</v>
      </c>
      <c r="T85" t="str">
        <f>IFERROR(VLOOKUP(TEXT(A85,"0"), inspection_detail_raw!A:BK, 51, FALSE), "알수없음")</f>
        <v>20270108</v>
      </c>
      <c r="U85" t="str">
        <f>IFERROR(VLOOKUP(TEXT(A85,"0"), inspection_detail_raw!A:BK, 52, FALSE), "알수없음")</f>
        <v>20250109</v>
      </c>
      <c r="V85" t="str">
        <f>IFERROR(VLOOKUP(TEXT(A85,"0"), inspection_detail_raw!A:BK, 54, FALSE), "알수없음")</f>
        <v>KMHGM41DDFU073580</v>
      </c>
      <c r="W85" t="b">
        <f>IFERROR(VLOOKUP(TEXT(A85,"0"), inspection_detail_raw!A:BK, 57, FALSE), "알수없음")</f>
        <v>1</v>
      </c>
      <c r="X85" t="str">
        <f>IFERROR(VLOOKUP(TEXT(A85,"0"), inspection_detail_raw!A:BK, 59, FALSE), "알수없음")</f>
        <v>[{"type": {"code": "P022", "title": "프론트 휀더(우)"}, "statusTypes": [{"code": "X", "title": "교환(교체)"}], "attributes": ["RANK_ONE"]}, {"type": {"code": "P051", "title": "라디에이터 서포트(볼트체결부품)"}, "statusTypes": [{"code": "X", "title": "교환(교체)"}], "attributes": ["RANK_ONE"]}]</v>
      </c>
      <c r="Y85" t="str">
        <f>VLOOKUP(A85,vehicle_detail!$A$2:$DK$101,78,FALSE)</f>
        <v>["1002"]</v>
      </c>
      <c r="Z85" t="str">
        <f>VLOOKUP(A85,vehicle_detail!$A$2:$DK$101,80,FALSE)</f>
        <v>["001", "003", "004", "005", "006", "007", "008", "014", "015", "017", "019", "020", "021", "022", "023", "024", "026", "027", "029", "030", "031", "032", "033", "034", "035", "051", "055", "056", "057", "058", "063", "071", "072", "074", "077", "079", "081", "082", "083", "084", "085", "088", "092", "093", "094", "095", "096", "097"]</v>
      </c>
    </row>
    <row r="86" spans="1:26">
      <c r="A86" t="s">
        <v>145</v>
      </c>
      <c r="B86" t="str">
        <f>VLOOKUP(A86,vehicle_detail!$A$2:$DK$101,111,FALSE)</f>
        <v>78구8947</v>
      </c>
      <c r="C86" t="str">
        <f>VLOOKUP(A86,vehicle_detail!$A$2:$DK$101,101,FALSE)</f>
        <v>검정색</v>
      </c>
      <c r="D86" t="str">
        <f>VLOOKUP(A86,list_100!$B$2:$P$101,9,FALSE)</f>
        <v>현대</v>
      </c>
      <c r="E86" t="str">
        <f>VLOOKUP(A86,list_100!$B$2:$P$101,11,FALSE)</f>
        <v>그랜드 스타렉스</v>
      </c>
      <c r="F86" t="str">
        <f>VLOOKUP(A86,list_100!$B$2:$P$101,2,FALSE)</f>
        <v>12인승 왜건</v>
      </c>
      <c r="G86" t="str">
        <f>VLOOKUP(A86,list_100!$B$2:$P$101,3,FALSE)</f>
        <v>스마트</v>
      </c>
      <c r="H86" t="str">
        <f>VLOOKUP(A86,list_100!$B$2:$P$101,6,FALSE)</f>
        <v>2017</v>
      </c>
      <c r="I86" t="str">
        <f>VLOOKUP(A86,list_100!$B$2:$P$101,7,FALSE)</f>
        <v>디젤</v>
      </c>
      <c r="J86" t="str">
        <f>VLOOKUP(A86,vehicle_detail!$A$2:$DK$101,100,FALSE)</f>
        <v>승합차</v>
      </c>
      <c r="K86" s="2">
        <f>VLOOKUP(A86,list_100!$B$2:$P$101,15,FALSE)</f>
        <v>1250</v>
      </c>
      <c r="L86" s="2">
        <f>VLOOKUP(A86,list_100!$B$2:$P$101,10,FALSE)</f>
        <v>165406</v>
      </c>
      <c r="M86">
        <f>VLOOKUP(A86,list_100!$B$2:$V$101,21,FALSE)</f>
        <v>201608</v>
      </c>
      <c r="N86" t="str">
        <f>VLOOKUP(A86,seller_user!$A$2:$Y$101,2,FALSE)</f>
        <v>yunwh300</v>
      </c>
      <c r="O86" t="str">
        <f>VLOOKUP(A86,seller_user!$A$2:$Y$101,25,FALSE)</f>
        <v>윤원하</v>
      </c>
      <c r="P86" t="str">
        <f>VLOOKUP(A86,seller_user!$A$2:$Y$101,3,FALSE)</f>
        <v>[{"companyType": "FIRM", "companyName": "한국모터스", "brn": "508-02-95155", "associationCd": 8, "associationName": "경북 자동차매매사업조합", "associationPhoneNumber": "053-254-0555", "certificatedEmployeeNumber": "1905412057", "address": {"zipcode": "36621 ", "location": null, "sido": "경북", "sigungu": "안동시", "eupmyeondong": null, "eupmyeondongEtc": null, "address": "경북 안동시", "buildingCd": "4717025030107920001093523"}, "contacts": null, "used": true}]</v>
      </c>
      <c r="Q86" t="str">
        <f>VLOOKUP(A86,inspection_detail_raw!A86:BK185,4,FALSE)</f>
        <v>["IMAGE"]</v>
      </c>
      <c r="R86" t="str">
        <f>IFERROR("https://ci.encar.com"&amp;VLOOKUP(A86,'성능점검 이미지정보'!A:E,2,FALSE),"")</f>
        <v>https://ci.encar.com/carsdata/cars/inspection/40006270_I1.jpg</v>
      </c>
      <c r="S86">
        <f>IFERROR(VLOOKUP(TEXT(A86,"0"), inspection_detail_raw!A:BK, 50, FALSE), "알수없음")</f>
        <v>0</v>
      </c>
      <c r="T86">
        <f>IFERROR(VLOOKUP(TEXT(A86,"0"), inspection_detail_raw!A:BK, 51, FALSE), "알수없음")</f>
        <v>0</v>
      </c>
      <c r="U86">
        <f>IFERROR(VLOOKUP(TEXT(A86,"0"), inspection_detail_raw!A:BK, 52, FALSE), "알수없음")</f>
        <v>0</v>
      </c>
      <c r="V86">
        <f>IFERROR(VLOOKUP(TEXT(A86,"0"), inspection_detail_raw!A:BK, 54, FALSE), "알수없음")</f>
        <v>0</v>
      </c>
      <c r="W86" t="b">
        <f>IFERROR(VLOOKUP(TEXT(A86,"0"), inspection_detail_raw!A:BK, 57, FALSE), "알수없음")</f>
        <v>1</v>
      </c>
      <c r="X86" t="str">
        <f>IFERROR(VLOOKUP(TEXT(A86,"0"), inspection_detail_raw!A:BK, 59, FALSE), "알수없음")</f>
        <v>[]</v>
      </c>
      <c r="Y86" t="str">
        <f>VLOOKUP(A86,vehicle_detail!$A$2:$DK$101,78,FALSE)</f>
        <v>[]</v>
      </c>
      <c r="Z86" t="str">
        <f>VLOOKUP(A86,vehicle_detail!$A$2:$DK$101,80,FALSE)</f>
        <v>["001", "003", "006", "007", "008", "019", "024", "026", "027", "032", "033", "055", "071", "072"]</v>
      </c>
    </row>
    <row r="87" spans="1:26">
      <c r="A87" t="s">
        <v>147</v>
      </c>
      <c r="B87" t="str">
        <f>VLOOKUP(A87,vehicle_detail!$A$2:$DK$101,111,FALSE)</f>
        <v>253가8126</v>
      </c>
      <c r="C87" t="str">
        <f>VLOOKUP(A87,vehicle_detail!$A$2:$DK$101,101,FALSE)</f>
        <v>흰색</v>
      </c>
      <c r="D87" t="str">
        <f>VLOOKUP(A87,list_100!$B$2:$P$101,9,FALSE)</f>
        <v>현대</v>
      </c>
      <c r="E87" t="str">
        <f>VLOOKUP(A87,list_100!$B$2:$P$101,11,FALSE)</f>
        <v>아반떼 AD</v>
      </c>
      <c r="F87" t="str">
        <f>VLOOKUP(A87,list_100!$B$2:$P$101,2,FALSE)</f>
        <v>1.6 GDI 스타일</v>
      </c>
      <c r="G87">
        <f>VLOOKUP(A87,list_100!$B$2:$P$101,3,FALSE)</f>
        <v>0</v>
      </c>
      <c r="H87" t="str">
        <f>VLOOKUP(A87,list_100!$B$2:$P$101,6,FALSE)</f>
        <v>2018</v>
      </c>
      <c r="I87" t="str">
        <f>VLOOKUP(A87,list_100!$B$2:$P$101,7,FALSE)</f>
        <v>가솔린</v>
      </c>
      <c r="J87" t="str">
        <f>VLOOKUP(A87,vehicle_detail!$A$2:$DK$101,100,FALSE)</f>
        <v>준중형차</v>
      </c>
      <c r="K87" s="2">
        <f>VLOOKUP(A87,list_100!$B$2:$P$101,15,FALSE)</f>
        <v>920</v>
      </c>
      <c r="L87" s="2">
        <f>VLOOKUP(A87,list_100!$B$2:$P$101,10,FALSE)</f>
        <v>90376</v>
      </c>
      <c r="M87">
        <f>VLOOKUP(A87,list_100!$B$2:$V$101,21,FALSE)</f>
        <v>201806</v>
      </c>
      <c r="N87" t="str">
        <f>VLOOKUP(A87,seller_user!$A$2:$Y$101,2,FALSE)</f>
        <v>andi1122</v>
      </c>
      <c r="O87" t="str">
        <f>VLOOKUP(A87,seller_user!$A$2:$Y$101,25,FALSE)</f>
        <v>김은석</v>
      </c>
      <c r="P87" t="str">
        <f>VLOOKUP(A87,seller_user!$A$2:$Y$101,3,FALSE)</f>
        <v>[{"companyType": "FIRM", "companyName": "세종자동차", "brn": "740-88-00732", "associationCd": 29, "associationName": "대전 자동차매매사업조합", "associationPhoneNumber": "042-222-1551", "certificatedEmployeeNumber": "1004201188", "address": {"zipcode": "34202 ", "location": null, "sido": "대전", "sigungu": "유성구", "eupmyeondong": null, "eupmyeondongEtc": null, "address": "대전 유성구", "buildingCd": "3020011600102360000016826"}, "contacts": null, "used": true}]</v>
      </c>
      <c r="Q87" t="str">
        <f>VLOOKUP(A87,inspection_detail_raw!A87:BK186,4,FALSE)</f>
        <v>["TABLE"]</v>
      </c>
      <c r="R87" t="str">
        <f>IFERROR("https://ci.encar.com"&amp;VLOOKUP(A87,'성능점검 이미지정보'!A:E,2,FALSE),"")</f>
        <v>https://ci.encar.com/carsdata/cars/inspection/40730683_photoFront.jpg</v>
      </c>
      <c r="S87" t="str">
        <f>VLOOKUP(A87,inspection_detail_raw!A87:BK186,50,FALSE)</f>
        <v>[{"code": "1", "title": "렌트"}]</v>
      </c>
      <c r="T87" t="str">
        <f>IFERROR(VLOOKUP(TEXT(A87,"0"), inspection_detail_raw!A:BK, 51, FALSE), "알수없음")</f>
        <v>20260611</v>
      </c>
      <c r="U87" t="str">
        <f>IFERROR(VLOOKUP(TEXT(A87,"0"), inspection_detail_raw!A:BK, 52, FALSE), "알수없음")</f>
        <v>20240612</v>
      </c>
      <c r="V87" t="str">
        <f>IFERROR(VLOOKUP(TEXT(A87,"0"), inspection_detail_raw!A:BK, 54, FALSE), "알수없음")</f>
        <v>KMHD641DBJU713807</v>
      </c>
      <c r="W87" t="b">
        <f>IFERROR(VLOOKUP(TEXT(A87,"0"), inspection_detail_raw!A:BK, 57, FALSE), "알수없음")</f>
        <v>1</v>
      </c>
      <c r="X87" t="str">
        <f>IFERROR(VLOOKUP(TEXT(A87,"0"), inspection_detail_raw!A:BK, 59, FALSE), "알수없음")</f>
        <v>[{"type": {"code": "P022", "title": "프론트 휀더(우)"}, "statusTypes": [{"code": "X", "title": "교환(교체)"}], "attributes": ["RANK_ONE"]}, {"type": {"code": "P011", "title": "후드"}, "statusTypes": [{"code": "X", "title": "교환(교체)"}], "attributes": ["RANK_ONE"]}, {"type": {"code": "P051", "title": "라디에이터 서포트(볼트체결부품)"}, "statusTypes": [{"code": "X", "title": "교환(교체)"}], "attributes": ["RANK_ONE"]}, {"type": {"code": "P021", "title": "프론트 휀더(좌)"}, "statusTypes": [{"code": "X", "title": "교환(교체)"}], "attributes": ["RANK_ONE"]}]</v>
      </c>
      <c r="Y87" t="str">
        <f>VLOOKUP(A87,vehicle_detail!$A$2:$DK$101,78,FALSE)</f>
        <v>["1132", "1131", "1125"]</v>
      </c>
      <c r="Z87" t="str">
        <f>VLOOKUP(A87,vehicle_detail!$A$2:$DK$101,80,FALSE)</f>
        <v>["001", "003", "005", "006", "007", "008", "014", "015", "019", "020", "024", "026", "027", "031", "032", "033", "055", "056", "058", "071", "072", "096"]</v>
      </c>
    </row>
    <row r="88" spans="1:26">
      <c r="A88" t="s">
        <v>149</v>
      </c>
      <c r="B88" t="str">
        <f>VLOOKUP(A88,vehicle_detail!$A$2:$DK$101,111,FALSE)</f>
        <v>357조7029</v>
      </c>
      <c r="C88" t="str">
        <f>VLOOKUP(A88,vehicle_detail!$A$2:$DK$101,101,FALSE)</f>
        <v>흰색</v>
      </c>
      <c r="D88" t="str">
        <f>VLOOKUP(A88,list_100!$B$2:$P$101,9,FALSE)</f>
        <v>현대</v>
      </c>
      <c r="E88" t="str">
        <f>VLOOKUP(A88,list_100!$B$2:$P$101,11,FALSE)</f>
        <v>더 뉴 그랜저 IG</v>
      </c>
      <c r="F88" t="str">
        <f>VLOOKUP(A88,list_100!$B$2:$P$101,2,FALSE)</f>
        <v>2.5</v>
      </c>
      <c r="G88" t="str">
        <f>VLOOKUP(A88,list_100!$B$2:$P$101,3,FALSE)</f>
        <v>르블랑</v>
      </c>
      <c r="H88" t="str">
        <f>VLOOKUP(A88,list_100!$B$2:$P$101,6,FALSE)</f>
        <v>2023</v>
      </c>
      <c r="I88" t="str">
        <f>VLOOKUP(A88,list_100!$B$2:$P$101,7,FALSE)</f>
        <v>가솔린</v>
      </c>
      <c r="J88" t="str">
        <f>VLOOKUP(A88,vehicle_detail!$A$2:$DK$101,100,FALSE)</f>
        <v>대형차</v>
      </c>
      <c r="K88" s="2">
        <f>VLOOKUP(A88,list_100!$B$2:$P$101,15,FALSE)</f>
        <v>2650</v>
      </c>
      <c r="L88" s="2">
        <f>VLOOKUP(A88,list_100!$B$2:$P$101,10,FALSE)</f>
        <v>83448</v>
      </c>
      <c r="M88">
        <f>VLOOKUP(A88,list_100!$B$2:$V$101,21,FALSE)</f>
        <v>202206</v>
      </c>
      <c r="N88" t="str">
        <f>VLOOKUP(A88,seller_user!$A$2:$Y$101,2,FALSE)</f>
        <v>hyeon6209</v>
      </c>
      <c r="O88" t="str">
        <f>VLOOKUP(A88,seller_user!$A$2:$Y$101,25,FALSE)</f>
        <v>김수현</v>
      </c>
      <c r="P88" t="str">
        <f>VLOOKUP(A88,seller_user!$A$2:$Y$101,3,FALSE)</f>
        <v>[{"companyType": "FIRM", "companyName": "주식회사 설레임 오토모티브", "brn": "271-88-02160", "associationCd": 28, "associationName": "경기 자동차매매사업조합", "associationPhoneNumber": "031-242-8940", "certificatedEmployeeNumber": "GC20-05631", "address": {"zipcode": "16613 ", "location": null, "sido": "경기", "sigungu": "수원시 권선구", "eupmyeondong": null, "eupmyeondongEtc": null, "address": "경기 수원시 권선구", "buildingCd": "4111313100100790009000001"}, "contacts": null, "used": true}]</v>
      </c>
      <c r="Q88" t="str">
        <f>VLOOKUP(A88,inspection_detail_raw!A88:BK187,4,FALSE)</f>
        <v>["TABLE"]</v>
      </c>
      <c r="R88" t="str">
        <f>IFERROR("https://ci.encar.com"&amp;VLOOKUP(A88,'성능점검 이미지정보'!A:E,2,FALSE),"")</f>
        <v/>
      </c>
      <c r="S88" t="str">
        <f>VLOOKUP(A88,inspection_detail_raw!A88:BK187,50,FALSE)</f>
        <v>[{"code": "1", "title": "렌트"}]</v>
      </c>
      <c r="T88" t="str">
        <f>IFERROR(VLOOKUP(TEXT(A88,"0"), inspection_detail_raw!A:BK, 51, FALSE), "알수없음")</f>
        <v>20260719</v>
      </c>
      <c r="U88" t="str">
        <f>IFERROR(VLOOKUP(TEXT(A88,"0"), inspection_detail_raw!A:BK, 52, FALSE), "알수없음")</f>
        <v>20250720</v>
      </c>
      <c r="V88" t="str">
        <f>IFERROR(VLOOKUP(TEXT(A88,"0"), inspection_detail_raw!A:BK, 54, FALSE), "알수없음")</f>
        <v>KMHF141DBPA505259</v>
      </c>
      <c r="W88" t="b">
        <f>IFERROR(VLOOKUP(TEXT(A88,"0"), inspection_detail_raw!A:BK, 57, FALSE), "알수없음")</f>
        <v>0</v>
      </c>
      <c r="X88" t="str">
        <f>IFERROR(VLOOKUP(TEXT(A88,"0"), inspection_detail_raw!A:BK, 59, FALSE), "알수없음")</f>
        <v>[]</v>
      </c>
      <c r="Y88" t="str">
        <f>VLOOKUP(A88,vehicle_detail!$A$2:$DK$101,78,FALSE)</f>
        <v>["10003"]</v>
      </c>
      <c r="Z88" t="str">
        <f>VLOOKUP(A88,vehicle_detail!$A$2:$DK$101,80,FALSE)</f>
        <v>["001", "004", "005", "006", "007", "008", "014", "015", "017", "019", "020", "021", "022", "023", "024", "026", "027", "030", "031", "032", "033", "034", "035", "055", "056", "057", "058", "059", "063", "072", "074", "075", "077", "079", "081", "082", "084", "085", "086", "087", "088", "092", "094", "096", "097"]</v>
      </c>
    </row>
    <row r="89" spans="1:26">
      <c r="A89" t="s">
        <v>150</v>
      </c>
      <c r="B89" t="str">
        <f>VLOOKUP(A89,vehicle_detail!$A$2:$DK$101,111,FALSE)</f>
        <v>142호2450</v>
      </c>
      <c r="C89" t="str">
        <f>VLOOKUP(A89,vehicle_detail!$A$2:$DK$101,101,FALSE)</f>
        <v>흰색</v>
      </c>
      <c r="D89" t="str">
        <f>VLOOKUP(A89,list_100!$B$2:$P$101,9,FALSE)</f>
        <v>현대</v>
      </c>
      <c r="E89" t="str">
        <f>VLOOKUP(A89,list_100!$B$2:$P$101,11,FALSE)</f>
        <v>쏘나타 디 엣지 하이브리드(DN8)</v>
      </c>
      <c r="F89" t="str">
        <f>VLOOKUP(A89,list_100!$B$2:$P$101,2,FALSE)</f>
        <v>프리미엄</v>
      </c>
      <c r="G89">
        <f>VLOOKUP(A89,list_100!$B$2:$P$101,3,FALSE)</f>
        <v>0</v>
      </c>
      <c r="H89" t="str">
        <f>VLOOKUP(A89,list_100!$B$2:$P$101,6,FALSE)</f>
        <v>2024</v>
      </c>
      <c r="I89" t="str">
        <f>VLOOKUP(A89,list_100!$B$2:$P$101,7,FALSE)</f>
        <v>가솔린+전기</v>
      </c>
      <c r="J89" t="str">
        <f>VLOOKUP(A89,vehicle_detail!$A$2:$DK$101,100,FALSE)</f>
        <v>중형차</v>
      </c>
      <c r="K89" s="2">
        <f>VLOOKUP(A89,list_100!$B$2:$P$101,15,FALSE)</f>
        <v>9999</v>
      </c>
      <c r="L89" s="2">
        <f>VLOOKUP(A89,list_100!$B$2:$P$101,10,FALSE)</f>
        <v>16300</v>
      </c>
      <c r="M89">
        <f>VLOOKUP(A89,list_100!$B$2:$V$101,21,FALSE)</f>
        <v>202312</v>
      </c>
      <c r="N89" t="str">
        <f>VLOOKUP(A89,seller_user!$A$2:$Y$101,2,FALSE)</f>
        <v>tokky123</v>
      </c>
      <c r="O89" t="str">
        <f>VLOOKUP(A89,seller_user!$A$2:$Y$101,25,FALSE)</f>
        <v>전담 매니저</v>
      </c>
      <c r="P89" t="str">
        <f>VLOOKUP(A89,seller_user!$A$2:$Y$101,3,FALSE)</f>
        <v>[]</v>
      </c>
      <c r="Q89">
        <f>VLOOKUP(A89,inspection_detail_raw!A89:BK188,4,FALSE)</f>
        <v>0</v>
      </c>
      <c r="R89" t="str">
        <f>IFERROR("https://ci.encar.com"&amp;VLOOKUP(A89,'성능점검 이미지정보'!A:E,2,FALSE),"")</f>
        <v/>
      </c>
      <c r="S89">
        <f>VLOOKUP(A89,inspection_detail_raw!A89:BK188,50,FALSE)</f>
        <v>0</v>
      </c>
      <c r="T89">
        <f>IFERROR(VLOOKUP(TEXT(A89,"0"), inspection_detail_raw!A:BK, 51, FALSE), "알수없음")</f>
        <v>0</v>
      </c>
      <c r="U89">
        <f>IFERROR(VLOOKUP(TEXT(A89,"0"), inspection_detail_raw!A:BK, 52, FALSE), "알수없음")</f>
        <v>0</v>
      </c>
      <c r="V89">
        <f>IFERROR(VLOOKUP(TEXT(A89,"0"), inspection_detail_raw!A:BK, 54, FALSE), "알수없음")</f>
        <v>0</v>
      </c>
      <c r="W89">
        <f>IFERROR(VLOOKUP(TEXT(A89,"0"), inspection_detail_raw!A:BK, 57, FALSE), "알수없음")</f>
        <v>0</v>
      </c>
      <c r="X89">
        <f>IFERROR(VLOOKUP(TEXT(A89,"0"), inspection_detail_raw!A:BK, 59, FALSE), "알수없음")</f>
        <v>0</v>
      </c>
      <c r="Y89" t="str">
        <f>VLOOKUP(A89,vehicle_detail!$A$2:$DK$101,78,FALSE)</f>
        <v>["10008", "10005", "10004", "10001"]</v>
      </c>
      <c r="Z89" t="str">
        <f>VLOOKUP(A89,vehicle_detail!$A$2:$DK$101,80,FALSE)</f>
        <v>["001", "004", "005", "006", "007", "008", "014", "015", "017", "019", "020", "021", "022", "023", "024", "026", "027", "031", "032", "033", "034", "035", "055", "056", "057", "058", "068", "072", "074", "075", "077", "081", "082", "084", "085", "088", "094", "096", "097"]</v>
      </c>
    </row>
    <row r="90" spans="1:26">
      <c r="A90" t="s">
        <v>152</v>
      </c>
      <c r="B90" t="str">
        <f>VLOOKUP(A90,vehicle_detail!$A$2:$DK$101,111,FALSE)</f>
        <v>34호1474</v>
      </c>
      <c r="C90" t="str">
        <f>VLOOKUP(A90,vehicle_detail!$A$2:$DK$101,101,FALSE)</f>
        <v>검정색</v>
      </c>
      <c r="D90" t="str">
        <f>VLOOKUP(A90,list_100!$B$2:$P$101,9,FALSE)</f>
        <v>현대</v>
      </c>
      <c r="E90" t="str">
        <f>VLOOKUP(A90,list_100!$B$2:$P$101,11,FALSE)</f>
        <v>그랜저 IG</v>
      </c>
      <c r="F90" t="str">
        <f>VLOOKUP(A90,list_100!$B$2:$P$101,2,FALSE)</f>
        <v>3.0 LPi 모던 (렌터카)</v>
      </c>
      <c r="G90">
        <f>VLOOKUP(A90,list_100!$B$2:$P$101,3,FALSE)</f>
        <v>0</v>
      </c>
      <c r="H90" t="str">
        <f>VLOOKUP(A90,list_100!$B$2:$P$101,6,FALSE)</f>
        <v>2018</v>
      </c>
      <c r="I90" t="str">
        <f>VLOOKUP(A90,list_100!$B$2:$P$101,7,FALSE)</f>
        <v>LPG(일반인 구입)</v>
      </c>
      <c r="J90" t="str">
        <f>VLOOKUP(A90,vehicle_detail!$A$2:$DK$101,100,FALSE)</f>
        <v>대형차</v>
      </c>
      <c r="K90" s="2">
        <f>VLOOKUP(A90,list_100!$B$2:$P$101,15,FALSE)</f>
        <v>9999</v>
      </c>
      <c r="L90" s="2">
        <f>VLOOKUP(A90,list_100!$B$2:$P$101,10,FALSE)</f>
        <v>135300</v>
      </c>
      <c r="M90">
        <f>VLOOKUP(A90,list_100!$B$2:$V$101,21,FALSE)</f>
        <v>201706</v>
      </c>
      <c r="N90" t="str">
        <f>VLOOKUP(A90,seller_user!$A$2:$Y$101,2,FALSE)</f>
        <v>tokky123</v>
      </c>
      <c r="O90" t="str">
        <f>VLOOKUP(A90,seller_user!$A$2:$Y$101,25,FALSE)</f>
        <v>전담 매니저</v>
      </c>
      <c r="P90" t="str">
        <f>VLOOKUP(A90,seller_user!$A$2:$Y$101,3,FALSE)</f>
        <v>[]</v>
      </c>
      <c r="Q90">
        <f>VLOOKUP(A90,inspection_detail_raw!A90:BK189,4,FALSE)</f>
        <v>0</v>
      </c>
      <c r="R90" t="str">
        <f>IFERROR("https://ci.encar.com"&amp;VLOOKUP(A90,'성능점검 이미지정보'!A:E,2,FALSE),"")</f>
        <v/>
      </c>
      <c r="S90">
        <f>VLOOKUP(A90,inspection_detail_raw!A90:BK189,50,FALSE)</f>
        <v>0</v>
      </c>
      <c r="T90">
        <f>IFERROR(VLOOKUP(TEXT(A90,"0"), inspection_detail_raw!A:BK, 51, FALSE), "알수없음")</f>
        <v>0</v>
      </c>
      <c r="U90">
        <f>IFERROR(VLOOKUP(TEXT(A90,"0"), inspection_detail_raw!A:BK, 52, FALSE), "알수없음")</f>
        <v>0</v>
      </c>
      <c r="V90">
        <f>IFERROR(VLOOKUP(TEXT(A90,"0"), inspection_detail_raw!A:BK, 54, FALSE), "알수없음")</f>
        <v>0</v>
      </c>
      <c r="W90">
        <f>IFERROR(VLOOKUP(TEXT(A90,"0"), inspection_detail_raw!A:BK, 57, FALSE), "알수없음")</f>
        <v>0</v>
      </c>
      <c r="X90">
        <f>IFERROR(VLOOKUP(TEXT(A90,"0"), inspection_detail_raw!A:BK, 59, FALSE), "알수없음")</f>
        <v>0</v>
      </c>
      <c r="Y90" t="str">
        <f>VLOOKUP(A90,vehicle_detail!$A$2:$DK$101,78,FALSE)</f>
        <v>[]</v>
      </c>
      <c r="Z90" t="str">
        <f>VLOOKUP(A90,vehicle_detail!$A$2:$DK$101,80,FALSE)</f>
        <v>["001", "005", "006", "007", "008", "010", "014", "015", "017", "019", "020", "021", "022", "023", "024", "026", "027", "030", "031", "032", "033", "034", "035", "055", "056", "057", "058", "063", "068", "071", "072", "074", "077", "081", "082", "085", "096"]</v>
      </c>
    </row>
    <row r="91" spans="1:26">
      <c r="A91" t="s">
        <v>153</v>
      </c>
      <c r="B91" t="str">
        <f>VLOOKUP(A91,vehicle_detail!$A$2:$DK$101,111,FALSE)</f>
        <v>40수0581</v>
      </c>
      <c r="C91" t="str">
        <f>VLOOKUP(A91,vehicle_detail!$A$2:$DK$101,101,FALSE)</f>
        <v>흰색</v>
      </c>
      <c r="D91" t="str">
        <f>VLOOKUP(A91,list_100!$B$2:$P$101,9,FALSE)</f>
        <v>현대</v>
      </c>
      <c r="E91" t="str">
        <f>VLOOKUP(A91,list_100!$B$2:$P$101,11,FALSE)</f>
        <v>제네시스 DH</v>
      </c>
      <c r="F91" t="str">
        <f>VLOOKUP(A91,list_100!$B$2:$P$101,2,FALSE)</f>
        <v>G330 프리미엄 AWD</v>
      </c>
      <c r="G91">
        <f>VLOOKUP(A91,list_100!$B$2:$P$101,3,FALSE)</f>
        <v>0</v>
      </c>
      <c r="H91" t="str">
        <f>VLOOKUP(A91,list_100!$B$2:$P$101,6,FALSE)</f>
        <v>2016</v>
      </c>
      <c r="I91" t="str">
        <f>VLOOKUP(A91,list_100!$B$2:$P$101,7,FALSE)</f>
        <v>가솔린</v>
      </c>
      <c r="J91" t="str">
        <f>VLOOKUP(A91,vehicle_detail!$A$2:$DK$101,100,FALSE)</f>
        <v>대형차</v>
      </c>
      <c r="K91" s="2">
        <f>VLOOKUP(A91,list_100!$B$2:$P$101,15,FALSE)</f>
        <v>1700</v>
      </c>
      <c r="L91" s="2">
        <f>VLOOKUP(A91,list_100!$B$2:$P$101,10,FALSE)</f>
        <v>60115</v>
      </c>
      <c r="M91">
        <f>VLOOKUP(A91,list_100!$B$2:$V$101,21,FALSE)</f>
        <v>201511</v>
      </c>
      <c r="N91" t="str">
        <f>VLOOKUP(A91,seller_user!$A$2:$Y$101,2,FALSE)</f>
        <v>gleaming79</v>
      </c>
      <c r="O91" t="str">
        <f>VLOOKUP(A91,seller_user!$A$2:$Y$101,25,FALSE)</f>
        <v>음희영</v>
      </c>
      <c r="P91" t="str">
        <f>VLOOKUP(A91,seller_user!$A$2:$Y$101,3,FALSE)</f>
        <v>[{"companyType": "FIRM", "companyName": "뉴AK모터스자동차매매상사", "brn": "705-10-00652", "associationCd": 27, "associationName": "인천엠파크 자동차매매사업조합", "associationPhoneNumber": "032-715-5533", "certificatedEmployeeNumber": "2023-2025", "address": {"zipcode": "22840 ", "location": null, "sido": "인천", "sigungu": "서구", "eupmyeondong": null, "eupmyeondongEtc": null, "address": "인천 서구", "buildingCd": "2826011200101780105000001"}, "contacts": null, "used": true}]</v>
      </c>
      <c r="Q91" t="str">
        <f>VLOOKUP(A91,inspection_detail_raw!A91:BK190,4,FALSE)</f>
        <v>["TABLE"]</v>
      </c>
      <c r="R91" t="str">
        <f>IFERROR("https://ci.encar.com"&amp;VLOOKUP(A91,'성능점검 이미지정보'!A:E,2,FALSE),"")</f>
        <v/>
      </c>
      <c r="S91" t="str">
        <f>VLOOKUP(A91,inspection_detail_raw!A91:BK190,50,FALSE)</f>
        <v>[]</v>
      </c>
      <c r="T91" t="str">
        <f>IFERROR(VLOOKUP(TEXT(A91,"0"), inspection_detail_raw!A:BK, 51, FALSE), "알수없음")</f>
        <v>20251221</v>
      </c>
      <c r="U91" t="str">
        <f>IFERROR(VLOOKUP(TEXT(A91,"0"), inspection_detail_raw!A:BK, 52, FALSE), "알수없음")</f>
        <v>20231222</v>
      </c>
      <c r="V91" t="str">
        <f>IFERROR(VLOOKUP(TEXT(A91,"0"), inspection_detail_raw!A:BK, 54, FALSE), "알수없음")</f>
        <v>KMHGM41DDGU142176</v>
      </c>
      <c r="W91" t="b">
        <f>IFERROR(VLOOKUP(TEXT(A91,"0"), inspection_detail_raw!A:BK, 57, FALSE), "알수없음")</f>
        <v>1</v>
      </c>
      <c r="X91" t="str">
        <f>IFERROR(VLOOKUP(TEXT(A91,"0"), inspection_detail_raw!A:BK, 59, FALSE), "알수없음")</f>
        <v>[{"type": {"code": "P033", "title": "리어 도어(좌)"}, "statusTypes": [{"code": "X", "title": "교환(교체)"}], "attributes": ["RANK_ONE"]}]</v>
      </c>
      <c r="Y91" t="str">
        <f>VLOOKUP(A91,vehicle_detail!$A$2:$DK$101,78,FALSE)</f>
        <v>["1001", "1007"]</v>
      </c>
      <c r="Z91" t="str">
        <f>VLOOKUP(A91,vehicle_detail!$A$2:$DK$101,80,FALSE)</f>
        <v>["001", "003", "004", "005", "006", "007", "008", "010", "014", "015", "017", "019", "020", "021", "022", "023", "024", "026", "027", "029", "030", "031", "032", "033", "034", "035", "051", "055", "056", "057", "058", "059", "063", "068", "071", "072", "074", "077", "081", "082", "083", "084", "085", "087", "092", "093", "094", "095", "096", "097"]</v>
      </c>
    </row>
    <row r="92" spans="1:26">
      <c r="A92" t="s">
        <v>155</v>
      </c>
      <c r="B92" t="str">
        <f>VLOOKUP(A92,vehicle_detail!$A$2:$DK$101,111,FALSE)</f>
        <v>47누5277</v>
      </c>
      <c r="C92" t="str">
        <f>VLOOKUP(A92,vehicle_detail!$A$2:$DK$101,101,FALSE)</f>
        <v>흰색</v>
      </c>
      <c r="D92" t="str">
        <f>VLOOKUP(A92,list_100!$B$2:$P$101,9,FALSE)</f>
        <v>현대</v>
      </c>
      <c r="E92" t="str">
        <f>VLOOKUP(A92,list_100!$B$2:$P$101,11,FALSE)</f>
        <v>싼타페 더 프라임</v>
      </c>
      <c r="F92" t="str">
        <f>VLOOKUP(A92,list_100!$B$2:$P$101,2,FALSE)</f>
        <v>디젤 2.0 2WD</v>
      </c>
      <c r="G92" t="str">
        <f>VLOOKUP(A92,list_100!$B$2:$P$101,3,FALSE)</f>
        <v>익스클루시브 스페셜</v>
      </c>
      <c r="H92" t="str">
        <f>VLOOKUP(A92,list_100!$B$2:$P$101,6,FALSE)</f>
        <v>2016</v>
      </c>
      <c r="I92" t="str">
        <f>VLOOKUP(A92,list_100!$B$2:$P$101,7,FALSE)</f>
        <v>디젤</v>
      </c>
      <c r="J92" t="str">
        <f>VLOOKUP(A92,vehicle_detail!$A$2:$DK$101,100,FALSE)</f>
        <v>SUV</v>
      </c>
      <c r="K92" s="2">
        <f>VLOOKUP(A92,list_100!$B$2:$P$101,15,FALSE)</f>
        <v>1610</v>
      </c>
      <c r="L92" s="2">
        <f>VLOOKUP(A92,list_100!$B$2:$P$101,10,FALSE)</f>
        <v>78195</v>
      </c>
      <c r="M92">
        <f>VLOOKUP(A92,list_100!$B$2:$V$101,21,FALSE)</f>
        <v>201506</v>
      </c>
      <c r="N92" t="str">
        <f>VLOOKUP(A92,seller_user!$A$2:$Y$101,2,FALSE)</f>
        <v>cho5136</v>
      </c>
      <c r="O92" t="str">
        <f>VLOOKUP(A92,seller_user!$A$2:$Y$101,25,FALSE)</f>
        <v>조영주</v>
      </c>
      <c r="P92" t="str">
        <f>VLOOKUP(A92,seller_user!$A$2:$Y$101,3,FALSE)</f>
        <v>[{"companyType": "FIRM", "companyName": "(주)하나모터스", "brn": "804-88-00676", "associationCd": 0, "associationName": "강남 자동차매매사업조합", "associationPhoneNumber": "02-3414-7300", "certificatedEmployeeNumber": "SE22-01023", "address": {"zipcode": "06378 ", "location": null, "sido": "서울", "sigungu": "강남구", "eupmyeondong": null, "eupmyeondongEtc": null, "address": "서울 강남구 헌릉로745길 25", "buildingCd": "1168011300101080009000001"}, "contacts": null, "used": true}]</v>
      </c>
      <c r="Q92" t="str">
        <f>VLOOKUP(A92,inspection_detail_raw!A92:BK191,4,FALSE)</f>
        <v>["TABLE"]</v>
      </c>
      <c r="R92" t="str">
        <f>IFERROR("https://ci.encar.com"&amp;VLOOKUP(A92,'성능점검 이미지정보'!A:E,2,FALSE),"")</f>
        <v/>
      </c>
      <c r="S92" t="str">
        <f>VLOOKUP(A92,inspection_detail_raw!A92:BK191,50,FALSE)</f>
        <v>[]</v>
      </c>
      <c r="T92" t="str">
        <f>IFERROR(VLOOKUP(TEXT(A92,"0"), inspection_detail_raw!A:BK, 51, FALSE), "알수없음")</f>
        <v>20270623</v>
      </c>
      <c r="U92" t="str">
        <f>IFERROR(VLOOKUP(TEXT(A92,"0"), inspection_detail_raw!A:BK, 52, FALSE), "알수없음")</f>
        <v>20250624</v>
      </c>
      <c r="V92" t="str">
        <f>IFERROR(VLOOKUP(TEXT(A92,"0"), inspection_detail_raw!A:BK, 54, FALSE), "알수없음")</f>
        <v>KMHSW81UBGU532559</v>
      </c>
      <c r="W92" t="b">
        <f>IFERROR(VLOOKUP(TEXT(A92,"0"), inspection_detail_raw!A:BK, 57, FALSE), "알수없음")</f>
        <v>1</v>
      </c>
      <c r="X92" t="str">
        <f>IFERROR(VLOOKUP(TEXT(A92,"0"), inspection_detail_raw!A:BK, 59, FALSE), "알수없음")</f>
        <v>[{"type": {"code": "P021", "title": "프론트 휀더(좌)"}, "statusTypes": [{"code": "X", "title": "교환(교체)"}], "attributes": ["RANK_ONE"]}]</v>
      </c>
      <c r="Y92" t="str">
        <f>VLOOKUP(A92,vehicle_detail!$A$2:$DK$101,78,FALSE)</f>
        <v>["10008", "1019", "1002"]</v>
      </c>
      <c r="Z92" t="str">
        <f>VLOOKUP(A92,vehicle_detail!$A$2:$DK$101,80,FALSE)</f>
        <v>["001", "003", "004", "005", "006", "007", "008", "010", "014", "015", "017", "019", "020", "021", "022", "023", "024", "026", "027", "029", "030", "031", "032", "033", "034", "035", "051", "055", "056", "057", "058", "062", "063", "068", "071", "072", "074", "077", "081", "082", "085", "092", "094", "096", "097"]</v>
      </c>
    </row>
    <row r="93" spans="1:26">
      <c r="A93" t="s">
        <v>157</v>
      </c>
      <c r="B93" t="str">
        <f>VLOOKUP(A93,vehicle_detail!$A$2:$DK$101,111,FALSE)</f>
        <v>125호6117</v>
      </c>
      <c r="C93" t="str">
        <f>VLOOKUP(A93,vehicle_detail!$A$2:$DK$101,101,FALSE)</f>
        <v>검정색</v>
      </c>
      <c r="D93" t="str">
        <f>VLOOKUP(A93,list_100!$B$2:$P$101,9,FALSE)</f>
        <v>현대</v>
      </c>
      <c r="E93" t="str">
        <f>VLOOKUP(A93,list_100!$B$2:$P$101,11,FALSE)</f>
        <v>스타리아</v>
      </c>
      <c r="F93" t="str">
        <f>VLOOKUP(A93,list_100!$B$2:$P$101,2,FALSE)</f>
        <v>투어러 9인승</v>
      </c>
      <c r="G93" t="str">
        <f>VLOOKUP(A93,list_100!$B$2:$P$101,3,FALSE)</f>
        <v>모던</v>
      </c>
      <c r="H93" t="str">
        <f>VLOOKUP(A93,list_100!$B$2:$P$101,6,FALSE)</f>
        <v>2022</v>
      </c>
      <c r="I93" t="str">
        <f>VLOOKUP(A93,list_100!$B$2:$P$101,7,FALSE)</f>
        <v>디젤</v>
      </c>
      <c r="J93" t="str">
        <f>VLOOKUP(A93,vehicle_detail!$A$2:$DK$101,100,FALSE)</f>
        <v>승합차</v>
      </c>
      <c r="K93" s="2">
        <f>VLOOKUP(A93,list_100!$B$2:$P$101,15,FALSE)</f>
        <v>9999</v>
      </c>
      <c r="L93" s="2">
        <f>VLOOKUP(A93,list_100!$B$2:$P$101,10,FALSE)</f>
        <v>55500</v>
      </c>
      <c r="M93">
        <f>VLOOKUP(A93,list_100!$B$2:$V$101,21,FALSE)</f>
        <v>202205</v>
      </c>
      <c r="N93" t="str">
        <f>VLOOKUP(A93,seller_user!$A$2:$Y$101,2,FALSE)</f>
        <v>tokky123</v>
      </c>
      <c r="O93" t="str">
        <f>VLOOKUP(A93,seller_user!$A$2:$Y$101,25,FALSE)</f>
        <v>전담 매니저</v>
      </c>
      <c r="P93" t="str">
        <f>VLOOKUP(A93,seller_user!$A$2:$Y$101,3,FALSE)</f>
        <v>[]</v>
      </c>
      <c r="Q93">
        <f>VLOOKUP(A93,inspection_detail_raw!A93:BK192,4,FALSE)</f>
        <v>0</v>
      </c>
      <c r="R93" t="str">
        <f>IFERROR("https://ci.encar.com"&amp;VLOOKUP(A93,'성능점검 이미지정보'!A:E,2,FALSE),"")</f>
        <v/>
      </c>
      <c r="S93">
        <f>VLOOKUP(A93,inspection_detail_raw!A93:BK192,50,FALSE)</f>
        <v>0</v>
      </c>
      <c r="T93">
        <f>IFERROR(VLOOKUP(TEXT(A93,"0"), inspection_detail_raw!A:BK, 51, FALSE), "알수없음")</f>
        <v>0</v>
      </c>
      <c r="U93">
        <f>IFERROR(VLOOKUP(TEXT(A93,"0"), inspection_detail_raw!A:BK, 52, FALSE), "알수없음")</f>
        <v>0</v>
      </c>
      <c r="V93">
        <f>IFERROR(VLOOKUP(TEXT(A93,"0"), inspection_detail_raw!A:BK, 54, FALSE), "알수없음")</f>
        <v>0</v>
      </c>
      <c r="W93">
        <f>IFERROR(VLOOKUP(TEXT(A93,"0"), inspection_detail_raw!A:BK, 57, FALSE), "알수없음")</f>
        <v>0</v>
      </c>
      <c r="X93">
        <f>IFERROR(VLOOKUP(TEXT(A93,"0"), inspection_detail_raw!A:BK, 59, FALSE), "알수없음")</f>
        <v>0</v>
      </c>
      <c r="Y93" t="str">
        <f>VLOOKUP(A93,vehicle_detail!$A$2:$DK$101,78,FALSE)</f>
        <v>["10002", "10001"]</v>
      </c>
      <c r="Z93" t="str">
        <f>VLOOKUP(A93,vehicle_detail!$A$2:$DK$101,80,FALSE)</f>
        <v>["001", "005", "006", "007", "008", "014", "015", "017", "019", "020", "022", "023", "024", "026", "027", "030", "031", "032", "033", "055", "056", "057", "058", "072", "079", "081", "082", "086", "088", "094", "096", "097"]</v>
      </c>
    </row>
    <row r="94" spans="1:26">
      <c r="A94" t="s">
        <v>158</v>
      </c>
      <c r="B94" t="str">
        <f>VLOOKUP(A94,vehicle_detail!$A$2:$DK$101,111,FALSE)</f>
        <v>125호7817</v>
      </c>
      <c r="C94" t="str">
        <f>VLOOKUP(A94,vehicle_detail!$A$2:$DK$101,101,FALSE)</f>
        <v>검정색</v>
      </c>
      <c r="D94" t="str">
        <f>VLOOKUP(A94,list_100!$B$2:$P$101,9,FALSE)</f>
        <v>현대</v>
      </c>
      <c r="E94" t="str">
        <f>VLOOKUP(A94,list_100!$B$2:$P$101,11,FALSE)</f>
        <v>스타리아</v>
      </c>
      <c r="F94" t="str">
        <f>VLOOKUP(A94,list_100!$B$2:$P$101,2,FALSE)</f>
        <v>투어러 9인승</v>
      </c>
      <c r="G94" t="str">
        <f>VLOOKUP(A94,list_100!$B$2:$P$101,3,FALSE)</f>
        <v>모던</v>
      </c>
      <c r="H94" t="str">
        <f>VLOOKUP(A94,list_100!$B$2:$P$101,6,FALSE)</f>
        <v>2023</v>
      </c>
      <c r="I94" t="str">
        <f>VLOOKUP(A94,list_100!$B$2:$P$101,7,FALSE)</f>
        <v>디젤</v>
      </c>
      <c r="J94" t="str">
        <f>VLOOKUP(A94,vehicle_detail!$A$2:$DK$101,100,FALSE)</f>
        <v>승합차</v>
      </c>
      <c r="K94" s="2">
        <f>VLOOKUP(A94,list_100!$B$2:$P$101,15,FALSE)</f>
        <v>9999</v>
      </c>
      <c r="L94" s="2">
        <f>VLOOKUP(A94,list_100!$B$2:$P$101,10,FALSE)</f>
        <v>39800</v>
      </c>
      <c r="M94">
        <f>VLOOKUP(A94,list_100!$B$2:$V$101,21,FALSE)</f>
        <v>202211</v>
      </c>
      <c r="N94" t="str">
        <f>VLOOKUP(A94,seller_user!$A$2:$Y$101,2,FALSE)</f>
        <v>tokky123</v>
      </c>
      <c r="O94" t="str">
        <f>VLOOKUP(A94,seller_user!$A$2:$Y$101,25,FALSE)</f>
        <v>전담 매니저</v>
      </c>
      <c r="P94" t="str">
        <f>VLOOKUP(A94,seller_user!$A$2:$Y$101,3,FALSE)</f>
        <v>[]</v>
      </c>
      <c r="Q94">
        <f>VLOOKUP(A94,inspection_detail_raw!A94:BK193,4,FALSE)</f>
        <v>0</v>
      </c>
      <c r="R94" t="str">
        <f>IFERROR("https://ci.encar.com"&amp;VLOOKUP(A94,'성능점검 이미지정보'!A:E,2,FALSE),"")</f>
        <v/>
      </c>
      <c r="S94">
        <f>VLOOKUP(A94,inspection_detail_raw!A94:BK193,50,FALSE)</f>
        <v>0</v>
      </c>
      <c r="T94">
        <f>IFERROR(VLOOKUP(TEXT(A94,"0"), inspection_detail_raw!A:BK, 51, FALSE), "알수없음")</f>
        <v>0</v>
      </c>
      <c r="U94">
        <f>IFERROR(VLOOKUP(TEXT(A94,"0"), inspection_detail_raw!A:BK, 52, FALSE), "알수없음")</f>
        <v>0</v>
      </c>
      <c r="V94">
        <f>IFERROR(VLOOKUP(TEXT(A94,"0"), inspection_detail_raw!A:BK, 54, FALSE), "알수없음")</f>
        <v>0</v>
      </c>
      <c r="W94">
        <f>IFERROR(VLOOKUP(TEXT(A94,"0"), inspection_detail_raw!A:BK, 57, FALSE), "알수없음")</f>
        <v>0</v>
      </c>
      <c r="X94">
        <f>IFERROR(VLOOKUP(TEXT(A94,"0"), inspection_detail_raw!A:BK, 59, FALSE), "알수없음")</f>
        <v>0</v>
      </c>
      <c r="Y94" t="str">
        <f>VLOOKUP(A94,vehicle_detail!$A$2:$DK$101,78,FALSE)</f>
        <v>["10002", "10001"]</v>
      </c>
      <c r="Z94" t="str">
        <f>VLOOKUP(A94,vehicle_detail!$A$2:$DK$101,80,FALSE)</f>
        <v>["001", "005", "006", "007", "008", "014", "015", "017", "019", "020", "022", "023", "024", "026", "027", "030", "031", "032", "033", "055", "056", "057", "058", "072", "079", "081", "082", "086", "088", "094", "096", "097"]</v>
      </c>
    </row>
    <row r="95" spans="1:26">
      <c r="A95" t="s">
        <v>159</v>
      </c>
      <c r="B95" t="str">
        <f>VLOOKUP(A95,vehicle_detail!$A$2:$DK$101,111,FALSE)</f>
        <v>142호5080</v>
      </c>
      <c r="C95" t="str">
        <f>VLOOKUP(A95,vehicle_detail!$A$2:$DK$101,101,FALSE)</f>
        <v>검정색</v>
      </c>
      <c r="D95" t="str">
        <f>VLOOKUP(A95,list_100!$B$2:$P$101,9,FALSE)</f>
        <v>현대</v>
      </c>
      <c r="E95" t="str">
        <f>VLOOKUP(A95,list_100!$B$2:$P$101,11,FALSE)</f>
        <v>스타리아</v>
      </c>
      <c r="F95" t="str">
        <f>VLOOKUP(A95,list_100!$B$2:$P$101,2,FALSE)</f>
        <v>투어러 9인승</v>
      </c>
      <c r="G95" t="str">
        <f>VLOOKUP(A95,list_100!$B$2:$P$101,3,FALSE)</f>
        <v>모던</v>
      </c>
      <c r="H95" t="str">
        <f>VLOOKUP(A95,list_100!$B$2:$P$101,6,FALSE)</f>
        <v>2025</v>
      </c>
      <c r="I95" t="str">
        <f>VLOOKUP(A95,list_100!$B$2:$P$101,7,FALSE)</f>
        <v>디젤</v>
      </c>
      <c r="J95" t="str">
        <f>VLOOKUP(A95,vehicle_detail!$A$2:$DK$101,100,FALSE)</f>
        <v>승합차</v>
      </c>
      <c r="K95" s="2">
        <f>VLOOKUP(A95,list_100!$B$2:$P$101,15,FALSE)</f>
        <v>9999</v>
      </c>
      <c r="L95" s="2">
        <f>VLOOKUP(A95,list_100!$B$2:$P$101,10,FALSE)</f>
        <v>22000</v>
      </c>
      <c r="M95">
        <f>VLOOKUP(A95,list_100!$B$2:$V$101,21,FALSE)</f>
        <v>202407</v>
      </c>
      <c r="N95" t="str">
        <f>VLOOKUP(A95,seller_user!$A$2:$Y$101,2,FALSE)</f>
        <v>tokky123</v>
      </c>
      <c r="O95" t="str">
        <f>VLOOKUP(A95,seller_user!$A$2:$Y$101,25,FALSE)</f>
        <v>전담 매니저</v>
      </c>
      <c r="P95" t="str">
        <f>VLOOKUP(A95,seller_user!$A$2:$Y$101,3,FALSE)</f>
        <v>[]</v>
      </c>
      <c r="Q95">
        <f>VLOOKUP(A95,inspection_detail_raw!A95:BK194,4,FALSE)</f>
        <v>0</v>
      </c>
      <c r="R95" t="str">
        <f>IFERROR("https://ci.encar.com"&amp;VLOOKUP(A95,'성능점검 이미지정보'!A:E,2,FALSE),"")</f>
        <v/>
      </c>
      <c r="S95">
        <f>VLOOKUP(A95,inspection_detail_raw!A95:BK194,50,FALSE)</f>
        <v>0</v>
      </c>
      <c r="T95">
        <f>IFERROR(VLOOKUP(TEXT(A95,"0"), inspection_detail_raw!A:BK, 51, FALSE), "알수없음")</f>
        <v>0</v>
      </c>
      <c r="U95">
        <f>IFERROR(VLOOKUP(TEXT(A95,"0"), inspection_detail_raw!A:BK, 52, FALSE), "알수없음")</f>
        <v>0</v>
      </c>
      <c r="V95">
        <f>IFERROR(VLOOKUP(TEXT(A95,"0"), inspection_detail_raw!A:BK, 54, FALSE), "알수없음")</f>
        <v>0</v>
      </c>
      <c r="W95">
        <f>IFERROR(VLOOKUP(TEXT(A95,"0"), inspection_detail_raw!A:BK, 57, FALSE), "알수없음")</f>
        <v>0</v>
      </c>
      <c r="X95">
        <f>IFERROR(VLOOKUP(TEXT(A95,"0"), inspection_detail_raw!A:BK, 59, FALSE), "알수없음")</f>
        <v>0</v>
      </c>
      <c r="Y95" t="str">
        <f>VLOOKUP(A95,vehicle_detail!$A$2:$DK$101,78,FALSE)</f>
        <v>["10005", "10001"]</v>
      </c>
      <c r="Z95" t="str">
        <f>VLOOKUP(A95,vehicle_detail!$A$2:$DK$101,80,FALSE)</f>
        <v>["001", "005", "006", "007", "008", "014", "015", "017", "019", "020", "022", "023", "024", "026", "027", "030", "031", "032", "033", "055", "056", "057", "058", "059", "072", "074", "079", "081", "082", "085", "086", "088", "094", "096", "097"]</v>
      </c>
    </row>
    <row r="96" spans="1:26">
      <c r="A96" t="s">
        <v>160</v>
      </c>
      <c r="B96" t="str">
        <f>VLOOKUP(A96,vehicle_detail!$A$2:$DK$101,111,FALSE)</f>
        <v>142호5040</v>
      </c>
      <c r="C96" t="str">
        <f>VLOOKUP(A96,vehicle_detail!$A$2:$DK$101,101,FALSE)</f>
        <v>검정색</v>
      </c>
      <c r="D96" t="str">
        <f>VLOOKUP(A96,list_100!$B$2:$P$101,9,FALSE)</f>
        <v>현대</v>
      </c>
      <c r="E96" t="str">
        <f>VLOOKUP(A96,list_100!$B$2:$P$101,11,FALSE)</f>
        <v>스타리아</v>
      </c>
      <c r="F96" t="str">
        <f>VLOOKUP(A96,list_100!$B$2:$P$101,2,FALSE)</f>
        <v>투어러 9인승</v>
      </c>
      <c r="G96" t="str">
        <f>VLOOKUP(A96,list_100!$B$2:$P$101,3,FALSE)</f>
        <v>모던</v>
      </c>
      <c r="H96" t="str">
        <f>VLOOKUP(A96,list_100!$B$2:$P$101,6,FALSE)</f>
        <v>2025</v>
      </c>
      <c r="I96" t="str">
        <f>VLOOKUP(A96,list_100!$B$2:$P$101,7,FALSE)</f>
        <v>디젤</v>
      </c>
      <c r="J96" t="str">
        <f>VLOOKUP(A96,vehicle_detail!$A$2:$DK$101,100,FALSE)</f>
        <v>승합차</v>
      </c>
      <c r="K96" s="2">
        <f>VLOOKUP(A96,list_100!$B$2:$P$101,15,FALSE)</f>
        <v>9999</v>
      </c>
      <c r="L96" s="2">
        <f>VLOOKUP(A96,list_100!$B$2:$P$101,10,FALSE)</f>
        <v>15300</v>
      </c>
      <c r="M96">
        <f>VLOOKUP(A96,list_100!$B$2:$V$101,21,FALSE)</f>
        <v>202407</v>
      </c>
      <c r="N96" t="str">
        <f>VLOOKUP(A96,seller_user!$A$2:$Y$101,2,FALSE)</f>
        <v>tokky123</v>
      </c>
      <c r="O96" t="str">
        <f>VLOOKUP(A96,seller_user!$A$2:$Y$101,25,FALSE)</f>
        <v>전담 매니저</v>
      </c>
      <c r="P96" t="str">
        <f>VLOOKUP(A96,seller_user!$A$2:$Y$101,3,FALSE)</f>
        <v>[]</v>
      </c>
      <c r="Q96">
        <f>VLOOKUP(A96,inspection_detail_raw!A96:BK195,4,FALSE)</f>
        <v>0</v>
      </c>
      <c r="R96" t="str">
        <f>IFERROR("https://ci.encar.com"&amp;VLOOKUP(A96,'성능점검 이미지정보'!A:E,2,FALSE),"")</f>
        <v/>
      </c>
      <c r="S96">
        <f>VLOOKUP(A96,inspection_detail_raw!A96:BK195,50,FALSE)</f>
        <v>0</v>
      </c>
      <c r="T96">
        <f>IFERROR(VLOOKUP(TEXT(A96,"0"), inspection_detail_raw!A:BK, 51, FALSE), "알수없음")</f>
        <v>0</v>
      </c>
      <c r="U96">
        <f>IFERROR(VLOOKUP(TEXT(A96,"0"), inspection_detail_raw!A:BK, 52, FALSE), "알수없음")</f>
        <v>0</v>
      </c>
      <c r="V96">
        <f>IFERROR(VLOOKUP(TEXT(A96,"0"), inspection_detail_raw!A:BK, 54, FALSE), "알수없음")</f>
        <v>0</v>
      </c>
      <c r="W96">
        <f>IFERROR(VLOOKUP(TEXT(A96,"0"), inspection_detail_raw!A:BK, 57, FALSE), "알수없음")</f>
        <v>0</v>
      </c>
      <c r="X96">
        <f>IFERROR(VLOOKUP(TEXT(A96,"0"), inspection_detail_raw!A:BK, 59, FALSE), "알수없음")</f>
        <v>0</v>
      </c>
      <c r="Y96" t="str">
        <f>VLOOKUP(A96,vehicle_detail!$A$2:$DK$101,78,FALSE)</f>
        <v>["10005", "10001"]</v>
      </c>
      <c r="Z96" t="str">
        <f>VLOOKUP(A96,vehicle_detail!$A$2:$DK$101,80,FALSE)</f>
        <v>["001", "005", "006", "007", "008", "014", "015", "017", "019", "020", "022", "023", "024", "026", "027", "030", "031", "032", "033", "055", "056", "057", "058", "059", "072", "074", "079", "081", "082", "085", "086", "088", "094", "096", "097"]</v>
      </c>
    </row>
    <row r="97" spans="1:26">
      <c r="A97" t="s">
        <v>161</v>
      </c>
      <c r="B97" t="str">
        <f>VLOOKUP(A97,vehicle_detail!$A$2:$DK$101,111,FALSE)</f>
        <v>142호5038</v>
      </c>
      <c r="C97" t="str">
        <f>VLOOKUP(A97,vehicle_detail!$A$2:$DK$101,101,FALSE)</f>
        <v>검정색</v>
      </c>
      <c r="D97" t="str">
        <f>VLOOKUP(A97,list_100!$B$2:$P$101,9,FALSE)</f>
        <v>현대</v>
      </c>
      <c r="E97" t="str">
        <f>VLOOKUP(A97,list_100!$B$2:$P$101,11,FALSE)</f>
        <v>스타리아</v>
      </c>
      <c r="F97" t="str">
        <f>VLOOKUP(A97,list_100!$B$2:$P$101,2,FALSE)</f>
        <v>투어러 9인승</v>
      </c>
      <c r="G97" t="str">
        <f>VLOOKUP(A97,list_100!$B$2:$P$101,3,FALSE)</f>
        <v>모던</v>
      </c>
      <c r="H97" t="str">
        <f>VLOOKUP(A97,list_100!$B$2:$P$101,6,FALSE)</f>
        <v>2025</v>
      </c>
      <c r="I97" t="str">
        <f>VLOOKUP(A97,list_100!$B$2:$P$101,7,FALSE)</f>
        <v>디젤</v>
      </c>
      <c r="J97" t="str">
        <f>VLOOKUP(A97,vehicle_detail!$A$2:$DK$101,100,FALSE)</f>
        <v>승합차</v>
      </c>
      <c r="K97" s="2">
        <f>VLOOKUP(A97,list_100!$B$2:$P$101,15,FALSE)</f>
        <v>9999</v>
      </c>
      <c r="L97" s="2">
        <f>VLOOKUP(A97,list_100!$B$2:$P$101,10,FALSE)</f>
        <v>22900</v>
      </c>
      <c r="M97">
        <f>VLOOKUP(A97,list_100!$B$2:$V$101,21,FALSE)</f>
        <v>202407</v>
      </c>
      <c r="N97" t="str">
        <f>VLOOKUP(A97,seller_user!$A$2:$Y$101,2,FALSE)</f>
        <v>tokky123</v>
      </c>
      <c r="O97" t="str">
        <f>VLOOKUP(A97,seller_user!$A$2:$Y$101,25,FALSE)</f>
        <v>전담 매니저</v>
      </c>
      <c r="P97" t="str">
        <f>VLOOKUP(A97,seller_user!$A$2:$Y$101,3,FALSE)</f>
        <v>[]</v>
      </c>
      <c r="Q97">
        <f>VLOOKUP(A97,inspection_detail_raw!A97:BK196,4,FALSE)</f>
        <v>0</v>
      </c>
      <c r="R97" t="str">
        <f>IFERROR("https://ci.encar.com"&amp;VLOOKUP(A97,'성능점검 이미지정보'!A:E,2,FALSE),"")</f>
        <v/>
      </c>
      <c r="S97">
        <f>VLOOKUP(A97,inspection_detail_raw!A97:BK196,50,FALSE)</f>
        <v>0</v>
      </c>
      <c r="T97">
        <f>IFERROR(VLOOKUP(TEXT(A97,"0"), inspection_detail_raw!A:BK, 51, FALSE), "알수없음")</f>
        <v>0</v>
      </c>
      <c r="U97">
        <f>IFERROR(VLOOKUP(TEXT(A97,"0"), inspection_detail_raw!A:BK, 52, FALSE), "알수없음")</f>
        <v>0</v>
      </c>
      <c r="V97">
        <f>IFERROR(VLOOKUP(TEXT(A97,"0"), inspection_detail_raw!A:BK, 54, FALSE), "알수없음")</f>
        <v>0</v>
      </c>
      <c r="W97">
        <f>IFERROR(VLOOKUP(TEXT(A97,"0"), inspection_detail_raw!A:BK, 57, FALSE), "알수없음")</f>
        <v>0</v>
      </c>
      <c r="X97">
        <f>IFERROR(VLOOKUP(TEXT(A97,"0"), inspection_detail_raw!A:BK, 59, FALSE), "알수없음")</f>
        <v>0</v>
      </c>
      <c r="Y97" t="str">
        <f>VLOOKUP(A97,vehicle_detail!$A$2:$DK$101,78,FALSE)</f>
        <v>["10005", "10001"]</v>
      </c>
      <c r="Z97" t="str">
        <f>VLOOKUP(A97,vehicle_detail!$A$2:$DK$101,80,FALSE)</f>
        <v>["001", "005", "006", "007", "008", "014", "015", "017", "019", "020", "022", "023", "024", "026", "027", "030", "031", "032", "033", "055", "056", "057", "059", "072", "074", "079", "081", "082", "085", "086", "088", "094", "096", "097"]</v>
      </c>
    </row>
    <row r="98" spans="1:26">
      <c r="A98" t="s">
        <v>162</v>
      </c>
      <c r="B98" t="str">
        <f>VLOOKUP(A98,vehicle_detail!$A$2:$DK$101,111,FALSE)</f>
        <v>244서5939</v>
      </c>
      <c r="C98" t="str">
        <f>VLOOKUP(A98,vehicle_detail!$A$2:$DK$101,101,FALSE)</f>
        <v>검정색</v>
      </c>
      <c r="D98" t="str">
        <f>VLOOKUP(A98,list_100!$B$2:$P$101,9,FALSE)</f>
        <v>현대</v>
      </c>
      <c r="E98" t="str">
        <f>VLOOKUP(A98,list_100!$B$2:$P$101,11,FALSE)</f>
        <v>투싼 (NX4)</v>
      </c>
      <c r="F98" t="str">
        <f>VLOOKUP(A98,list_100!$B$2:$P$101,2,FALSE)</f>
        <v>가솔린 1.6 터보 2WD</v>
      </c>
      <c r="G98" t="str">
        <f>VLOOKUP(A98,list_100!$B$2:$P$101,3,FALSE)</f>
        <v>모던</v>
      </c>
      <c r="H98" t="str">
        <f>VLOOKUP(A98,list_100!$B$2:$P$101,6,FALSE)</f>
        <v>2023</v>
      </c>
      <c r="I98" t="str">
        <f>VLOOKUP(A98,list_100!$B$2:$P$101,7,FALSE)</f>
        <v>가솔린</v>
      </c>
      <c r="J98" t="str">
        <f>VLOOKUP(A98,vehicle_detail!$A$2:$DK$101,100,FALSE)</f>
        <v>SUV</v>
      </c>
      <c r="K98" s="2">
        <f>VLOOKUP(A98,list_100!$B$2:$P$101,15,FALSE)</f>
        <v>2500</v>
      </c>
      <c r="L98" s="2">
        <f>VLOOKUP(A98,list_100!$B$2:$P$101,10,FALSE)</f>
        <v>33951</v>
      </c>
      <c r="M98">
        <f>VLOOKUP(A98,list_100!$B$2:$V$101,21,FALSE)</f>
        <v>202308</v>
      </c>
      <c r="N98" t="str">
        <f>VLOOKUP(A98,seller_user!$A$2:$Y$101,2,FALSE)</f>
        <v>q1234qazxs</v>
      </c>
      <c r="O98" t="str">
        <f>VLOOKUP(A98,seller_user!$A$2:$Y$101,25,FALSE)</f>
        <v>김형채</v>
      </c>
      <c r="P98" t="str">
        <f>VLOOKUP(A98,seller_user!$A$2:$Y$101,3,FALSE)</f>
        <v>[{"companyType": "FIRM", "companyName": "형채와자동차", "brn": "314-86-35019", "associationCd": 24, "associationName": "대전오토월드 자동차매매사업조합", "associationPhoneNumber": "042-604-8800", "certificatedEmployeeNumber": "12-0623", "address": {"zipcode": "34202 ", "location": null, "sido": "대전", "sigungu": "유성구", "eupmyeondong": null, "eupmyeondongEtc": null, "address": "대전 유성구", "buildingCd": "3020011600101890003015610"}, "contacts": null, "used": true}]</v>
      </c>
      <c r="Q98" t="str">
        <f>VLOOKUP(A98,inspection_detail_raw!A98:BK197,4,FALSE)</f>
        <v>["TABLE"]</v>
      </c>
      <c r="R98" t="str">
        <f>IFERROR("https://ci.encar.com"&amp;VLOOKUP(A98,'성능점검 이미지정보'!A:E,2,FALSE),"")</f>
        <v/>
      </c>
      <c r="S98" t="str">
        <f>VLOOKUP(A98,inspection_detail_raw!A98:BK197,50,FALSE)</f>
        <v>[{"code": "1", "title": "렌트"}]</v>
      </c>
      <c r="T98" t="str">
        <f>IFERROR(VLOOKUP(TEXT(A98,"0"), inspection_detail_raw!A:BK, 51, FALSE), "알수없음")</f>
        <v>20260802</v>
      </c>
      <c r="U98" t="str">
        <f>IFERROR(VLOOKUP(TEXT(A98,"0"), inspection_detail_raw!A:BK, 52, FALSE), "알수없음")</f>
        <v>20250803</v>
      </c>
      <c r="V98" t="str">
        <f>IFERROR(VLOOKUP(TEXT(A98,"0"), inspection_detail_raw!A:BK, 54, FALSE), "알수없음")</f>
        <v>KMHJB81BGPU282761</v>
      </c>
      <c r="W98" t="b">
        <f>IFERROR(VLOOKUP(TEXT(A98,"0"), inspection_detail_raw!A:BK, 57, FALSE), "알수없음")</f>
        <v>0</v>
      </c>
      <c r="X98" t="str">
        <f>IFERROR(VLOOKUP(TEXT(A98,"0"), inspection_detail_raw!A:BK, 59, FALSE), "알수없음")</f>
        <v>[]</v>
      </c>
      <c r="Y98" t="str">
        <f>VLOOKUP(A98,vehicle_detail!$A$2:$DK$101,78,FALSE)</f>
        <v>["10002", "10003", "10004", "10001"]</v>
      </c>
      <c r="Z98" t="str">
        <f>VLOOKUP(A98,vehicle_detail!$A$2:$DK$101,80,FALSE)</f>
        <v>["001", "004", "005", "006", "007", "008", "014", "015", "017", "019", "020", "022", "023", "024", "026", "027", "030", "031", "032", "033", "034", "055", "056", "057", "058", "068", "072", "074", "075", "077", "081", "082", "084", "088", "094", "096", "097"]</v>
      </c>
    </row>
    <row r="99" spans="1:26">
      <c r="A99" t="s">
        <v>164</v>
      </c>
      <c r="B99" t="str">
        <f>VLOOKUP(A99,vehicle_detail!$A$2:$DK$101,111,FALSE)</f>
        <v>350도8734</v>
      </c>
      <c r="C99" t="str">
        <f>VLOOKUP(A99,vehicle_detail!$A$2:$DK$101,101,FALSE)</f>
        <v>흰색</v>
      </c>
      <c r="D99" t="str">
        <f>VLOOKUP(A99,list_100!$B$2:$P$101,9,FALSE)</f>
        <v>현대</v>
      </c>
      <c r="E99" t="str">
        <f>VLOOKUP(A99,list_100!$B$2:$P$101,11,FALSE)</f>
        <v>싼타페 (MX5)</v>
      </c>
      <c r="F99" t="str">
        <f>VLOOKUP(A99,list_100!$B$2:$P$101,2,FALSE)</f>
        <v>HEV 1.6 2WD</v>
      </c>
      <c r="G99" t="str">
        <f>VLOOKUP(A99,list_100!$B$2:$P$101,3,FALSE)</f>
        <v>캘리그래피</v>
      </c>
      <c r="H99" t="str">
        <f>VLOOKUP(A99,list_100!$B$2:$P$101,6,FALSE)</f>
        <v>2024</v>
      </c>
      <c r="I99" t="str">
        <f>VLOOKUP(A99,list_100!$B$2:$P$101,7,FALSE)</f>
        <v>가솔린+전기</v>
      </c>
      <c r="J99" t="str">
        <f>VLOOKUP(A99,vehicle_detail!$A$2:$DK$101,100,FALSE)</f>
        <v>SUV</v>
      </c>
      <c r="K99" s="2">
        <f>VLOOKUP(A99,list_100!$B$2:$P$101,15,FALSE)</f>
        <v>4390</v>
      </c>
      <c r="L99" s="2">
        <f>VLOOKUP(A99,list_100!$B$2:$P$101,10,FALSE)</f>
        <v>17157</v>
      </c>
      <c r="M99">
        <f>VLOOKUP(A99,list_100!$B$2:$V$101,21,FALSE)</f>
        <v>202408</v>
      </c>
      <c r="N99" t="str">
        <f>VLOOKUP(A99,seller_user!$A$2:$Y$101,2,FALSE)</f>
        <v>park9855</v>
      </c>
      <c r="O99" t="str">
        <f>VLOOKUP(A99,seller_user!$A$2:$Y$101,25,FALSE)</f>
        <v>박금철</v>
      </c>
      <c r="P99" t="str">
        <f>VLOOKUP(A99,seller_user!$A$2:$Y$101,3,FALSE)</f>
        <v>[{"companyType": "FIRM", "companyName": "금화모터스", "brn": "516-25-01623", "associationCd": 28, "associationName": "경기 자동차매매사업조합", "associationPhoneNumber": "031-242-8940", "certificatedEmployeeNumber": "10-031-04525", "address": {"zipcode": "17878 ", "location": null, "sido": "경기", "sigungu": "평택시", "eupmyeondong": null, "eupmyeondongEtc": null, "address": "경기 평택시", "buildingCd": "4122011700101210008001618"}, "contacts": null, "used": true}]</v>
      </c>
      <c r="Q99" t="str">
        <f>VLOOKUP(A99,inspection_detail_raw!A99:BK198,4,FALSE)</f>
        <v>["TABLE"]</v>
      </c>
      <c r="R99" t="str">
        <f>IFERROR("https://ci.encar.com"&amp;VLOOKUP(A99,'성능점검 이미지정보'!A:E,2,FALSE),"")</f>
        <v/>
      </c>
      <c r="S99" t="str">
        <f>VLOOKUP(A99,inspection_detail_raw!A99:BK198,50,FALSE)</f>
        <v>[]</v>
      </c>
      <c r="T99" t="str">
        <f>IFERROR(VLOOKUP(TEXT(A99,"0"), inspection_detail_raw!A:BK, 51, FALSE), "알수없음")</f>
        <v>20280805</v>
      </c>
      <c r="U99" t="str">
        <f>IFERROR(VLOOKUP(TEXT(A99,"0"), inspection_detail_raw!A:BK, 52, FALSE), "알수없음")</f>
        <v>20240806</v>
      </c>
      <c r="V99" t="str">
        <f>IFERROR(VLOOKUP(TEXT(A99,"0"), inspection_detail_raw!A:BK, 54, FALSE), "알수없음")</f>
        <v>KMHP5811BRU056554</v>
      </c>
      <c r="W99" t="b">
        <f>IFERROR(VLOOKUP(TEXT(A99,"0"), inspection_detail_raw!A:BK, 57, FALSE), "알수없음")</f>
        <v>0</v>
      </c>
      <c r="X99" t="str">
        <f>IFERROR(VLOOKUP(TEXT(A99,"0"), inspection_detail_raw!A:BK, 59, FALSE), "알수없음")</f>
        <v>[]</v>
      </c>
      <c r="Y99" t="str">
        <f>VLOOKUP(A99,vehicle_detail!$A$2:$DK$101,78,FALSE)</f>
        <v>["1045", "10005", "10007", "10004"]</v>
      </c>
      <c r="Z99" t="str">
        <f>VLOOKUP(A99,vehicle_detail!$A$2:$DK$101,80,FALSE)</f>
        <v>["001", "004", "005", "006", "007", "008", "010", "014", "015", "017", "019", "020", "021", "022", "023", "024", "026", "027", "030", "031", "032", "033", "034", "035", "051", "055", "056", "057", "058", "059", "062", "063", "072", "074", "075", "077", "079", "081", "082", "083", "084", "085", "086", "087", "088", "091", "092", "094", "095", "096", "097"]</v>
      </c>
    </row>
    <row r="100" spans="1:26">
      <c r="A100" t="s">
        <v>166</v>
      </c>
      <c r="B100" t="str">
        <f>VLOOKUP(A100,vehicle_detail!$A$2:$DK$101,111,FALSE)</f>
        <v>193모9014</v>
      </c>
      <c r="C100" t="str">
        <f>VLOOKUP(A100,vehicle_detail!$A$2:$DK$101,101,FALSE)</f>
        <v>쥐색</v>
      </c>
      <c r="D100" t="str">
        <f>VLOOKUP(A100,list_100!$B$2:$P$101,9,FALSE)</f>
        <v>현대</v>
      </c>
      <c r="E100" t="str">
        <f>VLOOKUP(A100,list_100!$B$2:$P$101,11,FALSE)</f>
        <v>더 뉴 싼타페</v>
      </c>
      <c r="F100" t="str">
        <f>VLOOKUP(A100,list_100!$B$2:$P$101,2,FALSE)</f>
        <v>디젤 2.2 4WD</v>
      </c>
      <c r="G100" t="str">
        <f>VLOOKUP(A100,list_100!$B$2:$P$101,3,FALSE)</f>
        <v>프레스티지</v>
      </c>
      <c r="H100" t="str">
        <f>VLOOKUP(A100,list_100!$B$2:$P$101,6,FALSE)</f>
        <v>2021</v>
      </c>
      <c r="I100" t="str">
        <f>VLOOKUP(A100,list_100!$B$2:$P$101,7,FALSE)</f>
        <v>디젤</v>
      </c>
      <c r="J100" t="str">
        <f>VLOOKUP(A100,vehicle_detail!$A$2:$DK$101,100,FALSE)</f>
        <v>SUV</v>
      </c>
      <c r="K100" s="2">
        <f>VLOOKUP(A100,list_100!$B$2:$P$101,15,FALSE)</f>
        <v>3240</v>
      </c>
      <c r="L100" s="2">
        <f>VLOOKUP(A100,list_100!$B$2:$P$101,10,FALSE)</f>
        <v>76633</v>
      </c>
      <c r="M100">
        <f>VLOOKUP(A100,list_100!$B$2:$V$101,21,FALSE)</f>
        <v>202112</v>
      </c>
      <c r="N100" t="str">
        <f>VLOOKUP(A100,seller_user!$A$2:$Y$101,2,FALSE)</f>
        <v>jesus8801</v>
      </c>
      <c r="O100" t="str">
        <f>VLOOKUP(A100,seller_user!$A$2:$Y$101,25,FALSE)</f>
        <v>박진성</v>
      </c>
      <c r="P100" t="str">
        <f>VLOOKUP(A100,seller_user!$A$2:$Y$101,3,FALSE)</f>
        <v>[{"companyType": "FIRM", "companyName": "에이원모터스", "brn": "208-20-56386", "associationCd": 28, "associationName": null, "associationPhoneNumber": null, "certificatedEmployeeNumber": "GC23-00934", "address": {"zipcode": "15457 ", "location": null, "sido": "경기", "sigungu": "안산시 단원구", "eupmyeondong": null, "eupmyeondongEtc": null, "address": "경기 안산시 단원구", "buildingCd": "4127310700107440003010154"}, "contacts": null, "used": true}]</v>
      </c>
      <c r="Q100" t="str">
        <f>VLOOKUP(A100,inspection_detail_raw!A100:BK199,4,FALSE)</f>
        <v>["TABLE"]</v>
      </c>
      <c r="R100" t="str">
        <f>IFERROR("https://ci.encar.com"&amp;VLOOKUP(A100,'성능점검 이미지정보'!A:E,2,FALSE),"")</f>
        <v>https://ci.encar.com/carsdata/cars/inspection/41091081_photoFront.jpg</v>
      </c>
      <c r="S100" t="str">
        <f>VLOOKUP(A100,inspection_detail_raw!A100:BK199,50,FALSE)</f>
        <v>[{"code": "1", "title": "렌트"}]</v>
      </c>
      <c r="T100" t="str">
        <f>IFERROR(VLOOKUP(TEXT(A100,"0"), inspection_detail_raw!A:BK, 51, FALSE), "알수없음")</f>
        <v>20261213</v>
      </c>
      <c r="U100" t="str">
        <f>IFERROR(VLOOKUP(TEXT(A100,"0"), inspection_detail_raw!A:BK, 52, FALSE), "알수없음")</f>
        <v>20251214</v>
      </c>
      <c r="V100" t="str">
        <f>IFERROR(VLOOKUP(TEXT(A100,"0"), inspection_detail_raw!A:BK, 54, FALSE), "알수없음")</f>
        <v>KMHS381HHMU416238</v>
      </c>
      <c r="W100" t="b">
        <f>IFERROR(VLOOKUP(TEXT(A100,"0"), inspection_detail_raw!A:BK, 57, FALSE), "알수없음")</f>
        <v>0</v>
      </c>
      <c r="X100" t="str">
        <f>IFERROR(VLOOKUP(TEXT(A100,"0"), inspection_detail_raw!A:BK, 59, FALSE), "알수없음")</f>
        <v>[]</v>
      </c>
      <c r="Y100" t="str">
        <f>VLOOKUP(A100,vehicle_detail!$A$2:$DK$101,78,FALSE)</f>
        <v>[]</v>
      </c>
      <c r="Z100" t="str">
        <f>VLOOKUP(A100,vehicle_detail!$A$2:$DK$101,80,FALSE)</f>
        <v>["001", "004", "005", "006", "007", "008", "014", "015", "017", "019", "020", "021", "022", "023", "024", "026", "027", "030", "031", "032", "033", "034", "035", "055", "056", "057", "058", "059", "062", "063", "072", "074", "075", "077", "079", "082", "084", "085", "088", "092", "094", "096", "097"]</v>
      </c>
    </row>
    <row r="101" spans="1:26">
      <c r="A101" t="s">
        <v>168</v>
      </c>
      <c r="B101" t="str">
        <f>VLOOKUP(A101,vehicle_detail!$A$2:$DK$101,111,FALSE)</f>
        <v>321고3880</v>
      </c>
      <c r="C101" t="str">
        <f>VLOOKUP(A101,vehicle_detail!$A$2:$DK$101,101,FALSE)</f>
        <v>흰색</v>
      </c>
      <c r="D101" t="str">
        <f>VLOOKUP(A101,list_100!$B$2:$P$101,9,FALSE)</f>
        <v>현대</v>
      </c>
      <c r="E101" t="str">
        <f>VLOOKUP(A101,list_100!$B$2:$P$101,11,FALSE)</f>
        <v>아반떼 AD</v>
      </c>
      <c r="F101" t="str">
        <f>VLOOKUP(A101,list_100!$B$2:$P$101,2,FALSE)</f>
        <v>1.6 e-VGT 스마트</v>
      </c>
      <c r="G101" t="str">
        <f>VLOOKUP(A101,list_100!$B$2:$P$101,3,FALSE)</f>
        <v>(세부등급 없음)</v>
      </c>
      <c r="H101" t="str">
        <f>VLOOKUP(A101,list_100!$B$2:$P$101,6,FALSE)</f>
        <v>2016</v>
      </c>
      <c r="I101" t="str">
        <f>VLOOKUP(A101,list_100!$B$2:$P$101,7,FALSE)</f>
        <v>디젤</v>
      </c>
      <c r="J101" t="str">
        <f>VLOOKUP(A101,vehicle_detail!$A$2:$DK$101,100,FALSE)</f>
        <v>준중형차</v>
      </c>
      <c r="K101" s="2">
        <f>VLOOKUP(A101,list_100!$B$2:$P$101,15,FALSE)</f>
        <v>620</v>
      </c>
      <c r="L101" s="2">
        <f>VLOOKUP(A101,list_100!$B$2:$P$101,10,FALSE)</f>
        <v>145669</v>
      </c>
      <c r="M101">
        <f>VLOOKUP(A101,list_100!$B$2:$V$101,21,FALSE)</f>
        <v>201608</v>
      </c>
      <c r="N101" t="str">
        <f>VLOOKUP(A101,seller_user!$A$2:$Y$101,2,FALSE)</f>
        <v>dpdltpqms</v>
      </c>
      <c r="O101" t="str">
        <f>VLOOKUP(A101,seller_user!$A$2:$Y$101,25,FALSE)</f>
        <v>박태현</v>
      </c>
      <c r="P101" t="str">
        <f>VLOOKUP(A101,seller_user!$A$2:$Y$101,3,FALSE)</f>
        <v>[{"companyType": "FIRM", "companyName": "세븐", "brn": "502-30-93375", "associationCd": 3, "associationName": null, "associationPhoneNumber": null, "certificatedEmployeeNumber": "23-053-00282", "address": {"zipcode": "41080 ", "location": null, "sido": "대구", "sigungu": "동구", "eupmyeondong": null, "eupmyeondongEtc": null, "address": "대구 동구 안심로59길 54", "buildingCd": "2714012300102920008000001"}, "contacts": null, "used": true}]</v>
      </c>
      <c r="Q101" t="str">
        <f>VLOOKUP(A101,inspection_detail_raw!A101:BK200,4,FALSE)</f>
        <v>["TABLE"]</v>
      </c>
      <c r="R101" t="str">
        <f>IFERROR("https://ci.encar.com"&amp;VLOOKUP(A101,'성능점검 이미지정보'!A:E,2,FALSE),"")</f>
        <v/>
      </c>
      <c r="S101" t="str">
        <f>VLOOKUP(A101,inspection_detail_raw!A101:BK200,50,FALSE)</f>
        <v>[{"code": "1", "title": "렌트"}]</v>
      </c>
      <c r="T101" t="str">
        <f>IFERROR(VLOOKUP(TEXT(A101,"0"), inspection_detail_raw!A:BK, 51, FALSE), "알수없음")</f>
        <v>20270824</v>
      </c>
      <c r="U101" t="str">
        <f>IFERROR(VLOOKUP(TEXT(A101,"0"), inspection_detail_raw!A:BK, 52, FALSE), "알수없음")</f>
        <v>20250825</v>
      </c>
      <c r="V101" t="str">
        <f>IFERROR(VLOOKUP(TEXT(A101,"0"), inspection_detail_raw!A:BK, 54, FALSE), "알수없음")</f>
        <v>KMHD641UGGU131415</v>
      </c>
      <c r="W101" t="b">
        <f>IFERROR(VLOOKUP(TEXT(A101,"0"), inspection_detail_raw!A:BK, 57, FALSE), "알수없음")</f>
        <v>1</v>
      </c>
      <c r="X101" t="str">
        <f>IFERROR(VLOOKUP(TEXT(A101,"0"), inspection_detail_raw!A:BK, 59, FALSE), "알수없음")</f>
        <v>[{"type": {"code": "P011", "title": "후드"}, "statusTypes": [{"code": "X", "title": "교환(교체)"}], "attributes": ["RANK_ONE"]}, {"type": {"code": "P021", "title": "프론트 휀더(좌)"}, "statusTypes": [{"code": "X", "title": "교환(교체)"}], "attributes": ["RANK_ONE"]}, {"type": {"code": "P031", "title": "프론트 도어(좌)"}, "statusTypes": [{"code": "X", "title": "교환(교체)"}], "attributes": ["RANK_ONE"]}]</v>
      </c>
      <c r="Y101" t="str">
        <f>VLOOKUP(A101,vehicle_detail!$A$2:$DK$101,78,FALSE)</f>
        <v>["1030"]</v>
      </c>
      <c r="Z101" t="str">
        <f>VLOOKUP(A101,vehicle_detail!$A$2:$DK$101,80,FALSE)</f>
        <v>["001", "004", "005", "006", "007", "008", "014", "015", "017", "019", "020", "022", "024", "026", "027", "031", "032", "033", "055", "056", "058", "071", "072", "082", "096", "097"]</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01"/>
  <sheetViews>
    <sheetView topLeftCell="O1" workbookViewId="0">
      <pane ySplit="1" topLeftCell="A2" activePane="bottomLeft" state="frozen"/>
      <selection pane="bottomLeft" activeCell="B22" sqref="B22:V22"/>
    </sheetView>
  </sheetViews>
  <sheetFormatPr baseColWidth="10" defaultColWidth="8.83203125" defaultRowHeight="17"/>
  <cols>
    <col min="1" max="1" width="20" customWidth="1"/>
    <col min="2" max="2" width="10" customWidth="1"/>
    <col min="3" max="3" width="22" customWidth="1"/>
    <col min="4" max="4" width="18" customWidth="1"/>
    <col min="5" max="5" width="14" customWidth="1"/>
    <col min="6" max="6" width="36" customWidth="1"/>
    <col min="7" max="8" width="15" customWidth="1"/>
    <col min="9" max="9" width="10" customWidth="1"/>
    <col min="10" max="10" width="19" customWidth="1"/>
    <col min="11" max="11" width="14" customWidth="1"/>
    <col min="12" max="12" width="21" customWidth="1"/>
    <col min="13" max="13" width="22" customWidth="1"/>
    <col min="14" max="14" width="33" customWidth="1"/>
    <col min="15" max="15" width="70" customWidth="1"/>
    <col min="16" max="16" width="12" customWidth="1"/>
    <col min="17" max="17" width="18" customWidth="1"/>
    <col min="18" max="18" width="17" customWidth="1"/>
    <col min="19" max="19" width="21" customWidth="1"/>
    <col min="20" max="20" width="22" customWidth="1"/>
    <col min="21" max="21" width="46" customWidth="1"/>
    <col min="22" max="22" width="11" customWidth="1"/>
  </cols>
  <sheetData>
    <row r="1" spans="1:22" ht="18">
      <c r="A1" s="1" t="s">
        <v>170</v>
      </c>
      <c r="B1" s="1" t="s">
        <v>177</v>
      </c>
      <c r="C1" s="1" t="s">
        <v>171</v>
      </c>
      <c r="D1" s="1" t="s">
        <v>172</v>
      </c>
      <c r="E1" s="1" t="s">
        <v>173</v>
      </c>
      <c r="F1" s="1" t="s">
        <v>174</v>
      </c>
      <c r="G1" s="1" t="s">
        <v>175</v>
      </c>
      <c r="H1" s="1" t="s">
        <v>176</v>
      </c>
      <c r="I1" s="1" t="s">
        <v>177</v>
      </c>
      <c r="J1" s="1" t="s">
        <v>178</v>
      </c>
      <c r="K1" s="1" t="s">
        <v>179</v>
      </c>
      <c r="L1" s="1" t="s">
        <v>180</v>
      </c>
      <c r="M1" s="1" t="s">
        <v>181</v>
      </c>
      <c r="N1" s="1" t="s">
        <v>182</v>
      </c>
      <c r="O1" s="1" t="s">
        <v>183</v>
      </c>
      <c r="P1" s="1" t="s">
        <v>184</v>
      </c>
      <c r="Q1" s="1" t="s">
        <v>185</v>
      </c>
      <c r="R1" s="1" t="s">
        <v>186</v>
      </c>
      <c r="S1" s="1" t="s">
        <v>187</v>
      </c>
      <c r="T1" s="1" t="s">
        <v>188</v>
      </c>
      <c r="U1" s="1" t="s">
        <v>189</v>
      </c>
      <c r="V1" s="1" t="s">
        <v>190</v>
      </c>
    </row>
    <row r="2" spans="1:22">
      <c r="A2">
        <v>0</v>
      </c>
      <c r="B2" t="s">
        <v>1</v>
      </c>
      <c r="C2" t="s">
        <v>191</v>
      </c>
      <c r="D2" t="s">
        <v>192</v>
      </c>
      <c r="E2" t="s">
        <v>193</v>
      </c>
      <c r="F2" t="s">
        <v>194</v>
      </c>
      <c r="G2" t="s">
        <v>195</v>
      </c>
      <c r="H2" t="s">
        <v>196</v>
      </c>
      <c r="I2" t="s">
        <v>1</v>
      </c>
      <c r="J2" t="s">
        <v>197</v>
      </c>
      <c r="K2">
        <v>154242</v>
      </c>
      <c r="L2" t="s">
        <v>198</v>
      </c>
      <c r="M2" t="s">
        <v>199</v>
      </c>
      <c r="N2" t="s">
        <v>200</v>
      </c>
      <c r="O2" t="s">
        <v>201</v>
      </c>
      <c r="P2">
        <v>1219</v>
      </c>
      <c r="R2" t="s">
        <v>202</v>
      </c>
      <c r="S2" t="s">
        <v>203</v>
      </c>
      <c r="T2" t="s">
        <v>193</v>
      </c>
      <c r="U2" t="s">
        <v>193</v>
      </c>
      <c r="V2">
        <v>202010</v>
      </c>
    </row>
    <row r="3" spans="1:22">
      <c r="A3">
        <v>0</v>
      </c>
      <c r="B3" t="s">
        <v>3</v>
      </c>
      <c r="C3" t="s">
        <v>204</v>
      </c>
      <c r="D3" t="s">
        <v>205</v>
      </c>
      <c r="E3" t="s">
        <v>193</v>
      </c>
      <c r="F3" t="s">
        <v>194</v>
      </c>
      <c r="G3" t="s">
        <v>206</v>
      </c>
      <c r="H3" t="s">
        <v>207</v>
      </c>
      <c r="I3" t="s">
        <v>3</v>
      </c>
      <c r="J3" t="s">
        <v>197</v>
      </c>
      <c r="K3">
        <v>179987</v>
      </c>
      <c r="L3" t="s">
        <v>208</v>
      </c>
      <c r="M3" t="s">
        <v>199</v>
      </c>
      <c r="N3" t="s">
        <v>209</v>
      </c>
      <c r="O3" t="s">
        <v>210</v>
      </c>
      <c r="P3">
        <v>1039</v>
      </c>
      <c r="R3" t="s">
        <v>202</v>
      </c>
      <c r="S3" t="s">
        <v>203</v>
      </c>
      <c r="T3" t="s">
        <v>193</v>
      </c>
      <c r="U3" t="s">
        <v>193</v>
      </c>
      <c r="V3">
        <v>201506</v>
      </c>
    </row>
    <row r="4" spans="1:22">
      <c r="A4">
        <v>0</v>
      </c>
      <c r="B4" t="s">
        <v>4</v>
      </c>
      <c r="C4" t="s">
        <v>211</v>
      </c>
      <c r="E4" t="s">
        <v>193</v>
      </c>
      <c r="F4" t="s">
        <v>194</v>
      </c>
      <c r="G4" t="s">
        <v>212</v>
      </c>
      <c r="H4" t="s">
        <v>196</v>
      </c>
      <c r="I4" t="s">
        <v>4</v>
      </c>
      <c r="J4" t="s">
        <v>197</v>
      </c>
      <c r="K4">
        <v>196565</v>
      </c>
      <c r="L4" t="s">
        <v>213</v>
      </c>
      <c r="M4" t="s">
        <v>199</v>
      </c>
      <c r="N4" t="s">
        <v>214</v>
      </c>
      <c r="O4" t="s">
        <v>215</v>
      </c>
      <c r="P4">
        <v>459</v>
      </c>
      <c r="R4" t="s">
        <v>202</v>
      </c>
      <c r="S4" t="s">
        <v>203</v>
      </c>
      <c r="T4" t="s">
        <v>193</v>
      </c>
      <c r="U4" t="s">
        <v>193</v>
      </c>
      <c r="V4">
        <v>201306</v>
      </c>
    </row>
    <row r="5" spans="1:22">
      <c r="A5">
        <v>0</v>
      </c>
      <c r="B5" t="s">
        <v>5</v>
      </c>
      <c r="C5" t="s">
        <v>191</v>
      </c>
      <c r="D5" t="s">
        <v>216</v>
      </c>
      <c r="E5" t="s">
        <v>193</v>
      </c>
      <c r="F5" t="s">
        <v>194</v>
      </c>
      <c r="G5" t="s">
        <v>217</v>
      </c>
      <c r="H5" t="s">
        <v>196</v>
      </c>
      <c r="I5" t="s">
        <v>5</v>
      </c>
      <c r="J5" t="s">
        <v>197</v>
      </c>
      <c r="K5">
        <v>94655</v>
      </c>
      <c r="L5" t="s">
        <v>218</v>
      </c>
      <c r="M5" t="s">
        <v>199</v>
      </c>
      <c r="N5" t="s">
        <v>219</v>
      </c>
      <c r="O5" t="s">
        <v>220</v>
      </c>
      <c r="P5">
        <v>999</v>
      </c>
      <c r="R5" t="s">
        <v>202</v>
      </c>
      <c r="S5" t="s">
        <v>203</v>
      </c>
      <c r="T5" t="s">
        <v>193</v>
      </c>
      <c r="U5" t="s">
        <v>193</v>
      </c>
      <c r="V5">
        <v>201810</v>
      </c>
    </row>
    <row r="6" spans="1:22">
      <c r="A6">
        <v>0</v>
      </c>
      <c r="B6" t="s">
        <v>6</v>
      </c>
      <c r="C6" t="s">
        <v>221</v>
      </c>
      <c r="E6" t="s">
        <v>193</v>
      </c>
      <c r="F6" t="s">
        <v>194</v>
      </c>
      <c r="G6" t="s">
        <v>222</v>
      </c>
      <c r="H6" t="s">
        <v>207</v>
      </c>
      <c r="I6" t="s">
        <v>6</v>
      </c>
      <c r="J6" t="s">
        <v>197</v>
      </c>
      <c r="K6">
        <v>165201</v>
      </c>
      <c r="L6" t="s">
        <v>223</v>
      </c>
      <c r="M6" t="s">
        <v>199</v>
      </c>
      <c r="N6" t="s">
        <v>224</v>
      </c>
      <c r="O6" t="s">
        <v>225</v>
      </c>
      <c r="P6">
        <v>549</v>
      </c>
      <c r="R6" t="s">
        <v>202</v>
      </c>
      <c r="S6" t="s">
        <v>203</v>
      </c>
      <c r="T6" t="s">
        <v>193</v>
      </c>
      <c r="U6" t="s">
        <v>193</v>
      </c>
      <c r="V6">
        <v>201212</v>
      </c>
    </row>
    <row r="7" spans="1:22">
      <c r="A7">
        <v>0</v>
      </c>
      <c r="B7" t="s">
        <v>7</v>
      </c>
      <c r="C7" t="s">
        <v>226</v>
      </c>
      <c r="D7" t="s">
        <v>227</v>
      </c>
      <c r="E7" t="s">
        <v>193</v>
      </c>
      <c r="F7" t="s">
        <v>194</v>
      </c>
      <c r="G7" t="s">
        <v>206</v>
      </c>
      <c r="H7" t="s">
        <v>196</v>
      </c>
      <c r="I7" t="s">
        <v>7</v>
      </c>
      <c r="J7" t="s">
        <v>197</v>
      </c>
      <c r="K7">
        <v>182436</v>
      </c>
      <c r="L7" t="s">
        <v>228</v>
      </c>
      <c r="M7" t="s">
        <v>199</v>
      </c>
      <c r="N7" t="s">
        <v>229</v>
      </c>
      <c r="O7" t="s">
        <v>230</v>
      </c>
      <c r="P7">
        <v>669</v>
      </c>
      <c r="R7" t="s">
        <v>202</v>
      </c>
      <c r="S7" t="s">
        <v>203</v>
      </c>
      <c r="T7" t="s">
        <v>193</v>
      </c>
      <c r="U7" t="s">
        <v>193</v>
      </c>
      <c r="V7">
        <v>201609</v>
      </c>
    </row>
    <row r="8" spans="1:22">
      <c r="A8">
        <v>0</v>
      </c>
      <c r="B8" t="s">
        <v>8</v>
      </c>
      <c r="C8" t="s">
        <v>231</v>
      </c>
      <c r="D8" t="s">
        <v>232</v>
      </c>
      <c r="E8" t="s">
        <v>193</v>
      </c>
      <c r="F8" t="s">
        <v>194</v>
      </c>
      <c r="G8" t="s">
        <v>195</v>
      </c>
      <c r="H8" t="s">
        <v>207</v>
      </c>
      <c r="I8" t="s">
        <v>8</v>
      </c>
      <c r="J8" t="s">
        <v>197</v>
      </c>
      <c r="K8">
        <v>64214</v>
      </c>
      <c r="L8" t="s">
        <v>233</v>
      </c>
      <c r="M8" t="s">
        <v>199</v>
      </c>
      <c r="N8" t="s">
        <v>234</v>
      </c>
      <c r="O8" t="s">
        <v>235</v>
      </c>
      <c r="P8">
        <v>1419</v>
      </c>
      <c r="R8" t="s">
        <v>202</v>
      </c>
      <c r="S8" t="s">
        <v>203</v>
      </c>
      <c r="T8" t="s">
        <v>193</v>
      </c>
      <c r="U8" t="s">
        <v>193</v>
      </c>
      <c r="V8">
        <v>202010</v>
      </c>
    </row>
    <row r="9" spans="1:22">
      <c r="A9">
        <v>0</v>
      </c>
      <c r="B9" t="s">
        <v>9</v>
      </c>
      <c r="C9" t="s">
        <v>236</v>
      </c>
      <c r="D9" t="s">
        <v>237</v>
      </c>
      <c r="E9" t="s">
        <v>193</v>
      </c>
      <c r="F9" t="s">
        <v>238</v>
      </c>
      <c r="G9" t="s">
        <v>195</v>
      </c>
      <c r="H9" t="s">
        <v>207</v>
      </c>
      <c r="I9" t="s">
        <v>9</v>
      </c>
      <c r="J9" t="s">
        <v>197</v>
      </c>
      <c r="K9">
        <v>117174</v>
      </c>
      <c r="L9" t="s">
        <v>239</v>
      </c>
      <c r="M9" t="s">
        <v>240</v>
      </c>
      <c r="N9" t="s">
        <v>241</v>
      </c>
      <c r="O9" t="s">
        <v>242</v>
      </c>
      <c r="P9">
        <v>2180</v>
      </c>
      <c r="R9" t="s">
        <v>202</v>
      </c>
      <c r="S9" t="s">
        <v>203</v>
      </c>
      <c r="T9" t="s">
        <v>243</v>
      </c>
      <c r="U9" t="s">
        <v>244</v>
      </c>
      <c r="V9">
        <v>202012</v>
      </c>
    </row>
    <row r="10" spans="1:22">
      <c r="A10">
        <v>0</v>
      </c>
      <c r="B10" t="s">
        <v>11</v>
      </c>
      <c r="C10" t="s">
        <v>245</v>
      </c>
      <c r="E10" t="s">
        <v>193</v>
      </c>
      <c r="F10" t="s">
        <v>238</v>
      </c>
      <c r="G10" t="s">
        <v>222</v>
      </c>
      <c r="H10" t="s">
        <v>196</v>
      </c>
      <c r="I10" t="s">
        <v>11</v>
      </c>
      <c r="J10" t="s">
        <v>197</v>
      </c>
      <c r="K10">
        <v>123680</v>
      </c>
      <c r="L10" t="s">
        <v>213</v>
      </c>
      <c r="M10" t="s">
        <v>240</v>
      </c>
      <c r="N10" t="s">
        <v>246</v>
      </c>
      <c r="O10" t="s">
        <v>247</v>
      </c>
      <c r="P10">
        <v>550</v>
      </c>
      <c r="R10" t="s">
        <v>202</v>
      </c>
      <c r="S10" t="s">
        <v>203</v>
      </c>
      <c r="T10" t="s">
        <v>243</v>
      </c>
      <c r="U10" t="s">
        <v>244</v>
      </c>
      <c r="V10">
        <v>201206</v>
      </c>
    </row>
    <row r="11" spans="1:22">
      <c r="A11">
        <v>0</v>
      </c>
      <c r="B11" t="s">
        <v>12</v>
      </c>
      <c r="C11" t="s">
        <v>248</v>
      </c>
      <c r="D11" t="s">
        <v>216</v>
      </c>
      <c r="E11" t="s">
        <v>193</v>
      </c>
      <c r="F11" t="s">
        <v>238</v>
      </c>
      <c r="G11" t="s">
        <v>249</v>
      </c>
      <c r="H11" t="s">
        <v>250</v>
      </c>
      <c r="I11" t="s">
        <v>12</v>
      </c>
      <c r="J11" t="s">
        <v>197</v>
      </c>
      <c r="K11">
        <v>90742</v>
      </c>
      <c r="L11" t="s">
        <v>198</v>
      </c>
      <c r="M11" t="s">
        <v>199</v>
      </c>
      <c r="N11" t="s">
        <v>251</v>
      </c>
      <c r="O11" t="s">
        <v>252</v>
      </c>
      <c r="P11">
        <v>1099</v>
      </c>
      <c r="R11" t="s">
        <v>202</v>
      </c>
      <c r="S11" t="s">
        <v>203</v>
      </c>
      <c r="T11" t="s">
        <v>193</v>
      </c>
      <c r="U11" t="s">
        <v>193</v>
      </c>
      <c r="V11">
        <v>202205</v>
      </c>
    </row>
    <row r="12" spans="1:22">
      <c r="A12">
        <v>0</v>
      </c>
      <c r="B12" t="s">
        <v>13</v>
      </c>
      <c r="C12" t="s">
        <v>253</v>
      </c>
      <c r="E12" t="s">
        <v>193</v>
      </c>
      <c r="F12" t="s">
        <v>238</v>
      </c>
      <c r="G12" t="s">
        <v>254</v>
      </c>
      <c r="H12" t="s">
        <v>250</v>
      </c>
      <c r="I12" t="s">
        <v>13</v>
      </c>
      <c r="J12" t="s">
        <v>197</v>
      </c>
      <c r="K12">
        <v>137276</v>
      </c>
      <c r="L12" t="s">
        <v>255</v>
      </c>
      <c r="M12" t="s">
        <v>240</v>
      </c>
      <c r="N12" t="s">
        <v>256</v>
      </c>
      <c r="O12" t="s">
        <v>257</v>
      </c>
      <c r="P12">
        <v>1200</v>
      </c>
      <c r="R12" t="s">
        <v>202</v>
      </c>
      <c r="S12" t="s">
        <v>203</v>
      </c>
      <c r="T12" t="s">
        <v>243</v>
      </c>
      <c r="U12" t="s">
        <v>244</v>
      </c>
      <c r="V12">
        <v>201707</v>
      </c>
    </row>
    <row r="13" spans="1:22">
      <c r="A13">
        <v>0</v>
      </c>
      <c r="B13" t="s">
        <v>14</v>
      </c>
      <c r="C13" t="s">
        <v>258</v>
      </c>
      <c r="D13" t="s">
        <v>259</v>
      </c>
      <c r="E13" t="s">
        <v>193</v>
      </c>
      <c r="F13" t="s">
        <v>194</v>
      </c>
      <c r="G13" t="s">
        <v>260</v>
      </c>
      <c r="H13" t="s">
        <v>196</v>
      </c>
      <c r="I13" t="s">
        <v>14</v>
      </c>
      <c r="J13" t="s">
        <v>197</v>
      </c>
      <c r="K13">
        <v>131174</v>
      </c>
      <c r="L13" t="s">
        <v>261</v>
      </c>
      <c r="M13" t="s">
        <v>199</v>
      </c>
      <c r="N13" t="s">
        <v>262</v>
      </c>
      <c r="O13" t="s">
        <v>263</v>
      </c>
      <c r="P13">
        <v>1199</v>
      </c>
      <c r="R13" t="s">
        <v>202</v>
      </c>
      <c r="S13" t="s">
        <v>203</v>
      </c>
      <c r="T13" t="s">
        <v>193</v>
      </c>
      <c r="U13" t="s">
        <v>193</v>
      </c>
      <c r="V13">
        <v>201911</v>
      </c>
    </row>
    <row r="14" spans="1:22">
      <c r="A14">
        <v>0</v>
      </c>
      <c r="B14" t="s">
        <v>15</v>
      </c>
      <c r="C14" t="s">
        <v>264</v>
      </c>
      <c r="E14" t="s">
        <v>193</v>
      </c>
      <c r="F14" t="s">
        <v>194</v>
      </c>
      <c r="G14" t="s">
        <v>217</v>
      </c>
      <c r="H14" t="s">
        <v>196</v>
      </c>
      <c r="I14" t="s">
        <v>15</v>
      </c>
      <c r="J14" t="s">
        <v>197</v>
      </c>
      <c r="K14">
        <v>120207</v>
      </c>
      <c r="L14" t="s">
        <v>255</v>
      </c>
      <c r="M14" t="s">
        <v>199</v>
      </c>
      <c r="N14" t="s">
        <v>265</v>
      </c>
      <c r="O14" t="s">
        <v>266</v>
      </c>
      <c r="P14">
        <v>709</v>
      </c>
      <c r="R14" t="s">
        <v>202</v>
      </c>
      <c r="S14" t="s">
        <v>203</v>
      </c>
      <c r="T14" t="s">
        <v>193</v>
      </c>
      <c r="U14" t="s">
        <v>193</v>
      </c>
      <c r="V14">
        <v>201810</v>
      </c>
    </row>
    <row r="15" spans="1:22">
      <c r="A15">
        <v>0</v>
      </c>
      <c r="B15" t="s">
        <v>16</v>
      </c>
      <c r="C15" t="s">
        <v>267</v>
      </c>
      <c r="D15" t="s">
        <v>227</v>
      </c>
      <c r="E15" t="s">
        <v>193</v>
      </c>
      <c r="F15" t="s">
        <v>194</v>
      </c>
      <c r="G15" t="s">
        <v>206</v>
      </c>
      <c r="H15" t="s">
        <v>196</v>
      </c>
      <c r="I15" t="s">
        <v>16</v>
      </c>
      <c r="J15" t="s">
        <v>197</v>
      </c>
      <c r="K15">
        <v>156917</v>
      </c>
      <c r="L15" t="s">
        <v>268</v>
      </c>
      <c r="M15" t="s">
        <v>199</v>
      </c>
      <c r="N15" t="s">
        <v>269</v>
      </c>
      <c r="O15" t="s">
        <v>270</v>
      </c>
      <c r="P15">
        <v>729</v>
      </c>
      <c r="R15" t="s">
        <v>202</v>
      </c>
      <c r="S15" t="s">
        <v>203</v>
      </c>
      <c r="T15" t="s">
        <v>193</v>
      </c>
      <c r="U15" t="s">
        <v>193</v>
      </c>
      <c r="V15">
        <v>201603</v>
      </c>
    </row>
    <row r="16" spans="1:22">
      <c r="A16">
        <v>0</v>
      </c>
      <c r="B16" t="s">
        <v>17</v>
      </c>
      <c r="C16" t="s">
        <v>204</v>
      </c>
      <c r="D16" t="s">
        <v>271</v>
      </c>
      <c r="E16" t="s">
        <v>193</v>
      </c>
      <c r="F16" t="s">
        <v>194</v>
      </c>
      <c r="G16" t="s">
        <v>206</v>
      </c>
      <c r="H16" t="s">
        <v>207</v>
      </c>
      <c r="I16" t="s">
        <v>17</v>
      </c>
      <c r="J16" t="s">
        <v>197</v>
      </c>
      <c r="K16">
        <v>147123</v>
      </c>
      <c r="L16" t="s">
        <v>208</v>
      </c>
      <c r="M16" t="s">
        <v>199</v>
      </c>
      <c r="N16" t="s">
        <v>272</v>
      </c>
      <c r="O16" t="s">
        <v>273</v>
      </c>
      <c r="P16">
        <v>1069</v>
      </c>
      <c r="R16" t="s">
        <v>202</v>
      </c>
      <c r="S16" t="s">
        <v>203</v>
      </c>
      <c r="T16" t="s">
        <v>193</v>
      </c>
      <c r="U16" t="s">
        <v>193</v>
      </c>
      <c r="V16">
        <v>201601</v>
      </c>
    </row>
    <row r="17" spans="1:22">
      <c r="A17">
        <v>0</v>
      </c>
      <c r="B17" t="s">
        <v>18</v>
      </c>
      <c r="C17" t="s">
        <v>274</v>
      </c>
      <c r="D17" t="s">
        <v>275</v>
      </c>
      <c r="E17" t="s">
        <v>193</v>
      </c>
      <c r="F17" t="s">
        <v>238</v>
      </c>
      <c r="G17" t="s">
        <v>276</v>
      </c>
      <c r="H17" t="s">
        <v>207</v>
      </c>
      <c r="I17" t="s">
        <v>18</v>
      </c>
      <c r="J17" t="s">
        <v>197</v>
      </c>
      <c r="K17">
        <v>2164</v>
      </c>
      <c r="L17" t="s">
        <v>277</v>
      </c>
      <c r="M17" t="s">
        <v>199</v>
      </c>
      <c r="N17" t="s">
        <v>278</v>
      </c>
      <c r="O17" t="s">
        <v>279</v>
      </c>
      <c r="P17">
        <v>7100</v>
      </c>
      <c r="R17" t="s">
        <v>202</v>
      </c>
      <c r="S17" t="s">
        <v>203</v>
      </c>
      <c r="T17" t="s">
        <v>193</v>
      </c>
      <c r="U17" t="s">
        <v>193</v>
      </c>
      <c r="V17">
        <v>202508</v>
      </c>
    </row>
    <row r="18" spans="1:22">
      <c r="A18">
        <v>0</v>
      </c>
      <c r="B18" t="s">
        <v>20</v>
      </c>
      <c r="C18" t="s">
        <v>280</v>
      </c>
      <c r="D18" t="s">
        <v>281</v>
      </c>
      <c r="E18" t="s">
        <v>193</v>
      </c>
      <c r="F18" t="s">
        <v>238</v>
      </c>
      <c r="G18" t="s">
        <v>260</v>
      </c>
      <c r="H18" t="s">
        <v>207</v>
      </c>
      <c r="I18" t="s">
        <v>20</v>
      </c>
      <c r="J18" t="s">
        <v>197</v>
      </c>
      <c r="K18">
        <v>22589</v>
      </c>
      <c r="L18" t="s">
        <v>282</v>
      </c>
      <c r="M18" t="s">
        <v>199</v>
      </c>
      <c r="N18" t="s">
        <v>283</v>
      </c>
      <c r="O18" t="s">
        <v>284</v>
      </c>
      <c r="P18">
        <v>3890</v>
      </c>
      <c r="R18" t="s">
        <v>202</v>
      </c>
      <c r="S18" t="s">
        <v>203</v>
      </c>
      <c r="T18" t="s">
        <v>193</v>
      </c>
      <c r="U18" t="s">
        <v>193</v>
      </c>
      <c r="V18">
        <v>201911</v>
      </c>
    </row>
    <row r="19" spans="1:22">
      <c r="A19">
        <v>0</v>
      </c>
      <c r="B19" t="s">
        <v>21</v>
      </c>
      <c r="C19" t="s">
        <v>285</v>
      </c>
      <c r="D19" t="s">
        <v>227</v>
      </c>
      <c r="E19" t="s">
        <v>193</v>
      </c>
      <c r="F19" t="s">
        <v>238</v>
      </c>
      <c r="G19" t="s">
        <v>286</v>
      </c>
      <c r="H19" t="s">
        <v>196</v>
      </c>
      <c r="I19" t="s">
        <v>21</v>
      </c>
      <c r="J19" t="s">
        <v>197</v>
      </c>
      <c r="K19">
        <v>50046</v>
      </c>
      <c r="L19" t="s">
        <v>268</v>
      </c>
      <c r="M19" t="s">
        <v>287</v>
      </c>
      <c r="N19" t="s">
        <v>288</v>
      </c>
      <c r="O19" t="s">
        <v>289</v>
      </c>
      <c r="P19">
        <v>1240</v>
      </c>
      <c r="R19" t="s">
        <v>202</v>
      </c>
      <c r="S19" t="s">
        <v>203</v>
      </c>
      <c r="T19" t="s">
        <v>243</v>
      </c>
      <c r="U19" t="s">
        <v>244</v>
      </c>
      <c r="V19">
        <v>201605</v>
      </c>
    </row>
    <row r="20" spans="1:22">
      <c r="A20">
        <v>0</v>
      </c>
      <c r="B20" t="s">
        <v>23</v>
      </c>
      <c r="C20" t="s">
        <v>290</v>
      </c>
      <c r="D20" t="s">
        <v>192</v>
      </c>
      <c r="E20" t="s">
        <v>193</v>
      </c>
      <c r="F20" t="s">
        <v>238</v>
      </c>
      <c r="G20" t="s">
        <v>195</v>
      </c>
      <c r="H20" t="s">
        <v>196</v>
      </c>
      <c r="I20" t="s">
        <v>23</v>
      </c>
      <c r="J20" t="s">
        <v>197</v>
      </c>
      <c r="K20">
        <v>26664</v>
      </c>
      <c r="L20" t="s">
        <v>291</v>
      </c>
      <c r="M20" t="s">
        <v>292</v>
      </c>
      <c r="N20" t="s">
        <v>293</v>
      </c>
      <c r="O20" t="s">
        <v>294</v>
      </c>
      <c r="P20">
        <v>2580</v>
      </c>
      <c r="R20" t="s">
        <v>202</v>
      </c>
      <c r="S20" t="s">
        <v>203</v>
      </c>
      <c r="T20" t="s">
        <v>295</v>
      </c>
      <c r="U20" t="s">
        <v>244</v>
      </c>
      <c r="V20">
        <v>202104</v>
      </c>
    </row>
    <row r="21" spans="1:22">
      <c r="A21">
        <v>1</v>
      </c>
      <c r="B21" t="s">
        <v>25</v>
      </c>
      <c r="C21" t="s">
        <v>296</v>
      </c>
      <c r="D21" t="s">
        <v>192</v>
      </c>
      <c r="E21" t="s">
        <v>193</v>
      </c>
      <c r="F21" t="s">
        <v>238</v>
      </c>
      <c r="G21" t="s">
        <v>217</v>
      </c>
      <c r="H21" t="s">
        <v>207</v>
      </c>
      <c r="I21" t="s">
        <v>25</v>
      </c>
      <c r="J21" t="s">
        <v>197</v>
      </c>
      <c r="K21">
        <v>67968</v>
      </c>
      <c r="L21" t="s">
        <v>297</v>
      </c>
      <c r="M21" t="s">
        <v>292</v>
      </c>
      <c r="N21" t="s">
        <v>298</v>
      </c>
      <c r="O21" t="s">
        <v>299</v>
      </c>
      <c r="P21">
        <v>1780</v>
      </c>
      <c r="R21" t="s">
        <v>202</v>
      </c>
      <c r="S21" t="s">
        <v>203</v>
      </c>
      <c r="T21" t="s">
        <v>295</v>
      </c>
      <c r="U21" t="s">
        <v>244</v>
      </c>
      <c r="V21">
        <v>201910</v>
      </c>
    </row>
    <row r="22" spans="1:22">
      <c r="A22">
        <v>0</v>
      </c>
      <c r="B22" t="s">
        <v>26</v>
      </c>
      <c r="C22" t="s">
        <v>300</v>
      </c>
      <c r="D22" t="s">
        <v>301</v>
      </c>
      <c r="E22" t="s">
        <v>193</v>
      </c>
      <c r="F22" t="s">
        <v>238</v>
      </c>
      <c r="G22" t="s">
        <v>302</v>
      </c>
      <c r="H22" t="s">
        <v>196</v>
      </c>
      <c r="I22" t="s">
        <v>26</v>
      </c>
      <c r="J22" t="s">
        <v>197</v>
      </c>
      <c r="K22">
        <v>84458</v>
      </c>
      <c r="L22" t="s">
        <v>303</v>
      </c>
      <c r="M22" t="s">
        <v>292</v>
      </c>
      <c r="N22" t="s">
        <v>304</v>
      </c>
      <c r="O22" t="s">
        <v>305</v>
      </c>
      <c r="P22">
        <v>2850</v>
      </c>
      <c r="R22" t="s">
        <v>202</v>
      </c>
      <c r="S22" t="s">
        <v>203</v>
      </c>
      <c r="T22" t="s">
        <v>295</v>
      </c>
      <c r="U22" t="s">
        <v>306</v>
      </c>
      <c r="V22">
        <v>202109</v>
      </c>
    </row>
    <row r="23" spans="1:22">
      <c r="A23">
        <v>1</v>
      </c>
      <c r="B23" t="s">
        <v>27</v>
      </c>
      <c r="C23" t="s">
        <v>264</v>
      </c>
      <c r="E23" t="s">
        <v>193</v>
      </c>
      <c r="F23" t="s">
        <v>238</v>
      </c>
      <c r="G23" t="s">
        <v>254</v>
      </c>
      <c r="H23" t="s">
        <v>196</v>
      </c>
      <c r="I23" t="s">
        <v>27</v>
      </c>
      <c r="J23" t="s">
        <v>197</v>
      </c>
      <c r="K23">
        <v>59954</v>
      </c>
      <c r="L23" t="s">
        <v>255</v>
      </c>
      <c r="M23" t="s">
        <v>292</v>
      </c>
      <c r="N23" t="s">
        <v>307</v>
      </c>
      <c r="O23" t="s">
        <v>308</v>
      </c>
      <c r="P23">
        <v>1180</v>
      </c>
      <c r="R23" t="s">
        <v>202</v>
      </c>
      <c r="S23" t="s">
        <v>203</v>
      </c>
      <c r="T23" t="s">
        <v>295</v>
      </c>
      <c r="U23" t="s">
        <v>306</v>
      </c>
      <c r="V23">
        <v>201710</v>
      </c>
    </row>
    <row r="24" spans="1:22">
      <c r="A24">
        <v>2</v>
      </c>
      <c r="B24" t="s">
        <v>28</v>
      </c>
      <c r="C24" t="s">
        <v>258</v>
      </c>
      <c r="D24" t="s">
        <v>259</v>
      </c>
      <c r="E24" t="s">
        <v>193</v>
      </c>
      <c r="F24" t="s">
        <v>238</v>
      </c>
      <c r="G24" t="s">
        <v>195</v>
      </c>
      <c r="H24" t="s">
        <v>196</v>
      </c>
      <c r="I24" t="s">
        <v>28</v>
      </c>
      <c r="J24" t="s">
        <v>197</v>
      </c>
      <c r="K24">
        <v>54072</v>
      </c>
      <c r="L24" t="s">
        <v>261</v>
      </c>
      <c r="M24" t="s">
        <v>292</v>
      </c>
      <c r="N24" t="s">
        <v>309</v>
      </c>
      <c r="O24" t="s">
        <v>310</v>
      </c>
      <c r="P24">
        <v>1930</v>
      </c>
      <c r="R24" t="s">
        <v>202</v>
      </c>
      <c r="S24" t="s">
        <v>203</v>
      </c>
      <c r="T24" t="s">
        <v>295</v>
      </c>
      <c r="U24" t="s">
        <v>244</v>
      </c>
      <c r="V24">
        <v>202007</v>
      </c>
    </row>
    <row r="25" spans="1:22">
      <c r="A25">
        <v>0</v>
      </c>
      <c r="B25" t="s">
        <v>29</v>
      </c>
      <c r="C25" t="s">
        <v>311</v>
      </c>
      <c r="D25" t="s">
        <v>192</v>
      </c>
      <c r="E25" t="s">
        <v>193</v>
      </c>
      <c r="F25" t="s">
        <v>238</v>
      </c>
      <c r="G25" t="s">
        <v>249</v>
      </c>
      <c r="H25" t="s">
        <v>207</v>
      </c>
      <c r="I25" t="s">
        <v>29</v>
      </c>
      <c r="J25" t="s">
        <v>197</v>
      </c>
      <c r="K25">
        <v>46218</v>
      </c>
      <c r="L25" t="s">
        <v>277</v>
      </c>
      <c r="M25" t="s">
        <v>292</v>
      </c>
      <c r="N25" t="s">
        <v>312</v>
      </c>
      <c r="O25" t="s">
        <v>313</v>
      </c>
      <c r="P25">
        <v>2530</v>
      </c>
      <c r="R25" t="s">
        <v>202</v>
      </c>
      <c r="S25" t="s">
        <v>203</v>
      </c>
      <c r="T25" t="s">
        <v>295</v>
      </c>
      <c r="U25" t="s">
        <v>306</v>
      </c>
      <c r="V25">
        <v>202212</v>
      </c>
    </row>
    <row r="26" spans="1:22">
      <c r="A26">
        <v>0</v>
      </c>
      <c r="B26" t="s">
        <v>30</v>
      </c>
      <c r="C26" t="s">
        <v>314</v>
      </c>
      <c r="D26" t="s">
        <v>259</v>
      </c>
      <c r="E26" t="s">
        <v>193</v>
      </c>
      <c r="F26" t="s">
        <v>238</v>
      </c>
      <c r="G26" t="s">
        <v>254</v>
      </c>
      <c r="H26" t="s">
        <v>196</v>
      </c>
      <c r="I26" t="s">
        <v>30</v>
      </c>
      <c r="J26" t="s">
        <v>197</v>
      </c>
      <c r="K26">
        <v>101173</v>
      </c>
      <c r="L26" t="s">
        <v>315</v>
      </c>
      <c r="M26" t="s">
        <v>292</v>
      </c>
      <c r="N26" t="s">
        <v>316</v>
      </c>
      <c r="O26" t="s">
        <v>317</v>
      </c>
      <c r="P26">
        <v>1330</v>
      </c>
      <c r="R26" t="s">
        <v>202</v>
      </c>
      <c r="S26" t="s">
        <v>203</v>
      </c>
      <c r="T26" t="s">
        <v>295</v>
      </c>
      <c r="U26" t="s">
        <v>306</v>
      </c>
      <c r="V26">
        <v>201706</v>
      </c>
    </row>
    <row r="27" spans="1:22">
      <c r="A27">
        <v>0</v>
      </c>
      <c r="B27" t="s">
        <v>31</v>
      </c>
      <c r="C27" t="s">
        <v>318</v>
      </c>
      <c r="D27" t="s">
        <v>227</v>
      </c>
      <c r="E27" t="s">
        <v>193</v>
      </c>
      <c r="F27" t="s">
        <v>238</v>
      </c>
      <c r="G27" t="s">
        <v>254</v>
      </c>
      <c r="H27" t="s">
        <v>196</v>
      </c>
      <c r="I27" t="s">
        <v>31</v>
      </c>
      <c r="J27" t="s">
        <v>197</v>
      </c>
      <c r="K27">
        <v>59866</v>
      </c>
      <c r="L27" t="s">
        <v>319</v>
      </c>
      <c r="M27" t="s">
        <v>199</v>
      </c>
      <c r="N27" t="s">
        <v>320</v>
      </c>
      <c r="O27" t="s">
        <v>321</v>
      </c>
      <c r="P27">
        <v>2250</v>
      </c>
      <c r="R27" t="s">
        <v>202</v>
      </c>
      <c r="S27" t="s">
        <v>203</v>
      </c>
      <c r="T27" t="s">
        <v>243</v>
      </c>
      <c r="U27" t="s">
        <v>244</v>
      </c>
      <c r="V27">
        <v>201801</v>
      </c>
    </row>
    <row r="28" spans="1:22">
      <c r="A28">
        <v>0</v>
      </c>
      <c r="B28" t="s">
        <v>33</v>
      </c>
      <c r="C28" t="s">
        <v>236</v>
      </c>
      <c r="D28" t="s">
        <v>301</v>
      </c>
      <c r="E28" t="s">
        <v>193</v>
      </c>
      <c r="F28" t="s">
        <v>194</v>
      </c>
      <c r="G28" t="s">
        <v>302</v>
      </c>
      <c r="H28" t="s">
        <v>207</v>
      </c>
      <c r="I28" t="s">
        <v>33</v>
      </c>
      <c r="J28" t="s">
        <v>197</v>
      </c>
      <c r="K28">
        <v>112711</v>
      </c>
      <c r="L28" t="s">
        <v>282</v>
      </c>
      <c r="M28" t="s">
        <v>322</v>
      </c>
      <c r="N28" t="s">
        <v>323</v>
      </c>
      <c r="O28" t="s">
        <v>324</v>
      </c>
      <c r="P28">
        <v>3060</v>
      </c>
      <c r="R28" t="s">
        <v>202</v>
      </c>
      <c r="S28" t="s">
        <v>203</v>
      </c>
      <c r="T28" t="s">
        <v>193</v>
      </c>
      <c r="U28" t="s">
        <v>193</v>
      </c>
      <c r="V28">
        <v>202105</v>
      </c>
    </row>
    <row r="29" spans="1:22">
      <c r="A29">
        <v>1</v>
      </c>
      <c r="B29" t="s">
        <v>35</v>
      </c>
      <c r="C29" t="s">
        <v>325</v>
      </c>
      <c r="E29" t="s">
        <v>193</v>
      </c>
      <c r="F29" t="s">
        <v>238</v>
      </c>
      <c r="G29" t="s">
        <v>326</v>
      </c>
      <c r="H29" t="s">
        <v>207</v>
      </c>
      <c r="I29" t="s">
        <v>35</v>
      </c>
      <c r="J29" t="s">
        <v>197</v>
      </c>
      <c r="K29">
        <v>140796</v>
      </c>
      <c r="L29" t="s">
        <v>327</v>
      </c>
      <c r="M29" t="s">
        <v>328</v>
      </c>
      <c r="N29" t="s">
        <v>329</v>
      </c>
      <c r="O29" t="s">
        <v>330</v>
      </c>
      <c r="P29">
        <v>870</v>
      </c>
      <c r="R29" t="s">
        <v>202</v>
      </c>
      <c r="S29" t="s">
        <v>203</v>
      </c>
      <c r="T29" t="s">
        <v>193</v>
      </c>
      <c r="U29" t="s">
        <v>193</v>
      </c>
      <c r="V29">
        <v>201504</v>
      </c>
    </row>
    <row r="30" spans="1:22">
      <c r="A30">
        <v>0</v>
      </c>
      <c r="B30" t="s">
        <v>37</v>
      </c>
      <c r="C30" t="s">
        <v>331</v>
      </c>
      <c r="D30" t="s">
        <v>205</v>
      </c>
      <c r="E30" t="s">
        <v>193</v>
      </c>
      <c r="F30" t="s">
        <v>238</v>
      </c>
      <c r="G30" t="s">
        <v>260</v>
      </c>
      <c r="H30" t="s">
        <v>196</v>
      </c>
      <c r="I30" t="s">
        <v>37</v>
      </c>
      <c r="J30" t="s">
        <v>197</v>
      </c>
      <c r="K30">
        <v>96517</v>
      </c>
      <c r="L30" t="s">
        <v>332</v>
      </c>
      <c r="M30" t="s">
        <v>333</v>
      </c>
      <c r="N30" t="s">
        <v>334</v>
      </c>
      <c r="O30" t="s">
        <v>335</v>
      </c>
      <c r="P30">
        <v>2060</v>
      </c>
      <c r="R30" t="s">
        <v>202</v>
      </c>
      <c r="S30" t="s">
        <v>203</v>
      </c>
      <c r="T30" t="s">
        <v>243</v>
      </c>
      <c r="U30" t="s">
        <v>244</v>
      </c>
      <c r="V30">
        <v>202006</v>
      </c>
    </row>
    <row r="31" spans="1:22">
      <c r="A31">
        <v>1</v>
      </c>
      <c r="B31" t="s">
        <v>39</v>
      </c>
      <c r="C31" t="s">
        <v>259</v>
      </c>
      <c r="E31" t="s">
        <v>193</v>
      </c>
      <c r="F31" t="s">
        <v>238</v>
      </c>
      <c r="G31" t="s">
        <v>326</v>
      </c>
      <c r="H31" t="s">
        <v>336</v>
      </c>
      <c r="I31" t="s">
        <v>39</v>
      </c>
      <c r="J31" t="s">
        <v>197</v>
      </c>
      <c r="K31">
        <v>191302</v>
      </c>
      <c r="L31" t="s">
        <v>337</v>
      </c>
      <c r="M31" t="s">
        <v>333</v>
      </c>
      <c r="N31" t="s">
        <v>338</v>
      </c>
      <c r="O31" t="s">
        <v>339</v>
      </c>
      <c r="P31">
        <v>649</v>
      </c>
      <c r="R31" t="s">
        <v>202</v>
      </c>
      <c r="S31" t="s">
        <v>203</v>
      </c>
      <c r="T31" t="s">
        <v>295</v>
      </c>
      <c r="U31" t="s">
        <v>244</v>
      </c>
      <c r="V31">
        <v>201409</v>
      </c>
    </row>
    <row r="32" spans="1:22">
      <c r="A32">
        <v>0</v>
      </c>
      <c r="B32" t="s">
        <v>41</v>
      </c>
      <c r="C32" t="s">
        <v>340</v>
      </c>
      <c r="E32" t="s">
        <v>193</v>
      </c>
      <c r="F32" t="s">
        <v>238</v>
      </c>
      <c r="G32" t="s">
        <v>286</v>
      </c>
      <c r="H32" t="s">
        <v>250</v>
      </c>
      <c r="I32" t="s">
        <v>41</v>
      </c>
      <c r="J32" t="s">
        <v>197</v>
      </c>
      <c r="K32">
        <v>184927</v>
      </c>
      <c r="L32" t="s">
        <v>319</v>
      </c>
      <c r="M32" t="s">
        <v>341</v>
      </c>
      <c r="N32" t="s">
        <v>342</v>
      </c>
      <c r="O32" t="s">
        <v>343</v>
      </c>
      <c r="P32">
        <v>1259</v>
      </c>
      <c r="Q32" t="s">
        <v>344</v>
      </c>
      <c r="R32" t="s">
        <v>202</v>
      </c>
      <c r="S32" t="s">
        <v>203</v>
      </c>
      <c r="T32" t="s">
        <v>295</v>
      </c>
      <c r="U32" t="s">
        <v>244</v>
      </c>
      <c r="V32">
        <v>201702</v>
      </c>
    </row>
    <row r="33" spans="1:22">
      <c r="A33">
        <v>0</v>
      </c>
      <c r="B33" t="s">
        <v>43</v>
      </c>
      <c r="C33" t="s">
        <v>345</v>
      </c>
      <c r="D33" t="s">
        <v>216</v>
      </c>
      <c r="E33" t="s">
        <v>193</v>
      </c>
      <c r="F33" t="s">
        <v>238</v>
      </c>
      <c r="G33" t="s">
        <v>249</v>
      </c>
      <c r="H33" t="s">
        <v>196</v>
      </c>
      <c r="I33" t="s">
        <v>43</v>
      </c>
      <c r="J33" t="s">
        <v>197</v>
      </c>
      <c r="K33">
        <v>9473</v>
      </c>
      <c r="L33" t="s">
        <v>346</v>
      </c>
      <c r="M33" t="s">
        <v>347</v>
      </c>
      <c r="N33" t="s">
        <v>348</v>
      </c>
      <c r="O33" t="s">
        <v>349</v>
      </c>
      <c r="P33">
        <v>1390</v>
      </c>
      <c r="R33" t="s">
        <v>202</v>
      </c>
      <c r="S33" t="s">
        <v>203</v>
      </c>
      <c r="T33" t="s">
        <v>295</v>
      </c>
      <c r="U33" t="s">
        <v>244</v>
      </c>
      <c r="V33">
        <v>202203</v>
      </c>
    </row>
    <row r="34" spans="1:22">
      <c r="A34">
        <v>0</v>
      </c>
      <c r="B34" t="s">
        <v>45</v>
      </c>
      <c r="C34" t="s">
        <v>280</v>
      </c>
      <c r="D34" t="s">
        <v>281</v>
      </c>
      <c r="E34" t="s">
        <v>193</v>
      </c>
      <c r="F34" t="s">
        <v>238</v>
      </c>
      <c r="G34" t="s">
        <v>195</v>
      </c>
      <c r="H34" t="s">
        <v>207</v>
      </c>
      <c r="I34" t="s">
        <v>45</v>
      </c>
      <c r="J34" t="s">
        <v>197</v>
      </c>
      <c r="K34">
        <v>86631</v>
      </c>
      <c r="L34" t="s">
        <v>282</v>
      </c>
      <c r="M34" t="s">
        <v>292</v>
      </c>
      <c r="N34" t="s">
        <v>350</v>
      </c>
      <c r="O34" t="s">
        <v>351</v>
      </c>
      <c r="P34">
        <v>2950</v>
      </c>
      <c r="R34" t="s">
        <v>202</v>
      </c>
      <c r="S34" t="s">
        <v>203</v>
      </c>
      <c r="T34" t="s">
        <v>243</v>
      </c>
      <c r="U34" t="s">
        <v>244</v>
      </c>
      <c r="V34">
        <v>202011</v>
      </c>
    </row>
    <row r="35" spans="1:22">
      <c r="A35">
        <v>3</v>
      </c>
      <c r="B35" t="s">
        <v>47</v>
      </c>
      <c r="C35" t="s">
        <v>352</v>
      </c>
      <c r="E35" t="s">
        <v>193</v>
      </c>
      <c r="F35" t="s">
        <v>238</v>
      </c>
      <c r="G35" t="s">
        <v>353</v>
      </c>
      <c r="H35" t="s">
        <v>196</v>
      </c>
      <c r="I35" t="s">
        <v>47</v>
      </c>
      <c r="J35" t="s">
        <v>197</v>
      </c>
      <c r="K35">
        <v>155789</v>
      </c>
      <c r="L35" t="s">
        <v>354</v>
      </c>
      <c r="M35" t="s">
        <v>333</v>
      </c>
      <c r="N35" t="s">
        <v>355</v>
      </c>
      <c r="O35" t="s">
        <v>356</v>
      </c>
      <c r="P35">
        <v>370</v>
      </c>
      <c r="R35" t="s">
        <v>202</v>
      </c>
      <c r="S35" t="s">
        <v>203</v>
      </c>
      <c r="T35" t="s">
        <v>193</v>
      </c>
      <c r="U35" t="s">
        <v>193</v>
      </c>
      <c r="V35">
        <v>201009</v>
      </c>
    </row>
    <row r="36" spans="1:22">
      <c r="A36">
        <v>0</v>
      </c>
      <c r="B36" t="s">
        <v>49</v>
      </c>
      <c r="C36" t="s">
        <v>357</v>
      </c>
      <c r="E36" t="s">
        <v>193</v>
      </c>
      <c r="F36" t="s">
        <v>238</v>
      </c>
      <c r="G36" t="s">
        <v>254</v>
      </c>
      <c r="H36" t="s">
        <v>196</v>
      </c>
      <c r="I36" t="s">
        <v>49</v>
      </c>
      <c r="J36" t="s">
        <v>197</v>
      </c>
      <c r="K36">
        <v>53833</v>
      </c>
      <c r="L36" t="s">
        <v>268</v>
      </c>
      <c r="M36" t="s">
        <v>333</v>
      </c>
      <c r="N36" t="s">
        <v>358</v>
      </c>
      <c r="O36" t="s">
        <v>359</v>
      </c>
      <c r="P36">
        <v>1210</v>
      </c>
      <c r="R36" t="s">
        <v>202</v>
      </c>
      <c r="S36" t="s">
        <v>203</v>
      </c>
      <c r="T36" t="s">
        <v>243</v>
      </c>
      <c r="U36" t="s">
        <v>244</v>
      </c>
      <c r="V36">
        <v>201711</v>
      </c>
    </row>
    <row r="37" spans="1:22">
      <c r="A37">
        <v>4</v>
      </c>
      <c r="B37" t="s">
        <v>51</v>
      </c>
      <c r="C37" t="s">
        <v>300</v>
      </c>
      <c r="D37" t="s">
        <v>360</v>
      </c>
      <c r="E37" t="s">
        <v>193</v>
      </c>
      <c r="F37" t="s">
        <v>238</v>
      </c>
      <c r="G37" t="s">
        <v>249</v>
      </c>
      <c r="H37" t="s">
        <v>196</v>
      </c>
      <c r="I37" t="s">
        <v>51</v>
      </c>
      <c r="J37" t="s">
        <v>197</v>
      </c>
      <c r="K37">
        <v>70178</v>
      </c>
      <c r="L37" t="s">
        <v>303</v>
      </c>
      <c r="M37" t="s">
        <v>199</v>
      </c>
      <c r="N37" t="s">
        <v>361</v>
      </c>
      <c r="O37" t="s">
        <v>362</v>
      </c>
      <c r="P37">
        <v>2590</v>
      </c>
      <c r="R37" t="s">
        <v>202</v>
      </c>
      <c r="S37" t="s">
        <v>203</v>
      </c>
      <c r="T37" t="s">
        <v>295</v>
      </c>
      <c r="U37" t="s">
        <v>244</v>
      </c>
      <c r="V37">
        <v>202208</v>
      </c>
    </row>
    <row r="38" spans="1:22">
      <c r="A38">
        <v>2</v>
      </c>
      <c r="B38" t="s">
        <v>53</v>
      </c>
      <c r="C38" t="s">
        <v>363</v>
      </c>
      <c r="E38" t="s">
        <v>193</v>
      </c>
      <c r="F38" t="s">
        <v>238</v>
      </c>
      <c r="G38" t="s">
        <v>364</v>
      </c>
      <c r="H38" t="s">
        <v>196</v>
      </c>
      <c r="I38" t="s">
        <v>53</v>
      </c>
      <c r="J38" t="s">
        <v>197</v>
      </c>
      <c r="K38">
        <v>128844</v>
      </c>
      <c r="L38" t="s">
        <v>354</v>
      </c>
      <c r="M38" t="s">
        <v>240</v>
      </c>
      <c r="N38" t="s">
        <v>365</v>
      </c>
      <c r="O38" t="s">
        <v>366</v>
      </c>
      <c r="P38">
        <v>450</v>
      </c>
      <c r="R38" t="s">
        <v>202</v>
      </c>
      <c r="S38" t="s">
        <v>203</v>
      </c>
      <c r="T38" t="s">
        <v>193</v>
      </c>
      <c r="U38" t="s">
        <v>193</v>
      </c>
      <c r="V38">
        <v>201209</v>
      </c>
    </row>
    <row r="39" spans="1:22">
      <c r="A39">
        <v>2</v>
      </c>
      <c r="B39" t="s">
        <v>55</v>
      </c>
      <c r="C39" t="s">
        <v>204</v>
      </c>
      <c r="D39" t="s">
        <v>192</v>
      </c>
      <c r="E39" t="s">
        <v>193</v>
      </c>
      <c r="F39" t="s">
        <v>238</v>
      </c>
      <c r="G39" t="s">
        <v>286</v>
      </c>
      <c r="H39" t="s">
        <v>207</v>
      </c>
      <c r="I39" t="s">
        <v>55</v>
      </c>
      <c r="J39" t="s">
        <v>197</v>
      </c>
      <c r="K39">
        <v>107390</v>
      </c>
      <c r="L39" t="s">
        <v>297</v>
      </c>
      <c r="M39" t="s">
        <v>347</v>
      </c>
      <c r="N39" t="s">
        <v>367</v>
      </c>
      <c r="O39" t="s">
        <v>368</v>
      </c>
      <c r="P39">
        <v>1240</v>
      </c>
      <c r="R39" t="s">
        <v>202</v>
      </c>
      <c r="S39" t="s">
        <v>203</v>
      </c>
      <c r="T39" t="s">
        <v>243</v>
      </c>
      <c r="U39" t="s">
        <v>244</v>
      </c>
      <c r="V39">
        <v>201608</v>
      </c>
    </row>
    <row r="40" spans="1:22">
      <c r="A40">
        <v>6</v>
      </c>
      <c r="B40" t="s">
        <v>57</v>
      </c>
      <c r="C40" t="s">
        <v>318</v>
      </c>
      <c r="D40" t="s">
        <v>227</v>
      </c>
      <c r="E40" t="s">
        <v>193</v>
      </c>
      <c r="F40" t="s">
        <v>238</v>
      </c>
      <c r="G40" t="s">
        <v>254</v>
      </c>
      <c r="H40" t="s">
        <v>196</v>
      </c>
      <c r="I40" t="s">
        <v>57</v>
      </c>
      <c r="J40" t="s">
        <v>197</v>
      </c>
      <c r="K40">
        <v>196646</v>
      </c>
      <c r="L40" t="s">
        <v>319</v>
      </c>
      <c r="M40" t="s">
        <v>328</v>
      </c>
      <c r="N40" t="s">
        <v>369</v>
      </c>
      <c r="O40" t="s">
        <v>370</v>
      </c>
      <c r="P40">
        <v>1030</v>
      </c>
      <c r="R40" t="s">
        <v>202</v>
      </c>
      <c r="S40" t="s">
        <v>203</v>
      </c>
      <c r="T40" t="s">
        <v>295</v>
      </c>
      <c r="U40" t="s">
        <v>244</v>
      </c>
      <c r="V40">
        <v>201703</v>
      </c>
    </row>
    <row r="41" spans="1:22">
      <c r="A41">
        <v>0</v>
      </c>
      <c r="B41" t="s">
        <v>59</v>
      </c>
      <c r="C41" t="s">
        <v>371</v>
      </c>
      <c r="D41" t="s">
        <v>301</v>
      </c>
      <c r="E41" t="s">
        <v>193</v>
      </c>
      <c r="F41" t="s">
        <v>194</v>
      </c>
      <c r="G41" t="s">
        <v>372</v>
      </c>
      <c r="H41" t="s">
        <v>196</v>
      </c>
      <c r="I41" t="s">
        <v>59</v>
      </c>
      <c r="J41" t="s">
        <v>197</v>
      </c>
      <c r="K41">
        <v>11379</v>
      </c>
      <c r="L41" t="s">
        <v>373</v>
      </c>
      <c r="M41" t="s">
        <v>199</v>
      </c>
      <c r="N41" t="s">
        <v>374</v>
      </c>
      <c r="O41" t="s">
        <v>375</v>
      </c>
      <c r="P41">
        <v>3130</v>
      </c>
      <c r="R41" t="s">
        <v>202</v>
      </c>
      <c r="S41" t="s">
        <v>203</v>
      </c>
      <c r="T41" t="s">
        <v>295</v>
      </c>
      <c r="U41" t="s">
        <v>244</v>
      </c>
      <c r="V41">
        <v>202402</v>
      </c>
    </row>
    <row r="42" spans="1:22">
      <c r="A42">
        <v>2</v>
      </c>
      <c r="B42" t="s">
        <v>61</v>
      </c>
      <c r="C42" t="s">
        <v>376</v>
      </c>
      <c r="D42" t="s">
        <v>192</v>
      </c>
      <c r="E42" t="s">
        <v>193</v>
      </c>
      <c r="F42" t="s">
        <v>238</v>
      </c>
      <c r="G42" t="s">
        <v>364</v>
      </c>
      <c r="H42" t="s">
        <v>196</v>
      </c>
      <c r="I42" t="s">
        <v>61</v>
      </c>
      <c r="J42" t="s">
        <v>197</v>
      </c>
      <c r="K42">
        <v>190000</v>
      </c>
      <c r="L42" t="s">
        <v>377</v>
      </c>
      <c r="M42" t="s">
        <v>333</v>
      </c>
      <c r="N42" t="s">
        <v>378</v>
      </c>
      <c r="O42" t="s">
        <v>379</v>
      </c>
      <c r="P42">
        <v>559</v>
      </c>
      <c r="R42" t="s">
        <v>202</v>
      </c>
      <c r="S42" t="s">
        <v>203</v>
      </c>
      <c r="T42" t="s">
        <v>193</v>
      </c>
      <c r="U42" t="s">
        <v>193</v>
      </c>
      <c r="V42">
        <v>201304</v>
      </c>
    </row>
    <row r="43" spans="1:22">
      <c r="A43">
        <v>0</v>
      </c>
      <c r="B43" t="s">
        <v>63</v>
      </c>
      <c r="C43" t="s">
        <v>380</v>
      </c>
      <c r="E43" t="s">
        <v>193</v>
      </c>
      <c r="F43" t="s">
        <v>238</v>
      </c>
      <c r="G43" t="s">
        <v>254</v>
      </c>
      <c r="H43" t="s">
        <v>196</v>
      </c>
      <c r="I43" t="s">
        <v>63</v>
      </c>
      <c r="J43" t="s">
        <v>197</v>
      </c>
      <c r="K43">
        <v>36047</v>
      </c>
      <c r="L43" t="s">
        <v>255</v>
      </c>
      <c r="M43" t="s">
        <v>333</v>
      </c>
      <c r="N43" t="s">
        <v>381</v>
      </c>
      <c r="O43" t="s">
        <v>382</v>
      </c>
      <c r="P43">
        <v>1660</v>
      </c>
      <c r="R43" t="s">
        <v>202</v>
      </c>
      <c r="S43" t="s">
        <v>203</v>
      </c>
      <c r="T43" t="s">
        <v>243</v>
      </c>
      <c r="U43" t="s">
        <v>244</v>
      </c>
      <c r="V43">
        <v>201711</v>
      </c>
    </row>
    <row r="44" spans="1:22">
      <c r="A44">
        <v>1</v>
      </c>
      <c r="B44" t="s">
        <v>65</v>
      </c>
      <c r="C44" t="s">
        <v>236</v>
      </c>
      <c r="D44" t="s">
        <v>205</v>
      </c>
      <c r="E44" t="s">
        <v>193</v>
      </c>
      <c r="F44" t="s">
        <v>238</v>
      </c>
      <c r="G44" t="s">
        <v>302</v>
      </c>
      <c r="H44" t="s">
        <v>207</v>
      </c>
      <c r="I44" t="s">
        <v>65</v>
      </c>
      <c r="J44" t="s">
        <v>197</v>
      </c>
      <c r="K44">
        <v>102407</v>
      </c>
      <c r="L44" t="s">
        <v>282</v>
      </c>
      <c r="M44" t="s">
        <v>347</v>
      </c>
      <c r="N44" t="s">
        <v>383</v>
      </c>
      <c r="O44" t="s">
        <v>384</v>
      </c>
      <c r="P44">
        <v>2540</v>
      </c>
      <c r="R44" t="s">
        <v>202</v>
      </c>
      <c r="S44" t="s">
        <v>203</v>
      </c>
      <c r="T44" t="s">
        <v>193</v>
      </c>
      <c r="U44" t="s">
        <v>193</v>
      </c>
      <c r="V44">
        <v>202108</v>
      </c>
    </row>
    <row r="45" spans="1:22">
      <c r="A45">
        <v>2</v>
      </c>
      <c r="B45" t="s">
        <v>67</v>
      </c>
      <c r="C45" t="s">
        <v>385</v>
      </c>
      <c r="D45" t="s">
        <v>192</v>
      </c>
      <c r="E45" t="s">
        <v>193</v>
      </c>
      <c r="F45" t="s">
        <v>238</v>
      </c>
      <c r="G45" t="s">
        <v>249</v>
      </c>
      <c r="H45" t="s">
        <v>207</v>
      </c>
      <c r="I45" t="s">
        <v>67</v>
      </c>
      <c r="J45" t="s">
        <v>197</v>
      </c>
      <c r="K45">
        <v>57682</v>
      </c>
      <c r="L45" t="s">
        <v>277</v>
      </c>
      <c r="M45" t="s">
        <v>199</v>
      </c>
      <c r="N45" t="s">
        <v>386</v>
      </c>
      <c r="O45" t="s">
        <v>387</v>
      </c>
      <c r="P45">
        <v>3490</v>
      </c>
      <c r="R45" t="s">
        <v>202</v>
      </c>
      <c r="S45" t="s">
        <v>203</v>
      </c>
      <c r="T45" t="s">
        <v>243</v>
      </c>
      <c r="U45" t="s">
        <v>244</v>
      </c>
      <c r="V45">
        <v>202209</v>
      </c>
    </row>
    <row r="46" spans="1:22">
      <c r="A46">
        <v>0</v>
      </c>
      <c r="B46" t="s">
        <v>69</v>
      </c>
      <c r="C46" t="s">
        <v>388</v>
      </c>
      <c r="D46" t="s">
        <v>259</v>
      </c>
      <c r="E46" t="s">
        <v>193</v>
      </c>
      <c r="F46" t="s">
        <v>238</v>
      </c>
      <c r="G46" t="s">
        <v>254</v>
      </c>
      <c r="H46" t="s">
        <v>196</v>
      </c>
      <c r="I46" t="s">
        <v>69</v>
      </c>
      <c r="J46" t="s">
        <v>197</v>
      </c>
      <c r="K46">
        <v>153214</v>
      </c>
      <c r="L46" t="s">
        <v>389</v>
      </c>
      <c r="M46" t="s">
        <v>347</v>
      </c>
      <c r="N46" t="s">
        <v>390</v>
      </c>
      <c r="O46" t="s">
        <v>391</v>
      </c>
      <c r="P46">
        <v>940</v>
      </c>
      <c r="R46" t="s">
        <v>202</v>
      </c>
      <c r="S46" t="s">
        <v>203</v>
      </c>
      <c r="T46" t="s">
        <v>243</v>
      </c>
      <c r="U46" t="s">
        <v>244</v>
      </c>
      <c r="V46">
        <v>201712</v>
      </c>
    </row>
    <row r="47" spans="1:22">
      <c r="A47">
        <v>1</v>
      </c>
      <c r="B47" t="s">
        <v>71</v>
      </c>
      <c r="C47" t="s">
        <v>392</v>
      </c>
      <c r="D47" t="s">
        <v>393</v>
      </c>
      <c r="E47" t="s">
        <v>193</v>
      </c>
      <c r="F47" t="s">
        <v>238</v>
      </c>
      <c r="G47" t="s">
        <v>217</v>
      </c>
      <c r="H47" t="s">
        <v>196</v>
      </c>
      <c r="I47" t="s">
        <v>71</v>
      </c>
      <c r="J47" t="s">
        <v>197</v>
      </c>
      <c r="K47">
        <v>77903</v>
      </c>
      <c r="L47" t="s">
        <v>394</v>
      </c>
      <c r="M47" t="s">
        <v>341</v>
      </c>
      <c r="N47" t="s">
        <v>395</v>
      </c>
      <c r="O47" t="s">
        <v>396</v>
      </c>
      <c r="P47">
        <v>1590</v>
      </c>
      <c r="R47" t="s">
        <v>202</v>
      </c>
      <c r="S47" t="s">
        <v>203</v>
      </c>
      <c r="T47" t="s">
        <v>295</v>
      </c>
      <c r="U47" t="s">
        <v>244</v>
      </c>
      <c r="V47">
        <v>201903</v>
      </c>
    </row>
    <row r="48" spans="1:22">
      <c r="A48">
        <v>0</v>
      </c>
      <c r="B48" t="s">
        <v>73</v>
      </c>
      <c r="C48" t="s">
        <v>236</v>
      </c>
      <c r="D48" t="s">
        <v>205</v>
      </c>
      <c r="E48" t="s">
        <v>193</v>
      </c>
      <c r="F48" t="s">
        <v>238</v>
      </c>
      <c r="G48" t="s">
        <v>217</v>
      </c>
      <c r="H48" t="s">
        <v>207</v>
      </c>
      <c r="I48" t="s">
        <v>73</v>
      </c>
      <c r="J48" t="s">
        <v>197</v>
      </c>
      <c r="K48">
        <v>146534</v>
      </c>
      <c r="L48" t="s">
        <v>332</v>
      </c>
      <c r="M48" t="s">
        <v>199</v>
      </c>
      <c r="N48" t="s">
        <v>397</v>
      </c>
      <c r="O48" t="s">
        <v>398</v>
      </c>
      <c r="P48">
        <v>1750</v>
      </c>
      <c r="R48" t="s">
        <v>202</v>
      </c>
      <c r="S48" t="s">
        <v>203</v>
      </c>
      <c r="T48" t="s">
        <v>243</v>
      </c>
      <c r="U48" t="s">
        <v>244</v>
      </c>
      <c r="V48">
        <v>201804</v>
      </c>
    </row>
    <row r="49" spans="1:22">
      <c r="A49">
        <v>0</v>
      </c>
      <c r="B49" t="s">
        <v>75</v>
      </c>
      <c r="C49" t="s">
        <v>275</v>
      </c>
      <c r="E49" t="s">
        <v>193</v>
      </c>
      <c r="F49" t="s">
        <v>238</v>
      </c>
      <c r="G49" t="s">
        <v>195</v>
      </c>
      <c r="H49" t="s">
        <v>336</v>
      </c>
      <c r="I49" t="s">
        <v>75</v>
      </c>
      <c r="J49" t="s">
        <v>197</v>
      </c>
      <c r="K49">
        <v>83705</v>
      </c>
      <c r="L49" t="s">
        <v>399</v>
      </c>
      <c r="M49" t="s">
        <v>341</v>
      </c>
      <c r="N49" t="s">
        <v>400</v>
      </c>
      <c r="O49" t="s">
        <v>401</v>
      </c>
      <c r="P49">
        <v>2050</v>
      </c>
      <c r="R49" t="s">
        <v>202</v>
      </c>
      <c r="S49" t="s">
        <v>203</v>
      </c>
      <c r="T49" t="s">
        <v>295</v>
      </c>
      <c r="U49" t="s">
        <v>244</v>
      </c>
      <c r="V49">
        <v>202010</v>
      </c>
    </row>
    <row r="50" spans="1:22">
      <c r="A50">
        <v>2</v>
      </c>
      <c r="B50" t="s">
        <v>77</v>
      </c>
      <c r="C50" t="s">
        <v>402</v>
      </c>
      <c r="D50" t="s">
        <v>259</v>
      </c>
      <c r="E50" t="s">
        <v>193</v>
      </c>
      <c r="F50" t="s">
        <v>238</v>
      </c>
      <c r="G50" t="s">
        <v>302</v>
      </c>
      <c r="H50" t="s">
        <v>250</v>
      </c>
      <c r="I50" t="s">
        <v>77</v>
      </c>
      <c r="J50" t="s">
        <v>197</v>
      </c>
      <c r="K50">
        <v>123003</v>
      </c>
      <c r="L50" t="s">
        <v>303</v>
      </c>
      <c r="M50" t="s">
        <v>199</v>
      </c>
      <c r="N50" t="s">
        <v>403</v>
      </c>
      <c r="O50" t="s">
        <v>404</v>
      </c>
      <c r="P50">
        <v>1790</v>
      </c>
      <c r="R50" t="s">
        <v>202</v>
      </c>
      <c r="S50" t="s">
        <v>203</v>
      </c>
      <c r="T50" t="s">
        <v>295</v>
      </c>
      <c r="U50" t="s">
        <v>244</v>
      </c>
      <c r="V50">
        <v>202112</v>
      </c>
    </row>
    <row r="51" spans="1:22">
      <c r="A51">
        <v>2</v>
      </c>
      <c r="B51" t="s">
        <v>78</v>
      </c>
      <c r="C51" t="s">
        <v>300</v>
      </c>
      <c r="D51" t="s">
        <v>360</v>
      </c>
      <c r="E51" t="s">
        <v>193</v>
      </c>
      <c r="F51" t="s">
        <v>238</v>
      </c>
      <c r="G51" t="s">
        <v>249</v>
      </c>
      <c r="H51" t="s">
        <v>196</v>
      </c>
      <c r="I51" t="s">
        <v>78</v>
      </c>
      <c r="J51" t="s">
        <v>197</v>
      </c>
      <c r="K51">
        <v>60183</v>
      </c>
      <c r="L51" t="s">
        <v>303</v>
      </c>
      <c r="M51" t="s">
        <v>199</v>
      </c>
      <c r="N51" t="s">
        <v>405</v>
      </c>
      <c r="O51" t="s">
        <v>406</v>
      </c>
      <c r="P51">
        <v>2699</v>
      </c>
      <c r="R51" t="s">
        <v>202</v>
      </c>
      <c r="S51" t="s">
        <v>203</v>
      </c>
      <c r="T51" t="s">
        <v>243</v>
      </c>
      <c r="U51" t="s">
        <v>244</v>
      </c>
      <c r="V51">
        <v>202206</v>
      </c>
    </row>
    <row r="52" spans="1:22">
      <c r="A52">
        <v>0</v>
      </c>
      <c r="B52" t="s">
        <v>80</v>
      </c>
      <c r="C52" t="s">
        <v>258</v>
      </c>
      <c r="D52" t="s">
        <v>407</v>
      </c>
      <c r="E52" t="s">
        <v>193</v>
      </c>
      <c r="F52" t="s">
        <v>238</v>
      </c>
      <c r="G52" t="s">
        <v>222</v>
      </c>
      <c r="H52" t="s">
        <v>336</v>
      </c>
      <c r="I52" t="s">
        <v>80</v>
      </c>
      <c r="J52" t="s">
        <v>197</v>
      </c>
      <c r="K52">
        <v>102635</v>
      </c>
      <c r="L52" t="s">
        <v>408</v>
      </c>
      <c r="M52" t="s">
        <v>199</v>
      </c>
      <c r="N52" t="s">
        <v>409</v>
      </c>
      <c r="O52" t="s">
        <v>410</v>
      </c>
      <c r="P52">
        <v>590</v>
      </c>
      <c r="R52" t="s">
        <v>202</v>
      </c>
      <c r="S52" t="s">
        <v>203</v>
      </c>
      <c r="T52" t="s">
        <v>243</v>
      </c>
      <c r="U52" t="s">
        <v>244</v>
      </c>
      <c r="V52">
        <v>201212</v>
      </c>
    </row>
    <row r="53" spans="1:22">
      <c r="A53">
        <v>4</v>
      </c>
      <c r="B53" t="s">
        <v>82</v>
      </c>
      <c r="C53" t="s">
        <v>226</v>
      </c>
      <c r="D53" t="s">
        <v>411</v>
      </c>
      <c r="E53" t="s">
        <v>193</v>
      </c>
      <c r="F53" t="s">
        <v>238</v>
      </c>
      <c r="G53" t="s">
        <v>326</v>
      </c>
      <c r="H53" t="s">
        <v>196</v>
      </c>
      <c r="I53" t="s">
        <v>82</v>
      </c>
      <c r="J53" t="s">
        <v>197</v>
      </c>
      <c r="K53">
        <v>125276</v>
      </c>
      <c r="L53" t="s">
        <v>228</v>
      </c>
      <c r="M53" t="s">
        <v>347</v>
      </c>
      <c r="N53" t="s">
        <v>412</v>
      </c>
      <c r="O53" t="s">
        <v>413</v>
      </c>
      <c r="P53">
        <v>830</v>
      </c>
      <c r="R53" t="s">
        <v>202</v>
      </c>
      <c r="S53" t="s">
        <v>203</v>
      </c>
      <c r="T53" t="s">
        <v>295</v>
      </c>
      <c r="U53" t="s">
        <v>244</v>
      </c>
      <c r="V53">
        <v>201506</v>
      </c>
    </row>
    <row r="54" spans="1:22">
      <c r="A54">
        <v>0</v>
      </c>
      <c r="B54" t="s">
        <v>84</v>
      </c>
      <c r="C54" t="s">
        <v>300</v>
      </c>
      <c r="D54" t="s">
        <v>301</v>
      </c>
      <c r="E54" t="s">
        <v>193</v>
      </c>
      <c r="F54" t="s">
        <v>238</v>
      </c>
      <c r="G54" t="s">
        <v>302</v>
      </c>
      <c r="H54" t="s">
        <v>196</v>
      </c>
      <c r="I54" t="s">
        <v>84</v>
      </c>
      <c r="J54" t="s">
        <v>197</v>
      </c>
      <c r="K54">
        <v>67804</v>
      </c>
      <c r="L54" t="s">
        <v>303</v>
      </c>
      <c r="M54" t="s">
        <v>199</v>
      </c>
      <c r="N54" t="s">
        <v>414</v>
      </c>
      <c r="O54" t="s">
        <v>415</v>
      </c>
      <c r="P54">
        <v>2949</v>
      </c>
      <c r="R54" t="s">
        <v>202</v>
      </c>
      <c r="S54" t="s">
        <v>203</v>
      </c>
      <c r="T54" t="s">
        <v>243</v>
      </c>
      <c r="U54" t="s">
        <v>244</v>
      </c>
      <c r="V54">
        <v>202201</v>
      </c>
    </row>
    <row r="55" spans="1:22">
      <c r="A55">
        <v>0</v>
      </c>
      <c r="B55" t="s">
        <v>86</v>
      </c>
      <c r="C55" t="s">
        <v>204</v>
      </c>
      <c r="D55" t="s">
        <v>259</v>
      </c>
      <c r="E55" t="s">
        <v>193</v>
      </c>
      <c r="F55" t="s">
        <v>238</v>
      </c>
      <c r="G55" t="s">
        <v>260</v>
      </c>
      <c r="H55" t="s">
        <v>207</v>
      </c>
      <c r="I55" t="s">
        <v>86</v>
      </c>
      <c r="J55" t="s">
        <v>197</v>
      </c>
      <c r="K55">
        <v>83675</v>
      </c>
      <c r="L55" t="s">
        <v>332</v>
      </c>
      <c r="M55" t="s">
        <v>341</v>
      </c>
      <c r="N55" t="s">
        <v>416</v>
      </c>
      <c r="O55" t="s">
        <v>417</v>
      </c>
      <c r="P55">
        <v>1750</v>
      </c>
      <c r="R55" t="s">
        <v>202</v>
      </c>
      <c r="S55" t="s">
        <v>203</v>
      </c>
      <c r="T55" t="s">
        <v>295</v>
      </c>
      <c r="U55" t="s">
        <v>244</v>
      </c>
      <c r="V55">
        <v>201910</v>
      </c>
    </row>
    <row r="56" spans="1:22">
      <c r="A56">
        <v>0</v>
      </c>
      <c r="B56" t="s">
        <v>88</v>
      </c>
      <c r="C56" t="s">
        <v>418</v>
      </c>
      <c r="E56" t="s">
        <v>193</v>
      </c>
      <c r="F56" t="s">
        <v>238</v>
      </c>
      <c r="G56" t="s">
        <v>195</v>
      </c>
      <c r="H56" t="s">
        <v>336</v>
      </c>
      <c r="I56" t="s">
        <v>88</v>
      </c>
      <c r="J56" t="s">
        <v>197</v>
      </c>
      <c r="K56">
        <v>91530</v>
      </c>
      <c r="L56" t="s">
        <v>419</v>
      </c>
      <c r="M56" t="s">
        <v>333</v>
      </c>
      <c r="N56" t="s">
        <v>420</v>
      </c>
      <c r="O56" t="s">
        <v>421</v>
      </c>
      <c r="P56">
        <v>2699</v>
      </c>
      <c r="R56" t="s">
        <v>202</v>
      </c>
      <c r="S56" t="s">
        <v>203</v>
      </c>
      <c r="T56" t="s">
        <v>295</v>
      </c>
      <c r="U56" t="s">
        <v>244</v>
      </c>
      <c r="V56">
        <v>202010</v>
      </c>
    </row>
    <row r="57" spans="1:22">
      <c r="A57">
        <v>0</v>
      </c>
      <c r="B57" t="s">
        <v>90</v>
      </c>
      <c r="C57" t="s">
        <v>204</v>
      </c>
      <c r="D57" t="s">
        <v>259</v>
      </c>
      <c r="E57" t="s">
        <v>193</v>
      </c>
      <c r="F57" t="s">
        <v>238</v>
      </c>
      <c r="G57" t="s">
        <v>260</v>
      </c>
      <c r="H57" t="s">
        <v>207</v>
      </c>
      <c r="I57" t="s">
        <v>90</v>
      </c>
      <c r="J57" t="s">
        <v>197</v>
      </c>
      <c r="K57">
        <v>125154</v>
      </c>
      <c r="L57" t="s">
        <v>332</v>
      </c>
      <c r="M57" t="s">
        <v>347</v>
      </c>
      <c r="N57" t="s">
        <v>422</v>
      </c>
      <c r="O57" t="s">
        <v>423</v>
      </c>
      <c r="P57">
        <v>2000</v>
      </c>
      <c r="R57" t="s">
        <v>202</v>
      </c>
      <c r="S57" t="s">
        <v>203</v>
      </c>
      <c r="T57" t="s">
        <v>295</v>
      </c>
      <c r="U57" t="s">
        <v>244</v>
      </c>
      <c r="V57">
        <v>202005</v>
      </c>
    </row>
    <row r="58" spans="1:22">
      <c r="A58">
        <v>0</v>
      </c>
      <c r="B58" t="s">
        <v>91</v>
      </c>
      <c r="C58" t="s">
        <v>204</v>
      </c>
      <c r="D58" t="s">
        <v>259</v>
      </c>
      <c r="E58" t="s">
        <v>193</v>
      </c>
      <c r="F58" t="s">
        <v>238</v>
      </c>
      <c r="G58" t="s">
        <v>206</v>
      </c>
      <c r="H58" t="s">
        <v>207</v>
      </c>
      <c r="I58" t="s">
        <v>91</v>
      </c>
      <c r="J58" t="s">
        <v>197</v>
      </c>
      <c r="K58">
        <v>49401</v>
      </c>
      <c r="L58" t="s">
        <v>208</v>
      </c>
      <c r="M58" t="s">
        <v>199</v>
      </c>
      <c r="N58" t="s">
        <v>424</v>
      </c>
      <c r="O58" t="s">
        <v>425</v>
      </c>
      <c r="P58">
        <v>1479</v>
      </c>
      <c r="R58" t="s">
        <v>202</v>
      </c>
      <c r="S58" t="s">
        <v>203</v>
      </c>
      <c r="T58" t="s">
        <v>295</v>
      </c>
      <c r="U58" t="s">
        <v>244</v>
      </c>
      <c r="V58">
        <v>201609</v>
      </c>
    </row>
    <row r="59" spans="1:22">
      <c r="A59">
        <v>0</v>
      </c>
      <c r="B59" t="s">
        <v>93</v>
      </c>
      <c r="C59" t="s">
        <v>426</v>
      </c>
      <c r="E59" t="s">
        <v>193</v>
      </c>
      <c r="F59" t="s">
        <v>238</v>
      </c>
      <c r="G59" t="s">
        <v>249</v>
      </c>
      <c r="H59" t="s">
        <v>196</v>
      </c>
      <c r="I59" t="s">
        <v>93</v>
      </c>
      <c r="J59" t="s">
        <v>197</v>
      </c>
      <c r="K59">
        <v>20173</v>
      </c>
      <c r="L59" t="s">
        <v>346</v>
      </c>
      <c r="M59" t="s">
        <v>199</v>
      </c>
      <c r="N59" t="s">
        <v>427</v>
      </c>
      <c r="O59" t="s">
        <v>428</v>
      </c>
      <c r="P59">
        <v>1620</v>
      </c>
      <c r="R59" t="s">
        <v>202</v>
      </c>
      <c r="S59" t="s">
        <v>203</v>
      </c>
      <c r="T59" t="s">
        <v>243</v>
      </c>
      <c r="U59" t="s">
        <v>244</v>
      </c>
      <c r="V59">
        <v>202305</v>
      </c>
    </row>
    <row r="60" spans="1:22">
      <c r="A60">
        <v>2</v>
      </c>
      <c r="B60" t="s">
        <v>95</v>
      </c>
      <c r="C60" t="s">
        <v>429</v>
      </c>
      <c r="D60" t="s">
        <v>227</v>
      </c>
      <c r="E60" t="s">
        <v>193</v>
      </c>
      <c r="F60" t="s">
        <v>238</v>
      </c>
      <c r="G60" t="s">
        <v>217</v>
      </c>
      <c r="H60" t="s">
        <v>196</v>
      </c>
      <c r="I60" t="s">
        <v>95</v>
      </c>
      <c r="J60" t="s">
        <v>197</v>
      </c>
      <c r="K60">
        <v>113584</v>
      </c>
      <c r="L60" t="s">
        <v>319</v>
      </c>
      <c r="M60" t="s">
        <v>430</v>
      </c>
      <c r="N60" t="s">
        <v>431</v>
      </c>
      <c r="O60" t="s">
        <v>432</v>
      </c>
      <c r="P60">
        <v>1570</v>
      </c>
      <c r="R60" t="s">
        <v>202</v>
      </c>
      <c r="S60" t="s">
        <v>203</v>
      </c>
      <c r="T60" t="s">
        <v>193</v>
      </c>
      <c r="U60" t="s">
        <v>193</v>
      </c>
      <c r="V60">
        <v>201810</v>
      </c>
    </row>
    <row r="61" spans="1:22">
      <c r="A61">
        <v>0</v>
      </c>
      <c r="B61" t="s">
        <v>97</v>
      </c>
      <c r="C61" t="s">
        <v>258</v>
      </c>
      <c r="D61" t="s">
        <v>433</v>
      </c>
      <c r="E61" t="s">
        <v>193</v>
      </c>
      <c r="F61" t="s">
        <v>238</v>
      </c>
      <c r="G61" t="s">
        <v>302</v>
      </c>
      <c r="H61" t="s">
        <v>196</v>
      </c>
      <c r="I61" t="s">
        <v>97</v>
      </c>
      <c r="J61" t="s">
        <v>197</v>
      </c>
      <c r="K61">
        <v>63138</v>
      </c>
      <c r="L61" t="s">
        <v>261</v>
      </c>
      <c r="M61" t="s">
        <v>199</v>
      </c>
      <c r="N61" t="s">
        <v>434</v>
      </c>
      <c r="O61" t="s">
        <v>435</v>
      </c>
      <c r="P61">
        <v>2450</v>
      </c>
      <c r="R61" t="s">
        <v>202</v>
      </c>
      <c r="S61" t="s">
        <v>203</v>
      </c>
      <c r="T61" t="s">
        <v>295</v>
      </c>
      <c r="U61" t="s">
        <v>244</v>
      </c>
      <c r="V61">
        <v>202207</v>
      </c>
    </row>
    <row r="62" spans="1:22">
      <c r="A62">
        <v>5</v>
      </c>
      <c r="B62" t="s">
        <v>99</v>
      </c>
      <c r="C62" t="s">
        <v>191</v>
      </c>
      <c r="D62" t="s">
        <v>216</v>
      </c>
      <c r="E62" t="s">
        <v>193</v>
      </c>
      <c r="F62" t="s">
        <v>238</v>
      </c>
      <c r="G62" t="s">
        <v>302</v>
      </c>
      <c r="H62" t="s">
        <v>196</v>
      </c>
      <c r="I62" t="s">
        <v>99</v>
      </c>
      <c r="J62" t="s">
        <v>197</v>
      </c>
      <c r="K62">
        <v>58364</v>
      </c>
      <c r="L62" t="s">
        <v>198</v>
      </c>
      <c r="M62" t="s">
        <v>199</v>
      </c>
      <c r="N62" t="s">
        <v>436</v>
      </c>
      <c r="O62" t="s">
        <v>437</v>
      </c>
      <c r="P62">
        <v>1480</v>
      </c>
      <c r="R62" t="s">
        <v>202</v>
      </c>
      <c r="S62" t="s">
        <v>203</v>
      </c>
      <c r="T62" t="s">
        <v>193</v>
      </c>
      <c r="U62" t="s">
        <v>193</v>
      </c>
      <c r="V62">
        <v>202202</v>
      </c>
    </row>
    <row r="63" spans="1:22">
      <c r="A63">
        <v>1</v>
      </c>
      <c r="B63" t="s">
        <v>100</v>
      </c>
      <c r="C63" t="s">
        <v>438</v>
      </c>
      <c r="D63" t="s">
        <v>439</v>
      </c>
      <c r="E63" t="s">
        <v>193</v>
      </c>
      <c r="F63" t="s">
        <v>238</v>
      </c>
      <c r="G63" t="s">
        <v>440</v>
      </c>
      <c r="H63" t="s">
        <v>196</v>
      </c>
      <c r="I63" t="s">
        <v>100</v>
      </c>
      <c r="J63" t="s">
        <v>197</v>
      </c>
      <c r="K63">
        <v>72994</v>
      </c>
      <c r="L63" t="s">
        <v>441</v>
      </c>
      <c r="M63" t="s">
        <v>333</v>
      </c>
      <c r="N63" t="s">
        <v>442</v>
      </c>
      <c r="O63" t="s">
        <v>443</v>
      </c>
      <c r="P63">
        <v>220</v>
      </c>
      <c r="R63" t="s">
        <v>202</v>
      </c>
      <c r="S63" t="s">
        <v>203</v>
      </c>
      <c r="T63" t="s">
        <v>295</v>
      </c>
      <c r="U63" t="s">
        <v>244</v>
      </c>
      <c r="V63">
        <v>200107</v>
      </c>
    </row>
    <row r="64" spans="1:22">
      <c r="A64">
        <v>0</v>
      </c>
      <c r="B64" t="s">
        <v>102</v>
      </c>
      <c r="C64" t="s">
        <v>444</v>
      </c>
      <c r="D64" t="s">
        <v>301</v>
      </c>
      <c r="E64" t="s">
        <v>193</v>
      </c>
      <c r="F64" t="s">
        <v>238</v>
      </c>
      <c r="G64" t="s">
        <v>195</v>
      </c>
      <c r="H64" t="s">
        <v>196</v>
      </c>
      <c r="I64" t="s">
        <v>102</v>
      </c>
      <c r="J64" t="s">
        <v>197</v>
      </c>
      <c r="K64">
        <v>56571</v>
      </c>
      <c r="L64" t="s">
        <v>239</v>
      </c>
      <c r="M64" t="s">
        <v>341</v>
      </c>
      <c r="N64" t="s">
        <v>445</v>
      </c>
      <c r="O64" t="s">
        <v>446</v>
      </c>
      <c r="P64">
        <v>3180</v>
      </c>
      <c r="R64" t="s">
        <v>202</v>
      </c>
      <c r="S64" t="s">
        <v>203</v>
      </c>
      <c r="T64" t="s">
        <v>295</v>
      </c>
      <c r="U64" t="s">
        <v>244</v>
      </c>
      <c r="V64">
        <v>202103</v>
      </c>
    </row>
    <row r="65" spans="1:22">
      <c r="A65">
        <v>1</v>
      </c>
      <c r="B65" t="s">
        <v>104</v>
      </c>
      <c r="C65" t="s">
        <v>429</v>
      </c>
      <c r="D65" t="s">
        <v>227</v>
      </c>
      <c r="E65" t="s">
        <v>193</v>
      </c>
      <c r="F65" t="s">
        <v>238</v>
      </c>
      <c r="G65" t="s">
        <v>254</v>
      </c>
      <c r="H65" t="s">
        <v>196</v>
      </c>
      <c r="I65" t="s">
        <v>104</v>
      </c>
      <c r="J65" t="s">
        <v>197</v>
      </c>
      <c r="K65">
        <v>155482</v>
      </c>
      <c r="L65" t="s">
        <v>319</v>
      </c>
      <c r="M65" t="s">
        <v>333</v>
      </c>
      <c r="N65" t="s">
        <v>447</v>
      </c>
      <c r="O65" t="s">
        <v>448</v>
      </c>
      <c r="P65">
        <v>1290</v>
      </c>
      <c r="R65" t="s">
        <v>202</v>
      </c>
      <c r="S65" t="s">
        <v>203</v>
      </c>
      <c r="T65" t="s">
        <v>295</v>
      </c>
      <c r="U65" t="s">
        <v>244</v>
      </c>
      <c r="V65">
        <v>201804</v>
      </c>
    </row>
    <row r="66" spans="1:22">
      <c r="A66">
        <v>0</v>
      </c>
      <c r="B66" t="s">
        <v>106</v>
      </c>
      <c r="C66" t="s">
        <v>290</v>
      </c>
      <c r="D66" t="s">
        <v>259</v>
      </c>
      <c r="E66" t="s">
        <v>193</v>
      </c>
      <c r="F66" t="s">
        <v>238</v>
      </c>
      <c r="G66" t="s">
        <v>249</v>
      </c>
      <c r="H66" t="s">
        <v>196</v>
      </c>
      <c r="I66" t="s">
        <v>106</v>
      </c>
      <c r="J66" t="s">
        <v>197</v>
      </c>
      <c r="K66">
        <v>58901</v>
      </c>
      <c r="L66" t="s">
        <v>291</v>
      </c>
      <c r="M66" t="s">
        <v>328</v>
      </c>
      <c r="N66" t="s">
        <v>449</v>
      </c>
      <c r="O66" t="s">
        <v>450</v>
      </c>
      <c r="P66">
        <v>2550</v>
      </c>
      <c r="R66" t="s">
        <v>202</v>
      </c>
      <c r="S66" t="s">
        <v>203</v>
      </c>
      <c r="T66" t="s">
        <v>243</v>
      </c>
      <c r="U66" t="s">
        <v>306</v>
      </c>
      <c r="V66">
        <v>202306</v>
      </c>
    </row>
    <row r="67" spans="1:22">
      <c r="A67">
        <v>1</v>
      </c>
      <c r="B67" t="s">
        <v>108</v>
      </c>
      <c r="C67" t="s">
        <v>236</v>
      </c>
      <c r="D67" t="s">
        <v>205</v>
      </c>
      <c r="E67" t="s">
        <v>193</v>
      </c>
      <c r="F67" t="s">
        <v>238</v>
      </c>
      <c r="G67" t="s">
        <v>249</v>
      </c>
      <c r="H67" t="s">
        <v>207</v>
      </c>
      <c r="I67" t="s">
        <v>108</v>
      </c>
      <c r="J67" t="s">
        <v>197</v>
      </c>
      <c r="K67">
        <v>77880</v>
      </c>
      <c r="L67" t="s">
        <v>451</v>
      </c>
      <c r="M67" t="s">
        <v>347</v>
      </c>
      <c r="N67" t="s">
        <v>452</v>
      </c>
      <c r="O67" t="s">
        <v>453</v>
      </c>
      <c r="P67">
        <v>3400</v>
      </c>
      <c r="R67" t="s">
        <v>202</v>
      </c>
      <c r="S67" t="s">
        <v>203</v>
      </c>
      <c r="T67" t="s">
        <v>193</v>
      </c>
      <c r="U67" t="s">
        <v>193</v>
      </c>
      <c r="V67">
        <v>202304</v>
      </c>
    </row>
    <row r="68" spans="1:22">
      <c r="A68">
        <v>0</v>
      </c>
      <c r="B68" t="s">
        <v>110</v>
      </c>
      <c r="C68" t="s">
        <v>371</v>
      </c>
      <c r="D68" t="s">
        <v>301</v>
      </c>
      <c r="E68" t="s">
        <v>193</v>
      </c>
      <c r="F68" t="s">
        <v>238</v>
      </c>
      <c r="G68" t="s">
        <v>372</v>
      </c>
      <c r="H68" t="s">
        <v>196</v>
      </c>
      <c r="I68" t="s">
        <v>110</v>
      </c>
      <c r="J68" t="s">
        <v>197</v>
      </c>
      <c r="K68">
        <v>19480</v>
      </c>
      <c r="L68" t="s">
        <v>373</v>
      </c>
      <c r="M68" t="s">
        <v>333</v>
      </c>
      <c r="N68" t="s">
        <v>454</v>
      </c>
      <c r="O68" t="s">
        <v>455</v>
      </c>
      <c r="P68">
        <v>4299</v>
      </c>
      <c r="R68" t="s">
        <v>202</v>
      </c>
      <c r="S68" t="s">
        <v>203</v>
      </c>
      <c r="T68" t="s">
        <v>295</v>
      </c>
      <c r="U68" t="s">
        <v>456</v>
      </c>
      <c r="V68">
        <v>202403</v>
      </c>
    </row>
    <row r="69" spans="1:22">
      <c r="A69">
        <v>4</v>
      </c>
      <c r="B69" t="s">
        <v>112</v>
      </c>
      <c r="C69" t="s">
        <v>300</v>
      </c>
      <c r="D69" t="s">
        <v>237</v>
      </c>
      <c r="E69" t="s">
        <v>193</v>
      </c>
      <c r="F69" t="s">
        <v>238</v>
      </c>
      <c r="G69" t="s">
        <v>260</v>
      </c>
      <c r="H69" t="s">
        <v>196</v>
      </c>
      <c r="I69" t="s">
        <v>112</v>
      </c>
      <c r="J69" t="s">
        <v>197</v>
      </c>
      <c r="K69">
        <v>60089</v>
      </c>
      <c r="L69" t="s">
        <v>303</v>
      </c>
      <c r="M69" t="s">
        <v>199</v>
      </c>
      <c r="N69" t="s">
        <v>457</v>
      </c>
      <c r="O69" t="s">
        <v>458</v>
      </c>
      <c r="P69">
        <v>1860</v>
      </c>
      <c r="R69" t="s">
        <v>202</v>
      </c>
      <c r="S69" t="s">
        <v>203</v>
      </c>
      <c r="T69" t="s">
        <v>193</v>
      </c>
      <c r="U69" t="s">
        <v>193</v>
      </c>
      <c r="V69">
        <v>202006</v>
      </c>
    </row>
    <row r="70" spans="1:22">
      <c r="A70">
        <v>0</v>
      </c>
      <c r="B70" t="s">
        <v>114</v>
      </c>
      <c r="C70" t="s">
        <v>459</v>
      </c>
      <c r="E70" t="s">
        <v>193</v>
      </c>
      <c r="F70" t="s">
        <v>460</v>
      </c>
      <c r="G70" t="s">
        <v>254</v>
      </c>
      <c r="H70" t="s">
        <v>250</v>
      </c>
      <c r="I70" t="s">
        <v>114</v>
      </c>
      <c r="J70" t="s">
        <v>197</v>
      </c>
      <c r="K70">
        <v>180599</v>
      </c>
      <c r="L70" t="s">
        <v>319</v>
      </c>
      <c r="M70" t="s">
        <v>199</v>
      </c>
      <c r="N70" t="s">
        <v>461</v>
      </c>
      <c r="O70" t="s">
        <v>462</v>
      </c>
      <c r="P70">
        <v>2895</v>
      </c>
      <c r="R70" t="s">
        <v>193</v>
      </c>
      <c r="S70" t="s">
        <v>203</v>
      </c>
      <c r="T70" t="s">
        <v>193</v>
      </c>
      <c r="U70" t="s">
        <v>193</v>
      </c>
      <c r="V70">
        <v>201805</v>
      </c>
    </row>
    <row r="71" spans="1:22">
      <c r="A71">
        <v>0</v>
      </c>
      <c r="B71" t="s">
        <v>116</v>
      </c>
      <c r="C71" t="s">
        <v>402</v>
      </c>
      <c r="D71" t="s">
        <v>192</v>
      </c>
      <c r="E71" t="s">
        <v>193</v>
      </c>
      <c r="F71" t="s">
        <v>460</v>
      </c>
      <c r="G71" t="s">
        <v>217</v>
      </c>
      <c r="H71" t="s">
        <v>250</v>
      </c>
      <c r="I71" t="s">
        <v>116</v>
      </c>
      <c r="J71" t="s">
        <v>197</v>
      </c>
      <c r="K71">
        <v>166185</v>
      </c>
      <c r="L71" t="s">
        <v>303</v>
      </c>
      <c r="M71" t="s">
        <v>199</v>
      </c>
      <c r="N71" t="s">
        <v>463</v>
      </c>
      <c r="O71" t="s">
        <v>464</v>
      </c>
      <c r="P71">
        <v>2905</v>
      </c>
      <c r="R71" t="s">
        <v>465</v>
      </c>
      <c r="S71" t="s">
        <v>203</v>
      </c>
      <c r="T71" t="s">
        <v>193</v>
      </c>
      <c r="U71" t="s">
        <v>193</v>
      </c>
      <c r="V71">
        <v>201906</v>
      </c>
    </row>
    <row r="72" spans="1:22">
      <c r="A72">
        <v>0</v>
      </c>
      <c r="B72" t="s">
        <v>117</v>
      </c>
      <c r="C72" t="s">
        <v>191</v>
      </c>
      <c r="D72" t="s">
        <v>192</v>
      </c>
      <c r="E72" t="s">
        <v>193</v>
      </c>
      <c r="F72" t="s">
        <v>238</v>
      </c>
      <c r="G72" t="s">
        <v>195</v>
      </c>
      <c r="H72" t="s">
        <v>196</v>
      </c>
      <c r="I72" t="s">
        <v>117</v>
      </c>
      <c r="J72" t="s">
        <v>197</v>
      </c>
      <c r="K72">
        <v>58676</v>
      </c>
      <c r="L72" t="s">
        <v>198</v>
      </c>
      <c r="M72" t="s">
        <v>333</v>
      </c>
      <c r="N72" t="s">
        <v>466</v>
      </c>
      <c r="O72" t="s">
        <v>467</v>
      </c>
      <c r="P72">
        <v>1650</v>
      </c>
      <c r="R72" t="s">
        <v>202</v>
      </c>
      <c r="S72" t="s">
        <v>203</v>
      </c>
      <c r="T72" t="s">
        <v>295</v>
      </c>
      <c r="U72" t="s">
        <v>244</v>
      </c>
      <c r="V72">
        <v>202010</v>
      </c>
    </row>
    <row r="73" spans="1:22">
      <c r="A73">
        <v>1</v>
      </c>
      <c r="B73" t="s">
        <v>119</v>
      </c>
      <c r="C73" t="s">
        <v>468</v>
      </c>
      <c r="E73" t="s">
        <v>193</v>
      </c>
      <c r="F73" t="s">
        <v>238</v>
      </c>
      <c r="G73" t="s">
        <v>217</v>
      </c>
      <c r="H73" t="s">
        <v>196</v>
      </c>
      <c r="I73" t="s">
        <v>119</v>
      </c>
      <c r="J73" t="s">
        <v>197</v>
      </c>
      <c r="K73">
        <v>106485</v>
      </c>
      <c r="L73" t="s">
        <v>255</v>
      </c>
      <c r="M73" t="s">
        <v>347</v>
      </c>
      <c r="N73" t="s">
        <v>469</v>
      </c>
      <c r="O73" t="s">
        <v>470</v>
      </c>
      <c r="P73">
        <v>1200</v>
      </c>
      <c r="R73" t="s">
        <v>202</v>
      </c>
      <c r="S73" t="s">
        <v>203</v>
      </c>
      <c r="T73" t="s">
        <v>243</v>
      </c>
      <c r="U73" t="s">
        <v>244</v>
      </c>
      <c r="V73">
        <v>201806</v>
      </c>
    </row>
    <row r="74" spans="1:22">
      <c r="A74">
        <v>0</v>
      </c>
      <c r="B74" t="s">
        <v>121</v>
      </c>
      <c r="C74" t="s">
        <v>471</v>
      </c>
      <c r="E74" t="s">
        <v>193</v>
      </c>
      <c r="F74" t="s">
        <v>238</v>
      </c>
      <c r="G74" t="s">
        <v>249</v>
      </c>
      <c r="H74" t="s">
        <v>196</v>
      </c>
      <c r="I74" t="s">
        <v>121</v>
      </c>
      <c r="J74" t="s">
        <v>197</v>
      </c>
      <c r="K74">
        <v>109945</v>
      </c>
      <c r="L74" t="s">
        <v>346</v>
      </c>
      <c r="M74" t="s">
        <v>333</v>
      </c>
      <c r="N74" t="s">
        <v>472</v>
      </c>
      <c r="O74" t="s">
        <v>473</v>
      </c>
      <c r="P74">
        <v>1410</v>
      </c>
      <c r="R74" t="s">
        <v>202</v>
      </c>
      <c r="S74" t="s">
        <v>203</v>
      </c>
      <c r="T74" t="s">
        <v>295</v>
      </c>
      <c r="U74" t="s">
        <v>244</v>
      </c>
      <c r="V74">
        <v>202202</v>
      </c>
    </row>
    <row r="75" spans="1:22">
      <c r="A75">
        <v>0</v>
      </c>
      <c r="B75" t="s">
        <v>123</v>
      </c>
      <c r="C75" t="s">
        <v>474</v>
      </c>
      <c r="D75" t="s">
        <v>439</v>
      </c>
      <c r="E75" t="s">
        <v>193</v>
      </c>
      <c r="F75" t="s">
        <v>194</v>
      </c>
      <c r="G75" t="s">
        <v>222</v>
      </c>
      <c r="H75" t="s">
        <v>196</v>
      </c>
      <c r="I75" t="s">
        <v>123</v>
      </c>
      <c r="J75" t="s">
        <v>197</v>
      </c>
      <c r="K75">
        <v>125368</v>
      </c>
      <c r="L75" t="s">
        <v>475</v>
      </c>
      <c r="M75" t="s">
        <v>199</v>
      </c>
      <c r="N75" t="s">
        <v>476</v>
      </c>
      <c r="O75" t="s">
        <v>477</v>
      </c>
      <c r="P75">
        <v>479</v>
      </c>
      <c r="R75" t="s">
        <v>202</v>
      </c>
      <c r="S75" t="s">
        <v>203</v>
      </c>
      <c r="T75" t="s">
        <v>193</v>
      </c>
      <c r="U75" t="s">
        <v>193</v>
      </c>
      <c r="V75">
        <v>201107</v>
      </c>
    </row>
    <row r="76" spans="1:22">
      <c r="A76">
        <v>0</v>
      </c>
      <c r="B76" t="s">
        <v>125</v>
      </c>
      <c r="C76" t="s">
        <v>478</v>
      </c>
      <c r="E76" t="s">
        <v>193</v>
      </c>
      <c r="F76" t="s">
        <v>479</v>
      </c>
      <c r="G76" t="s">
        <v>212</v>
      </c>
      <c r="H76" t="s">
        <v>196</v>
      </c>
      <c r="I76" t="s">
        <v>125</v>
      </c>
      <c r="J76" t="s">
        <v>197</v>
      </c>
      <c r="K76">
        <v>181453</v>
      </c>
      <c r="L76" t="s">
        <v>480</v>
      </c>
      <c r="M76" t="s">
        <v>333</v>
      </c>
      <c r="N76" t="s">
        <v>481</v>
      </c>
      <c r="O76" t="s">
        <v>482</v>
      </c>
      <c r="P76">
        <v>879</v>
      </c>
      <c r="R76" t="s">
        <v>202</v>
      </c>
      <c r="S76" t="s">
        <v>203</v>
      </c>
      <c r="T76" t="s">
        <v>193</v>
      </c>
      <c r="U76" t="s">
        <v>193</v>
      </c>
      <c r="V76">
        <v>201402</v>
      </c>
    </row>
    <row r="77" spans="1:22">
      <c r="A77">
        <v>0</v>
      </c>
      <c r="B77" t="s">
        <v>127</v>
      </c>
      <c r="C77" t="s">
        <v>259</v>
      </c>
      <c r="E77" t="s">
        <v>193</v>
      </c>
      <c r="F77" t="s">
        <v>238</v>
      </c>
      <c r="G77" t="s">
        <v>302</v>
      </c>
      <c r="H77" t="s">
        <v>336</v>
      </c>
      <c r="I77" t="s">
        <v>127</v>
      </c>
      <c r="J77" t="s">
        <v>197</v>
      </c>
      <c r="K77">
        <v>79829</v>
      </c>
      <c r="L77" t="s">
        <v>483</v>
      </c>
      <c r="M77" t="s">
        <v>199</v>
      </c>
      <c r="N77" t="s">
        <v>484</v>
      </c>
      <c r="O77" t="s">
        <v>485</v>
      </c>
      <c r="P77">
        <v>2450</v>
      </c>
      <c r="R77" t="s">
        <v>202</v>
      </c>
      <c r="S77" t="s">
        <v>203</v>
      </c>
      <c r="T77" t="s">
        <v>295</v>
      </c>
      <c r="U77" t="s">
        <v>244</v>
      </c>
      <c r="V77">
        <v>202205</v>
      </c>
    </row>
    <row r="78" spans="1:22">
      <c r="A78">
        <v>1</v>
      </c>
      <c r="B78" t="s">
        <v>129</v>
      </c>
      <c r="C78" t="s">
        <v>486</v>
      </c>
      <c r="D78" t="s">
        <v>216</v>
      </c>
      <c r="E78" t="s">
        <v>193</v>
      </c>
      <c r="F78" t="s">
        <v>238</v>
      </c>
      <c r="G78" t="s">
        <v>254</v>
      </c>
      <c r="H78" t="s">
        <v>207</v>
      </c>
      <c r="I78" t="s">
        <v>129</v>
      </c>
      <c r="J78" t="s">
        <v>197</v>
      </c>
      <c r="K78">
        <v>117042</v>
      </c>
      <c r="L78" t="s">
        <v>297</v>
      </c>
      <c r="M78" t="s">
        <v>347</v>
      </c>
      <c r="N78" t="s">
        <v>487</v>
      </c>
      <c r="O78" t="s">
        <v>488</v>
      </c>
      <c r="P78">
        <v>1090</v>
      </c>
      <c r="R78" t="s">
        <v>202</v>
      </c>
      <c r="S78" t="s">
        <v>203</v>
      </c>
      <c r="T78" t="s">
        <v>295</v>
      </c>
      <c r="U78" t="s">
        <v>244</v>
      </c>
      <c r="V78">
        <v>201712</v>
      </c>
    </row>
    <row r="79" spans="1:22">
      <c r="A79">
        <v>0</v>
      </c>
      <c r="B79" t="s">
        <v>131</v>
      </c>
      <c r="C79" t="s">
        <v>318</v>
      </c>
      <c r="D79" t="s">
        <v>411</v>
      </c>
      <c r="E79" t="s">
        <v>193</v>
      </c>
      <c r="F79" t="s">
        <v>238</v>
      </c>
      <c r="G79" t="s">
        <v>254</v>
      </c>
      <c r="H79" t="s">
        <v>196</v>
      </c>
      <c r="I79" t="s">
        <v>131</v>
      </c>
      <c r="J79" t="s">
        <v>197</v>
      </c>
      <c r="K79">
        <v>177496</v>
      </c>
      <c r="L79" t="s">
        <v>319</v>
      </c>
      <c r="M79" t="s">
        <v>199</v>
      </c>
      <c r="N79" t="s">
        <v>489</v>
      </c>
      <c r="O79" t="s">
        <v>490</v>
      </c>
      <c r="P79">
        <v>1090</v>
      </c>
      <c r="R79" t="s">
        <v>202</v>
      </c>
      <c r="S79" t="s">
        <v>203</v>
      </c>
      <c r="T79" t="s">
        <v>243</v>
      </c>
      <c r="U79" t="s">
        <v>244</v>
      </c>
      <c r="V79">
        <v>201707</v>
      </c>
    </row>
    <row r="80" spans="1:22">
      <c r="A80">
        <v>0</v>
      </c>
      <c r="B80" t="s">
        <v>133</v>
      </c>
      <c r="C80" t="s">
        <v>491</v>
      </c>
      <c r="D80" t="s">
        <v>216</v>
      </c>
      <c r="E80" t="s">
        <v>193</v>
      </c>
      <c r="F80" t="s">
        <v>238</v>
      </c>
      <c r="G80" t="s">
        <v>286</v>
      </c>
      <c r="H80" t="s">
        <v>207</v>
      </c>
      <c r="I80" t="s">
        <v>133</v>
      </c>
      <c r="J80" t="s">
        <v>197</v>
      </c>
      <c r="K80">
        <v>124915</v>
      </c>
      <c r="L80" t="s">
        <v>492</v>
      </c>
      <c r="M80" t="s">
        <v>199</v>
      </c>
      <c r="N80" t="s">
        <v>493</v>
      </c>
      <c r="O80" t="s">
        <v>494</v>
      </c>
      <c r="P80">
        <v>1150</v>
      </c>
      <c r="R80" t="s">
        <v>202</v>
      </c>
      <c r="S80" t="s">
        <v>203</v>
      </c>
      <c r="T80" t="s">
        <v>193</v>
      </c>
      <c r="U80" t="s">
        <v>193</v>
      </c>
      <c r="V80">
        <v>201609</v>
      </c>
    </row>
    <row r="81" spans="1:22">
      <c r="A81">
        <v>3</v>
      </c>
      <c r="B81" t="s">
        <v>135</v>
      </c>
      <c r="C81" t="s">
        <v>495</v>
      </c>
      <c r="E81" t="s">
        <v>193</v>
      </c>
      <c r="F81" t="s">
        <v>238</v>
      </c>
      <c r="G81" t="s">
        <v>212</v>
      </c>
      <c r="H81" t="s">
        <v>196</v>
      </c>
      <c r="I81" t="s">
        <v>135</v>
      </c>
      <c r="J81" t="s">
        <v>197</v>
      </c>
      <c r="K81">
        <v>154850</v>
      </c>
      <c r="L81" t="s">
        <v>496</v>
      </c>
      <c r="M81" t="s">
        <v>322</v>
      </c>
      <c r="N81" t="s">
        <v>497</v>
      </c>
      <c r="O81" t="s">
        <v>498</v>
      </c>
      <c r="P81">
        <v>350</v>
      </c>
      <c r="R81" t="s">
        <v>202</v>
      </c>
      <c r="S81" t="s">
        <v>203</v>
      </c>
      <c r="T81" t="s">
        <v>193</v>
      </c>
      <c r="U81" t="s">
        <v>193</v>
      </c>
      <c r="V81">
        <v>201309</v>
      </c>
    </row>
    <row r="82" spans="1:22">
      <c r="A82">
        <v>0</v>
      </c>
      <c r="B82" t="s">
        <v>137</v>
      </c>
      <c r="C82" t="s">
        <v>360</v>
      </c>
      <c r="E82" t="s">
        <v>193</v>
      </c>
      <c r="F82" t="s">
        <v>238</v>
      </c>
      <c r="G82" t="s">
        <v>302</v>
      </c>
      <c r="H82" t="s">
        <v>336</v>
      </c>
      <c r="I82" t="s">
        <v>137</v>
      </c>
      <c r="J82" t="s">
        <v>197</v>
      </c>
      <c r="K82">
        <v>45009</v>
      </c>
      <c r="L82" t="s">
        <v>483</v>
      </c>
      <c r="M82" t="s">
        <v>199</v>
      </c>
      <c r="N82" t="s">
        <v>499</v>
      </c>
      <c r="O82" t="s">
        <v>500</v>
      </c>
      <c r="P82">
        <v>2990</v>
      </c>
      <c r="R82" t="s">
        <v>202</v>
      </c>
      <c r="S82" t="s">
        <v>203</v>
      </c>
      <c r="T82" t="s">
        <v>243</v>
      </c>
      <c r="U82" t="s">
        <v>244</v>
      </c>
      <c r="V82">
        <v>202202</v>
      </c>
    </row>
    <row r="83" spans="1:22">
      <c r="A83">
        <v>4</v>
      </c>
      <c r="B83" t="s">
        <v>139</v>
      </c>
      <c r="C83" t="s">
        <v>501</v>
      </c>
      <c r="D83" t="s">
        <v>281</v>
      </c>
      <c r="E83" t="s">
        <v>193</v>
      </c>
      <c r="F83" t="s">
        <v>238</v>
      </c>
      <c r="G83" t="s">
        <v>286</v>
      </c>
      <c r="H83" t="s">
        <v>196</v>
      </c>
      <c r="I83" t="s">
        <v>139</v>
      </c>
      <c r="J83" t="s">
        <v>197</v>
      </c>
      <c r="K83">
        <v>190569</v>
      </c>
      <c r="L83" t="s">
        <v>502</v>
      </c>
      <c r="M83" t="s">
        <v>503</v>
      </c>
      <c r="N83" t="s">
        <v>504</v>
      </c>
      <c r="O83" t="s">
        <v>505</v>
      </c>
      <c r="P83">
        <v>1190</v>
      </c>
      <c r="R83" t="s">
        <v>202</v>
      </c>
      <c r="S83" t="s">
        <v>203</v>
      </c>
      <c r="T83" t="s">
        <v>193</v>
      </c>
      <c r="U83" t="s">
        <v>193</v>
      </c>
      <c r="V83">
        <v>201609</v>
      </c>
    </row>
    <row r="84" spans="1:22">
      <c r="A84">
        <v>5</v>
      </c>
      <c r="B84" t="s">
        <v>141</v>
      </c>
      <c r="C84" t="s">
        <v>506</v>
      </c>
      <c r="E84" t="s">
        <v>193</v>
      </c>
      <c r="F84" t="s">
        <v>194</v>
      </c>
      <c r="G84" t="s">
        <v>212</v>
      </c>
      <c r="H84" t="s">
        <v>196</v>
      </c>
      <c r="I84" t="s">
        <v>141</v>
      </c>
      <c r="J84" t="s">
        <v>197</v>
      </c>
      <c r="K84">
        <v>144031</v>
      </c>
      <c r="L84" t="s">
        <v>480</v>
      </c>
      <c r="M84" t="s">
        <v>507</v>
      </c>
      <c r="N84" t="s">
        <v>508</v>
      </c>
      <c r="O84" t="s">
        <v>509</v>
      </c>
      <c r="P84">
        <v>1385</v>
      </c>
      <c r="R84" t="s">
        <v>202</v>
      </c>
      <c r="S84" t="s">
        <v>203</v>
      </c>
      <c r="T84" t="s">
        <v>193</v>
      </c>
      <c r="U84" t="s">
        <v>193</v>
      </c>
      <c r="V84">
        <v>201402</v>
      </c>
    </row>
    <row r="85" spans="1:22">
      <c r="A85">
        <v>2</v>
      </c>
      <c r="B85" t="s">
        <v>143</v>
      </c>
      <c r="C85" t="s">
        <v>510</v>
      </c>
      <c r="E85" t="s">
        <v>193</v>
      </c>
      <c r="F85" t="s">
        <v>238</v>
      </c>
      <c r="G85" t="s">
        <v>326</v>
      </c>
      <c r="H85" t="s">
        <v>196</v>
      </c>
      <c r="I85" t="s">
        <v>143</v>
      </c>
      <c r="J85" t="s">
        <v>197</v>
      </c>
      <c r="K85">
        <v>158535</v>
      </c>
      <c r="L85" t="s">
        <v>480</v>
      </c>
      <c r="M85" t="s">
        <v>199</v>
      </c>
      <c r="N85" t="s">
        <v>511</v>
      </c>
      <c r="O85" t="s">
        <v>512</v>
      </c>
      <c r="P85">
        <v>1149</v>
      </c>
      <c r="R85" t="s">
        <v>202</v>
      </c>
      <c r="S85" t="s">
        <v>203</v>
      </c>
      <c r="T85" t="s">
        <v>193</v>
      </c>
      <c r="U85" t="s">
        <v>193</v>
      </c>
      <c r="V85">
        <v>201501</v>
      </c>
    </row>
    <row r="86" spans="1:22">
      <c r="A86">
        <v>0</v>
      </c>
      <c r="B86" t="s">
        <v>145</v>
      </c>
      <c r="C86" t="s">
        <v>513</v>
      </c>
      <c r="D86" t="s">
        <v>216</v>
      </c>
      <c r="E86" t="s">
        <v>193</v>
      </c>
      <c r="F86" t="s">
        <v>238</v>
      </c>
      <c r="G86" t="s">
        <v>286</v>
      </c>
      <c r="H86" t="s">
        <v>207</v>
      </c>
      <c r="I86" t="s">
        <v>145</v>
      </c>
      <c r="J86" t="s">
        <v>197</v>
      </c>
      <c r="K86">
        <v>165406</v>
      </c>
      <c r="L86" t="s">
        <v>492</v>
      </c>
      <c r="M86" t="s">
        <v>430</v>
      </c>
      <c r="N86" t="s">
        <v>514</v>
      </c>
      <c r="O86" t="s">
        <v>515</v>
      </c>
      <c r="P86">
        <v>1250</v>
      </c>
      <c r="R86" t="s">
        <v>202</v>
      </c>
      <c r="S86" t="s">
        <v>203</v>
      </c>
      <c r="T86" t="s">
        <v>193</v>
      </c>
      <c r="U86" t="s">
        <v>193</v>
      </c>
      <c r="V86">
        <v>201608</v>
      </c>
    </row>
    <row r="87" spans="1:22">
      <c r="A87">
        <v>4</v>
      </c>
      <c r="B87" t="s">
        <v>147</v>
      </c>
      <c r="C87" t="s">
        <v>516</v>
      </c>
      <c r="E87" t="s">
        <v>193</v>
      </c>
      <c r="F87" t="s">
        <v>238</v>
      </c>
      <c r="G87" t="s">
        <v>254</v>
      </c>
      <c r="H87" t="s">
        <v>196</v>
      </c>
      <c r="I87" t="s">
        <v>147</v>
      </c>
      <c r="J87" t="s">
        <v>197</v>
      </c>
      <c r="K87">
        <v>90376</v>
      </c>
      <c r="L87" t="s">
        <v>268</v>
      </c>
      <c r="M87" t="s">
        <v>503</v>
      </c>
      <c r="N87" t="s">
        <v>517</v>
      </c>
      <c r="O87" t="s">
        <v>518</v>
      </c>
      <c r="P87">
        <v>920</v>
      </c>
      <c r="R87" t="s">
        <v>202</v>
      </c>
      <c r="S87" t="s">
        <v>203</v>
      </c>
      <c r="T87" t="s">
        <v>243</v>
      </c>
      <c r="U87" t="s">
        <v>244</v>
      </c>
      <c r="V87">
        <v>201806</v>
      </c>
    </row>
    <row r="88" spans="1:22">
      <c r="A88">
        <v>0</v>
      </c>
      <c r="B88" t="s">
        <v>149</v>
      </c>
      <c r="C88" t="s">
        <v>300</v>
      </c>
      <c r="D88" t="s">
        <v>360</v>
      </c>
      <c r="E88" t="s">
        <v>193</v>
      </c>
      <c r="F88" t="s">
        <v>238</v>
      </c>
      <c r="G88" t="s">
        <v>249</v>
      </c>
      <c r="H88" t="s">
        <v>196</v>
      </c>
      <c r="I88" t="s">
        <v>149</v>
      </c>
      <c r="J88" t="s">
        <v>197</v>
      </c>
      <c r="K88">
        <v>83448</v>
      </c>
      <c r="L88" t="s">
        <v>303</v>
      </c>
      <c r="M88" t="s">
        <v>199</v>
      </c>
      <c r="N88" t="s">
        <v>519</v>
      </c>
      <c r="O88" t="s">
        <v>520</v>
      </c>
      <c r="P88">
        <v>2650</v>
      </c>
      <c r="R88" t="s">
        <v>202</v>
      </c>
      <c r="S88" t="s">
        <v>203</v>
      </c>
      <c r="T88" t="s">
        <v>295</v>
      </c>
      <c r="U88" t="s">
        <v>244</v>
      </c>
      <c r="V88">
        <v>202206</v>
      </c>
    </row>
    <row r="89" spans="1:22">
      <c r="A89">
        <v>0</v>
      </c>
      <c r="B89" t="s">
        <v>150</v>
      </c>
      <c r="C89" t="s">
        <v>259</v>
      </c>
      <c r="E89" t="s">
        <v>193</v>
      </c>
      <c r="F89" t="s">
        <v>193</v>
      </c>
      <c r="G89" t="s">
        <v>372</v>
      </c>
      <c r="H89" t="s">
        <v>336</v>
      </c>
      <c r="I89" t="s">
        <v>150</v>
      </c>
      <c r="J89" t="s">
        <v>197</v>
      </c>
      <c r="K89">
        <v>16300</v>
      </c>
      <c r="L89" t="s">
        <v>521</v>
      </c>
      <c r="M89" t="s">
        <v>199</v>
      </c>
      <c r="N89" t="s">
        <v>522</v>
      </c>
      <c r="O89" t="s">
        <v>523</v>
      </c>
      <c r="P89">
        <v>9999</v>
      </c>
      <c r="R89" t="s">
        <v>465</v>
      </c>
      <c r="S89" t="s">
        <v>203</v>
      </c>
      <c r="T89" t="s">
        <v>193</v>
      </c>
      <c r="U89" t="s">
        <v>193</v>
      </c>
      <c r="V89">
        <v>202312</v>
      </c>
    </row>
    <row r="90" spans="1:22">
      <c r="A90">
        <v>0</v>
      </c>
      <c r="B90" t="s">
        <v>152</v>
      </c>
      <c r="C90" t="s">
        <v>459</v>
      </c>
      <c r="E90" t="s">
        <v>193</v>
      </c>
      <c r="F90" t="s">
        <v>193</v>
      </c>
      <c r="G90" t="s">
        <v>254</v>
      </c>
      <c r="H90" t="s">
        <v>250</v>
      </c>
      <c r="I90" t="s">
        <v>152</v>
      </c>
      <c r="J90" t="s">
        <v>197</v>
      </c>
      <c r="K90">
        <v>135300</v>
      </c>
      <c r="L90" t="s">
        <v>319</v>
      </c>
      <c r="M90" t="s">
        <v>199</v>
      </c>
      <c r="N90" t="s">
        <v>524</v>
      </c>
      <c r="O90" t="s">
        <v>525</v>
      </c>
      <c r="P90">
        <v>9999</v>
      </c>
      <c r="R90" t="s">
        <v>465</v>
      </c>
      <c r="S90" t="s">
        <v>203</v>
      </c>
      <c r="T90" t="s">
        <v>193</v>
      </c>
      <c r="U90" t="s">
        <v>193</v>
      </c>
      <c r="V90">
        <v>201706</v>
      </c>
    </row>
    <row r="91" spans="1:22">
      <c r="A91">
        <v>1</v>
      </c>
      <c r="B91" t="s">
        <v>153</v>
      </c>
      <c r="C91" t="s">
        <v>510</v>
      </c>
      <c r="E91" t="s">
        <v>193</v>
      </c>
      <c r="F91" t="s">
        <v>238</v>
      </c>
      <c r="G91" t="s">
        <v>206</v>
      </c>
      <c r="H91" t="s">
        <v>196</v>
      </c>
      <c r="I91" t="s">
        <v>153</v>
      </c>
      <c r="J91" t="s">
        <v>197</v>
      </c>
      <c r="K91">
        <v>60115</v>
      </c>
      <c r="L91" t="s">
        <v>480</v>
      </c>
      <c r="M91" t="s">
        <v>347</v>
      </c>
      <c r="N91" t="s">
        <v>526</v>
      </c>
      <c r="O91" t="s">
        <v>527</v>
      </c>
      <c r="P91">
        <v>1700</v>
      </c>
      <c r="R91" t="s">
        <v>202</v>
      </c>
      <c r="S91" t="s">
        <v>203</v>
      </c>
      <c r="T91" t="s">
        <v>295</v>
      </c>
      <c r="U91" t="s">
        <v>244</v>
      </c>
      <c r="V91">
        <v>201511</v>
      </c>
    </row>
    <row r="92" spans="1:22">
      <c r="A92">
        <v>1</v>
      </c>
      <c r="B92" t="s">
        <v>155</v>
      </c>
      <c r="C92" t="s">
        <v>204</v>
      </c>
      <c r="D92" t="s">
        <v>271</v>
      </c>
      <c r="E92" t="s">
        <v>193</v>
      </c>
      <c r="F92" t="s">
        <v>238</v>
      </c>
      <c r="G92" t="s">
        <v>206</v>
      </c>
      <c r="H92" t="s">
        <v>207</v>
      </c>
      <c r="I92" t="s">
        <v>155</v>
      </c>
      <c r="J92" t="s">
        <v>197</v>
      </c>
      <c r="K92">
        <v>78195</v>
      </c>
      <c r="L92" t="s">
        <v>208</v>
      </c>
      <c r="M92" t="s">
        <v>341</v>
      </c>
      <c r="N92" t="s">
        <v>528</v>
      </c>
      <c r="O92" t="s">
        <v>529</v>
      </c>
      <c r="P92">
        <v>1610</v>
      </c>
      <c r="R92" t="s">
        <v>202</v>
      </c>
      <c r="S92" t="s">
        <v>203</v>
      </c>
      <c r="T92" t="s">
        <v>243</v>
      </c>
      <c r="U92" t="s">
        <v>244</v>
      </c>
      <c r="V92">
        <v>201506</v>
      </c>
    </row>
    <row r="93" spans="1:22">
      <c r="A93">
        <v>0</v>
      </c>
      <c r="B93" t="s">
        <v>157</v>
      </c>
      <c r="C93" t="s">
        <v>530</v>
      </c>
      <c r="D93" t="s">
        <v>192</v>
      </c>
      <c r="E93" t="s">
        <v>193</v>
      </c>
      <c r="F93" t="s">
        <v>193</v>
      </c>
      <c r="G93" t="s">
        <v>302</v>
      </c>
      <c r="H93" t="s">
        <v>207</v>
      </c>
      <c r="I93" t="s">
        <v>157</v>
      </c>
      <c r="J93" t="s">
        <v>197</v>
      </c>
      <c r="K93">
        <v>55500</v>
      </c>
      <c r="L93" t="s">
        <v>277</v>
      </c>
      <c r="M93" t="s">
        <v>199</v>
      </c>
      <c r="N93" t="s">
        <v>531</v>
      </c>
      <c r="O93" t="s">
        <v>532</v>
      </c>
      <c r="P93">
        <v>9999</v>
      </c>
      <c r="R93" t="s">
        <v>465</v>
      </c>
      <c r="S93" t="s">
        <v>203</v>
      </c>
      <c r="T93" t="s">
        <v>193</v>
      </c>
      <c r="U93" t="s">
        <v>193</v>
      </c>
      <c r="V93">
        <v>202205</v>
      </c>
    </row>
    <row r="94" spans="1:22">
      <c r="A94">
        <v>0</v>
      </c>
      <c r="B94" t="s">
        <v>158</v>
      </c>
      <c r="C94" t="s">
        <v>530</v>
      </c>
      <c r="D94" t="s">
        <v>192</v>
      </c>
      <c r="E94" t="s">
        <v>193</v>
      </c>
      <c r="F94" t="s">
        <v>193</v>
      </c>
      <c r="G94" t="s">
        <v>249</v>
      </c>
      <c r="H94" t="s">
        <v>207</v>
      </c>
      <c r="I94" t="s">
        <v>158</v>
      </c>
      <c r="J94" t="s">
        <v>197</v>
      </c>
      <c r="K94">
        <v>39800</v>
      </c>
      <c r="L94" t="s">
        <v>277</v>
      </c>
      <c r="M94" t="s">
        <v>199</v>
      </c>
      <c r="N94" t="s">
        <v>533</v>
      </c>
      <c r="O94" t="s">
        <v>534</v>
      </c>
      <c r="P94">
        <v>9999</v>
      </c>
      <c r="R94" t="s">
        <v>465</v>
      </c>
      <c r="S94" t="s">
        <v>203</v>
      </c>
      <c r="T94" t="s">
        <v>193</v>
      </c>
      <c r="U94" t="s">
        <v>193</v>
      </c>
      <c r="V94">
        <v>202211</v>
      </c>
    </row>
    <row r="95" spans="1:22">
      <c r="A95">
        <v>0</v>
      </c>
      <c r="B95" t="s">
        <v>159</v>
      </c>
      <c r="C95" t="s">
        <v>530</v>
      </c>
      <c r="D95" t="s">
        <v>192</v>
      </c>
      <c r="E95" t="s">
        <v>193</v>
      </c>
      <c r="F95" t="s">
        <v>193</v>
      </c>
      <c r="G95" t="s">
        <v>276</v>
      </c>
      <c r="H95" t="s">
        <v>207</v>
      </c>
      <c r="I95" t="s">
        <v>159</v>
      </c>
      <c r="J95" t="s">
        <v>197</v>
      </c>
      <c r="K95">
        <v>22000</v>
      </c>
      <c r="L95" t="s">
        <v>277</v>
      </c>
      <c r="M95" t="s">
        <v>199</v>
      </c>
      <c r="N95" t="s">
        <v>535</v>
      </c>
      <c r="O95" t="s">
        <v>536</v>
      </c>
      <c r="P95">
        <v>9999</v>
      </c>
      <c r="R95" t="s">
        <v>465</v>
      </c>
      <c r="S95" t="s">
        <v>203</v>
      </c>
      <c r="T95" t="s">
        <v>193</v>
      </c>
      <c r="U95" t="s">
        <v>193</v>
      </c>
      <c r="V95">
        <v>202407</v>
      </c>
    </row>
    <row r="96" spans="1:22">
      <c r="A96">
        <v>0</v>
      </c>
      <c r="B96" t="s">
        <v>160</v>
      </c>
      <c r="C96" t="s">
        <v>530</v>
      </c>
      <c r="D96" t="s">
        <v>192</v>
      </c>
      <c r="E96" t="s">
        <v>193</v>
      </c>
      <c r="F96" t="s">
        <v>193</v>
      </c>
      <c r="G96" t="s">
        <v>276</v>
      </c>
      <c r="H96" t="s">
        <v>207</v>
      </c>
      <c r="I96" t="s">
        <v>160</v>
      </c>
      <c r="J96" t="s">
        <v>197</v>
      </c>
      <c r="K96">
        <v>15300</v>
      </c>
      <c r="L96" t="s">
        <v>277</v>
      </c>
      <c r="M96" t="s">
        <v>199</v>
      </c>
      <c r="N96" t="s">
        <v>537</v>
      </c>
      <c r="O96" t="s">
        <v>538</v>
      </c>
      <c r="P96">
        <v>9999</v>
      </c>
      <c r="R96" t="s">
        <v>465</v>
      </c>
      <c r="S96" t="s">
        <v>203</v>
      </c>
      <c r="T96" t="s">
        <v>193</v>
      </c>
      <c r="U96" t="s">
        <v>193</v>
      </c>
      <c r="V96">
        <v>202407</v>
      </c>
    </row>
    <row r="97" spans="1:22">
      <c r="A97">
        <v>0</v>
      </c>
      <c r="B97" t="s">
        <v>161</v>
      </c>
      <c r="C97" t="s">
        <v>530</v>
      </c>
      <c r="D97" t="s">
        <v>192</v>
      </c>
      <c r="E97" t="s">
        <v>193</v>
      </c>
      <c r="F97" t="s">
        <v>193</v>
      </c>
      <c r="G97" t="s">
        <v>276</v>
      </c>
      <c r="H97" t="s">
        <v>207</v>
      </c>
      <c r="I97" t="s">
        <v>161</v>
      </c>
      <c r="J97" t="s">
        <v>197</v>
      </c>
      <c r="K97">
        <v>22900</v>
      </c>
      <c r="L97" t="s">
        <v>277</v>
      </c>
      <c r="M97" t="s">
        <v>199</v>
      </c>
      <c r="N97" t="s">
        <v>539</v>
      </c>
      <c r="O97" t="s">
        <v>540</v>
      </c>
      <c r="P97">
        <v>9999</v>
      </c>
      <c r="R97" t="s">
        <v>465</v>
      </c>
      <c r="S97" t="s">
        <v>203</v>
      </c>
      <c r="T97" t="s">
        <v>193</v>
      </c>
      <c r="U97" t="s">
        <v>193</v>
      </c>
      <c r="V97">
        <v>202407</v>
      </c>
    </row>
    <row r="98" spans="1:22">
      <c r="A98">
        <v>0</v>
      </c>
      <c r="B98" t="s">
        <v>162</v>
      </c>
      <c r="C98" t="s">
        <v>290</v>
      </c>
      <c r="D98" t="s">
        <v>192</v>
      </c>
      <c r="E98" t="s">
        <v>193</v>
      </c>
      <c r="F98" t="s">
        <v>541</v>
      </c>
      <c r="G98" t="s">
        <v>249</v>
      </c>
      <c r="H98" t="s">
        <v>196</v>
      </c>
      <c r="I98" t="s">
        <v>162</v>
      </c>
      <c r="J98" t="s">
        <v>197</v>
      </c>
      <c r="K98">
        <v>33951</v>
      </c>
      <c r="L98" t="s">
        <v>291</v>
      </c>
      <c r="M98" t="s">
        <v>503</v>
      </c>
      <c r="N98" t="s">
        <v>542</v>
      </c>
      <c r="O98" t="s">
        <v>543</v>
      </c>
      <c r="P98">
        <v>2500</v>
      </c>
      <c r="R98" t="s">
        <v>202</v>
      </c>
      <c r="S98" t="s">
        <v>203</v>
      </c>
      <c r="T98" t="s">
        <v>295</v>
      </c>
      <c r="U98" t="s">
        <v>244</v>
      </c>
      <c r="V98">
        <v>202308</v>
      </c>
    </row>
    <row r="99" spans="1:22">
      <c r="A99">
        <v>0</v>
      </c>
      <c r="B99" t="s">
        <v>164</v>
      </c>
      <c r="C99" t="s">
        <v>544</v>
      </c>
      <c r="D99" t="s">
        <v>301</v>
      </c>
      <c r="E99" t="s">
        <v>193</v>
      </c>
      <c r="F99" t="s">
        <v>238</v>
      </c>
      <c r="G99" t="s">
        <v>372</v>
      </c>
      <c r="H99" t="s">
        <v>336</v>
      </c>
      <c r="I99" t="s">
        <v>164</v>
      </c>
      <c r="J99" t="s">
        <v>197</v>
      </c>
      <c r="K99">
        <v>17157</v>
      </c>
      <c r="L99" t="s">
        <v>373</v>
      </c>
      <c r="M99" t="s">
        <v>199</v>
      </c>
      <c r="N99" t="s">
        <v>545</v>
      </c>
      <c r="O99" t="s">
        <v>546</v>
      </c>
      <c r="P99">
        <v>4390</v>
      </c>
      <c r="R99" t="s">
        <v>202</v>
      </c>
      <c r="S99" t="s">
        <v>203</v>
      </c>
      <c r="T99" t="s">
        <v>243</v>
      </c>
      <c r="U99" t="s">
        <v>244</v>
      </c>
      <c r="V99">
        <v>202408</v>
      </c>
    </row>
    <row r="100" spans="1:22">
      <c r="A100">
        <v>0</v>
      </c>
      <c r="B100" t="s">
        <v>166</v>
      </c>
      <c r="C100" t="s">
        <v>280</v>
      </c>
      <c r="D100" t="s">
        <v>281</v>
      </c>
      <c r="E100" t="s">
        <v>193</v>
      </c>
      <c r="F100" t="s">
        <v>238</v>
      </c>
      <c r="G100" t="s">
        <v>195</v>
      </c>
      <c r="H100" t="s">
        <v>207</v>
      </c>
      <c r="I100" t="s">
        <v>166</v>
      </c>
      <c r="J100" t="s">
        <v>197</v>
      </c>
      <c r="K100">
        <v>76633</v>
      </c>
      <c r="L100" t="s">
        <v>239</v>
      </c>
      <c r="M100" t="s">
        <v>199</v>
      </c>
      <c r="N100" t="s">
        <v>547</v>
      </c>
      <c r="O100" t="s">
        <v>548</v>
      </c>
      <c r="P100">
        <v>3240</v>
      </c>
      <c r="R100" t="s">
        <v>202</v>
      </c>
      <c r="S100" t="s">
        <v>203</v>
      </c>
      <c r="T100" t="s">
        <v>243</v>
      </c>
      <c r="U100" t="s">
        <v>244</v>
      </c>
      <c r="V100">
        <v>202112</v>
      </c>
    </row>
    <row r="101" spans="1:22">
      <c r="A101">
        <v>3</v>
      </c>
      <c r="B101" t="s">
        <v>168</v>
      </c>
      <c r="C101" t="s">
        <v>549</v>
      </c>
      <c r="D101" t="s">
        <v>411</v>
      </c>
      <c r="E101" t="s">
        <v>193</v>
      </c>
      <c r="F101" t="s">
        <v>238</v>
      </c>
      <c r="G101" t="s">
        <v>206</v>
      </c>
      <c r="H101" t="s">
        <v>207</v>
      </c>
      <c r="I101" t="s">
        <v>168</v>
      </c>
      <c r="J101" t="s">
        <v>197</v>
      </c>
      <c r="K101">
        <v>145669</v>
      </c>
      <c r="L101" t="s">
        <v>268</v>
      </c>
      <c r="M101" t="s">
        <v>333</v>
      </c>
      <c r="N101" t="s">
        <v>550</v>
      </c>
      <c r="O101" t="s">
        <v>551</v>
      </c>
      <c r="P101">
        <v>620</v>
      </c>
      <c r="R101" t="s">
        <v>202</v>
      </c>
      <c r="S101" t="s">
        <v>203</v>
      </c>
      <c r="T101" t="s">
        <v>193</v>
      </c>
      <c r="U101" t="s">
        <v>193</v>
      </c>
      <c r="V101">
        <v>201608</v>
      </c>
    </row>
  </sheetData>
  <phoneticPr fontId="3"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K101"/>
  <sheetViews>
    <sheetView topLeftCell="CU1" workbookViewId="0">
      <pane ySplit="1" topLeftCell="A42" activePane="bottomLeft" state="frozen"/>
      <selection pane="bottomLeft" activeCell="A53" sqref="A53:CV53"/>
    </sheetView>
  </sheetViews>
  <sheetFormatPr baseColWidth="10" defaultColWidth="8.83203125" defaultRowHeight="17"/>
  <cols>
    <col min="1" max="1" width="12" customWidth="1"/>
    <col min="2" max="2" width="41" customWidth="1"/>
    <col min="3" max="3" width="44" customWidth="1"/>
    <col min="4" max="4" width="36" customWidth="1"/>
    <col min="5" max="5" width="39" customWidth="1"/>
    <col min="6" max="6" width="45" customWidth="1"/>
    <col min="7" max="7" width="37" customWidth="1"/>
    <col min="8" max="8" width="38" customWidth="1"/>
    <col min="9" max="9" width="41" customWidth="1"/>
    <col min="10" max="10" width="35" customWidth="1"/>
    <col min="11" max="11" width="31" customWidth="1"/>
    <col min="12" max="12" width="37" customWidth="1"/>
    <col min="13" max="14" width="50" customWidth="1"/>
    <col min="15" max="15" width="48" customWidth="1"/>
    <col min="16" max="16" width="51" customWidth="1"/>
    <col min="17" max="17" width="30" customWidth="1"/>
    <col min="18" max="18" width="40" customWidth="1"/>
    <col min="19" max="20" width="35" customWidth="1"/>
    <col min="21" max="21" width="29" customWidth="1"/>
    <col min="22" max="22" width="35" customWidth="1"/>
    <col min="23" max="23" width="30" customWidth="1"/>
    <col min="24" max="24" width="47" customWidth="1"/>
    <col min="25" max="25" width="28" customWidth="1"/>
    <col min="26" max="26" width="39" customWidth="1"/>
    <col min="27" max="27" width="42" customWidth="1"/>
    <col min="28" max="29" width="27" customWidth="1"/>
    <col min="30" max="30" width="26" customWidth="1"/>
    <col min="31" max="31" width="32" customWidth="1"/>
    <col min="32" max="32" width="41" customWidth="1"/>
    <col min="33" max="33" width="34" customWidth="1"/>
    <col min="34" max="34" width="35" customWidth="1"/>
    <col min="35" max="35" width="28" customWidth="1"/>
    <col min="36" max="36" width="29" customWidth="1"/>
    <col min="37" max="37" width="29.33203125" bestFit="1" customWidth="1"/>
    <col min="38" max="38" width="33" customWidth="1"/>
    <col min="39" max="39" width="42" customWidth="1"/>
    <col min="40" max="40" width="35" customWidth="1"/>
    <col min="41" max="41" width="26" customWidth="1"/>
    <col min="42" max="42" width="31" customWidth="1"/>
    <col min="43" max="43" width="40" customWidth="1"/>
    <col min="44" max="44" width="33" customWidth="1"/>
    <col min="45" max="45" width="28" customWidth="1"/>
    <col min="46" max="46" width="30" customWidth="1"/>
    <col min="47" max="47" width="23" customWidth="1"/>
    <col min="48" max="48" width="39" customWidth="1"/>
    <col min="49" max="49" width="37" customWidth="1"/>
    <col min="50" max="50" width="39" customWidth="1"/>
    <col min="51" max="51" width="47" customWidth="1"/>
    <col min="52" max="52" width="45" customWidth="1"/>
    <col min="53" max="53" width="39" customWidth="1"/>
    <col min="54" max="54" width="28" customWidth="1"/>
    <col min="55" max="56" width="39" customWidth="1"/>
    <col min="57" max="57" width="38" customWidth="1"/>
    <col min="58" max="58" width="39" customWidth="1"/>
    <col min="59" max="59" width="40" customWidth="1"/>
    <col min="60" max="60" width="26" customWidth="1"/>
    <col min="61" max="61" width="29" customWidth="1"/>
    <col min="62" max="62" width="32" customWidth="1"/>
    <col min="63" max="63" width="31" customWidth="1"/>
    <col min="64" max="64" width="20" customWidth="1"/>
    <col min="65" max="65" width="24" customWidth="1"/>
    <col min="66" max="66" width="26" customWidth="1"/>
    <col min="67" max="67" width="29" customWidth="1"/>
    <col min="68" max="68" width="70" customWidth="1"/>
    <col min="69" max="69" width="22" customWidth="1"/>
    <col min="70" max="70" width="31" customWidth="1"/>
    <col min="71" max="71" width="40" customWidth="1"/>
    <col min="72" max="72" width="31" customWidth="1"/>
    <col min="73" max="73" width="29" customWidth="1"/>
    <col min="74" max="75" width="31" customWidth="1"/>
    <col min="76" max="76" width="26" customWidth="1"/>
    <col min="77" max="77" width="28" customWidth="1"/>
    <col min="78" max="78" width="70" customWidth="1"/>
    <col min="79" max="79" width="61" customWidth="1"/>
    <col min="80" max="80" width="70" customWidth="1"/>
    <col min="81" max="81" width="24" customWidth="1"/>
    <col min="82" max="82" width="22" customWidth="1"/>
    <col min="83" max="83" width="27" customWidth="1"/>
    <col min="84" max="84" width="36" customWidth="1"/>
    <col min="85" max="85" width="28" customWidth="1"/>
    <col min="86" max="86" width="38" customWidth="1"/>
    <col min="87" max="87" width="48" customWidth="1"/>
    <col min="88" max="88" width="70" customWidth="1"/>
    <col min="89" max="89" width="47" customWidth="1"/>
    <col min="90" max="90" width="38" customWidth="1"/>
    <col min="91" max="91" width="33" customWidth="1"/>
    <col min="92" max="92" width="35" customWidth="1"/>
    <col min="93" max="93" width="40" customWidth="1"/>
    <col min="94" max="94" width="27" customWidth="1"/>
    <col min="95" max="95" width="26" customWidth="1"/>
    <col min="96" max="96" width="36" customWidth="1"/>
    <col min="97" max="97" width="42" customWidth="1"/>
    <col min="98" max="98" width="38" customWidth="1"/>
    <col min="99" max="99" width="70" customWidth="1"/>
    <col min="100" max="100" width="23" customWidth="1"/>
    <col min="101" max="101" width="24" customWidth="1"/>
    <col min="102" max="102" width="26" customWidth="1"/>
    <col min="103" max="103" width="27" customWidth="1"/>
    <col min="104" max="104" width="21" customWidth="1"/>
    <col min="105" max="105" width="23" customWidth="1"/>
    <col min="106" max="106" width="22" customWidth="1"/>
    <col min="107" max="107" width="24" customWidth="1"/>
    <col min="108" max="108" width="31" customWidth="1"/>
    <col min="109" max="111" width="19" customWidth="1"/>
    <col min="112" max="112" width="21" customWidth="1"/>
    <col min="113" max="113" width="29" customWidth="1"/>
    <col min="114" max="114" width="26" customWidth="1"/>
    <col min="115" max="115" width="19" customWidth="1"/>
  </cols>
  <sheetData>
    <row r="1" spans="1:115" ht="18">
      <c r="A1" s="1" t="s">
        <v>552</v>
      </c>
      <c r="B1" s="1" t="s">
        <v>553</v>
      </c>
      <c r="C1" s="1" t="s">
        <v>554</v>
      </c>
      <c r="D1" s="1" t="s">
        <v>555</v>
      </c>
      <c r="E1" s="1" t="s">
        <v>556</v>
      </c>
      <c r="F1" s="1" t="s">
        <v>557</v>
      </c>
      <c r="G1" s="1" t="s">
        <v>558</v>
      </c>
      <c r="H1" s="1" t="s">
        <v>559</v>
      </c>
      <c r="I1" s="1" t="s">
        <v>560</v>
      </c>
      <c r="J1" s="1" t="s">
        <v>561</v>
      </c>
      <c r="K1" s="1" t="s">
        <v>562</v>
      </c>
      <c r="L1" s="1" t="s">
        <v>563</v>
      </c>
      <c r="M1" s="1" t="s">
        <v>564</v>
      </c>
      <c r="N1" s="1" t="s">
        <v>565</v>
      </c>
      <c r="O1" s="1" t="s">
        <v>566</v>
      </c>
      <c r="P1" s="1" t="s">
        <v>567</v>
      </c>
      <c r="Q1" s="1" t="s">
        <v>568</v>
      </c>
      <c r="R1" s="1" t="s">
        <v>569</v>
      </c>
      <c r="S1" s="1" t="s">
        <v>570</v>
      </c>
      <c r="T1" s="1" t="s">
        <v>571</v>
      </c>
      <c r="U1" s="1" t="s">
        <v>572</v>
      </c>
      <c r="V1" s="1" t="s">
        <v>573</v>
      </c>
      <c r="W1" s="1" t="s">
        <v>574</v>
      </c>
      <c r="X1" s="1" t="s">
        <v>575</v>
      </c>
      <c r="Y1" s="1" t="s">
        <v>576</v>
      </c>
      <c r="Z1" s="1" t="s">
        <v>577</v>
      </c>
      <c r="AA1" s="1" t="s">
        <v>578</v>
      </c>
      <c r="AB1" s="1" t="s">
        <v>579</v>
      </c>
      <c r="AC1" s="1" t="s">
        <v>580</v>
      </c>
      <c r="AD1" s="1" t="s">
        <v>581</v>
      </c>
      <c r="AE1" s="1" t="s">
        <v>582</v>
      </c>
      <c r="AF1" s="1" t="s">
        <v>583</v>
      </c>
      <c r="AG1" s="1" t="s">
        <v>584</v>
      </c>
      <c r="AH1" s="1" t="s">
        <v>585</v>
      </c>
      <c r="AI1" s="1" t="s">
        <v>586</v>
      </c>
      <c r="AJ1" s="1" t="s">
        <v>587</v>
      </c>
      <c r="AK1" s="1" t="s">
        <v>588</v>
      </c>
      <c r="AL1" s="1" t="s">
        <v>589</v>
      </c>
      <c r="AM1" s="1" t="s">
        <v>590</v>
      </c>
      <c r="AN1" s="1" t="s">
        <v>591</v>
      </c>
      <c r="AO1" s="1" t="s">
        <v>592</v>
      </c>
      <c r="AP1" s="1" t="s">
        <v>593</v>
      </c>
      <c r="AQ1" s="1" t="s">
        <v>594</v>
      </c>
      <c r="AR1" s="1" t="s">
        <v>595</v>
      </c>
      <c r="AS1" s="1" t="s">
        <v>596</v>
      </c>
      <c r="AT1" s="1" t="s">
        <v>597</v>
      </c>
      <c r="AU1" s="1" t="s">
        <v>598</v>
      </c>
      <c r="AV1" s="1" t="s">
        <v>599</v>
      </c>
      <c r="AW1" s="1" t="s">
        <v>600</v>
      </c>
      <c r="AX1" s="1" t="s">
        <v>601</v>
      </c>
      <c r="AY1" s="1" t="s">
        <v>602</v>
      </c>
      <c r="AZ1" s="1" t="s">
        <v>603</v>
      </c>
      <c r="BA1" s="1" t="s">
        <v>604</v>
      </c>
      <c r="BB1" s="1" t="s">
        <v>605</v>
      </c>
      <c r="BC1" s="1" t="s">
        <v>606</v>
      </c>
      <c r="BD1" s="1" t="s">
        <v>607</v>
      </c>
      <c r="BE1" s="1" t="s">
        <v>608</v>
      </c>
      <c r="BF1" s="1" t="s">
        <v>609</v>
      </c>
      <c r="BG1" s="1" t="s">
        <v>610</v>
      </c>
      <c r="BH1" s="1" t="s">
        <v>611</v>
      </c>
      <c r="BI1" s="1" t="s">
        <v>612</v>
      </c>
      <c r="BJ1" s="1" t="s">
        <v>613</v>
      </c>
      <c r="BK1" s="1" t="s">
        <v>614</v>
      </c>
      <c r="BL1" s="1" t="s">
        <v>615</v>
      </c>
      <c r="BM1" s="1" t="s">
        <v>616</v>
      </c>
      <c r="BN1" s="1" t="s">
        <v>617</v>
      </c>
      <c r="BO1" s="1" t="s">
        <v>618</v>
      </c>
      <c r="BP1" s="1" t="s">
        <v>619</v>
      </c>
      <c r="BQ1" s="1" t="s">
        <v>620</v>
      </c>
      <c r="BR1" s="1" t="s">
        <v>621</v>
      </c>
      <c r="BS1" s="1" t="s">
        <v>622</v>
      </c>
      <c r="BT1" s="1" t="s">
        <v>623</v>
      </c>
      <c r="BU1" s="1" t="s">
        <v>624</v>
      </c>
      <c r="BV1" s="1" t="s">
        <v>625</v>
      </c>
      <c r="BW1" s="1" t="s">
        <v>626</v>
      </c>
      <c r="BX1" s="1" t="s">
        <v>627</v>
      </c>
      <c r="BY1" s="1" t="s">
        <v>628</v>
      </c>
      <c r="BZ1" s="1" t="s">
        <v>629</v>
      </c>
      <c r="CA1" s="1" t="s">
        <v>630</v>
      </c>
      <c r="CB1" s="1" t="s">
        <v>631</v>
      </c>
      <c r="CC1" s="1" t="s">
        <v>632</v>
      </c>
      <c r="CD1" s="1" t="s">
        <v>633</v>
      </c>
      <c r="CE1" s="1" t="s">
        <v>634</v>
      </c>
      <c r="CF1" s="1" t="s">
        <v>635</v>
      </c>
      <c r="CG1" s="1" t="s">
        <v>636</v>
      </c>
      <c r="CH1" s="1" t="s">
        <v>637</v>
      </c>
      <c r="CI1" s="1" t="s">
        <v>638</v>
      </c>
      <c r="CJ1" s="1" t="s">
        <v>639</v>
      </c>
      <c r="CK1" s="1" t="s">
        <v>640</v>
      </c>
      <c r="CL1" s="1" t="s">
        <v>641</v>
      </c>
      <c r="CM1" s="1" t="s">
        <v>642</v>
      </c>
      <c r="CN1" s="1" t="s">
        <v>643</v>
      </c>
      <c r="CO1" s="1" t="s">
        <v>644</v>
      </c>
      <c r="CP1" s="1" t="s">
        <v>645</v>
      </c>
      <c r="CQ1" s="1" t="s">
        <v>646</v>
      </c>
      <c r="CR1" s="1" t="s">
        <v>647</v>
      </c>
      <c r="CS1" s="1" t="s">
        <v>648</v>
      </c>
      <c r="CT1" s="1" t="s">
        <v>649</v>
      </c>
      <c r="CU1" s="1" t="s">
        <v>650</v>
      </c>
      <c r="CV1" s="1" t="s">
        <v>651</v>
      </c>
      <c r="CW1" s="1" t="s">
        <v>652</v>
      </c>
      <c r="CX1" s="1" t="s">
        <v>653</v>
      </c>
      <c r="CY1" s="1" t="s">
        <v>654</v>
      </c>
      <c r="CZ1" s="1" t="s">
        <v>655</v>
      </c>
      <c r="DA1" s="1" t="s">
        <v>656</v>
      </c>
      <c r="DB1" s="1" t="s">
        <v>657</v>
      </c>
      <c r="DC1" s="1" t="s">
        <v>658</v>
      </c>
      <c r="DD1" s="1" t="s">
        <v>659</v>
      </c>
      <c r="DE1" s="1" t="s">
        <v>660</v>
      </c>
      <c r="DF1" s="1" t="s">
        <v>661</v>
      </c>
      <c r="DG1" s="1" t="s">
        <v>662</v>
      </c>
      <c r="DH1" s="1" t="s">
        <v>663</v>
      </c>
      <c r="DI1" s="1" t="s">
        <v>664</v>
      </c>
      <c r="DJ1" s="1" t="s">
        <v>665</v>
      </c>
      <c r="DK1" s="1" t="s">
        <v>666</v>
      </c>
    </row>
    <row r="2" spans="1:115">
      <c r="A2" t="s">
        <v>1</v>
      </c>
      <c r="B2" t="s">
        <v>667</v>
      </c>
      <c r="C2" t="b">
        <v>0</v>
      </c>
      <c r="D2" t="b">
        <v>0</v>
      </c>
      <c r="E2" t="b">
        <v>0</v>
      </c>
      <c r="H2" t="b">
        <v>0</v>
      </c>
      <c r="I2" t="b">
        <v>0</v>
      </c>
      <c r="J2" t="b">
        <v>0</v>
      </c>
      <c r="K2" t="s">
        <v>193</v>
      </c>
      <c r="Q2" t="b">
        <v>0</v>
      </c>
      <c r="S2" t="b">
        <v>0</v>
      </c>
      <c r="T2" t="b">
        <v>0</v>
      </c>
      <c r="U2">
        <v>1219</v>
      </c>
      <c r="W2" t="s">
        <v>668</v>
      </c>
      <c r="X2" t="s">
        <v>193</v>
      </c>
      <c r="Y2" t="s">
        <v>669</v>
      </c>
      <c r="Z2" t="s">
        <v>193</v>
      </c>
      <c r="AB2" t="b">
        <v>1</v>
      </c>
      <c r="AC2" t="s">
        <v>195</v>
      </c>
      <c r="AD2" t="s">
        <v>670</v>
      </c>
      <c r="AE2" t="s">
        <v>671</v>
      </c>
      <c r="AF2" t="s">
        <v>672</v>
      </c>
      <c r="AG2" t="s">
        <v>192</v>
      </c>
      <c r="AH2" t="s">
        <v>191</v>
      </c>
      <c r="AI2" t="s">
        <v>191</v>
      </c>
      <c r="AJ2" t="s">
        <v>673</v>
      </c>
      <c r="AK2">
        <v>65544620200701</v>
      </c>
      <c r="AL2" t="s">
        <v>670</v>
      </c>
      <c r="AM2" t="s">
        <v>674</v>
      </c>
      <c r="AN2" t="s">
        <v>197</v>
      </c>
      <c r="AO2" t="s">
        <v>675</v>
      </c>
      <c r="AP2" t="s">
        <v>676</v>
      </c>
      <c r="AQ2" t="s">
        <v>677</v>
      </c>
      <c r="AR2" t="s">
        <v>678</v>
      </c>
      <c r="AS2" t="s">
        <v>198</v>
      </c>
      <c r="AT2">
        <v>1948</v>
      </c>
      <c r="AU2" t="s">
        <v>669</v>
      </c>
      <c r="AV2">
        <v>60000</v>
      </c>
      <c r="AW2">
        <v>36</v>
      </c>
      <c r="AY2">
        <v>100000</v>
      </c>
      <c r="AZ2">
        <v>60</v>
      </c>
      <c r="BA2" t="b">
        <v>0</v>
      </c>
      <c r="BB2" t="s">
        <v>679</v>
      </c>
      <c r="BC2" t="b">
        <v>1</v>
      </c>
      <c r="BD2" t="b">
        <v>1</v>
      </c>
      <c r="BE2" t="s">
        <v>680</v>
      </c>
      <c r="BF2">
        <v>0</v>
      </c>
      <c r="BG2">
        <v>0</v>
      </c>
      <c r="BH2" t="s">
        <v>681</v>
      </c>
      <c r="BI2" t="s">
        <v>682</v>
      </c>
      <c r="BJ2" t="b">
        <v>1</v>
      </c>
      <c r="BK2" t="b">
        <v>0</v>
      </c>
      <c r="BL2" t="s">
        <v>683</v>
      </c>
      <c r="BM2" t="s">
        <v>2</v>
      </c>
      <c r="BN2" t="s">
        <v>684</v>
      </c>
      <c r="BP2" t="s">
        <v>685</v>
      </c>
      <c r="BQ2" t="b">
        <v>0</v>
      </c>
      <c r="BS2" t="s">
        <v>686</v>
      </c>
      <c r="BT2" t="s">
        <v>687</v>
      </c>
      <c r="BU2" t="b">
        <v>0</v>
      </c>
      <c r="BV2" t="s">
        <v>688</v>
      </c>
      <c r="BW2">
        <v>0</v>
      </c>
      <c r="BX2">
        <v>53</v>
      </c>
      <c r="BY2" t="b">
        <v>0</v>
      </c>
      <c r="BZ2" t="s">
        <v>689</v>
      </c>
      <c r="CA2" t="s">
        <v>193</v>
      </c>
      <c r="CB2" t="s">
        <v>690</v>
      </c>
      <c r="CC2" t="s">
        <v>691</v>
      </c>
      <c r="CD2" t="s">
        <v>669</v>
      </c>
      <c r="CH2" t="s">
        <v>692</v>
      </c>
      <c r="CI2" t="b">
        <v>0</v>
      </c>
      <c r="CJ2" t="s">
        <v>693</v>
      </c>
      <c r="CK2" t="s">
        <v>193</v>
      </c>
      <c r="CL2" t="s">
        <v>694</v>
      </c>
      <c r="CM2" t="s">
        <v>695</v>
      </c>
      <c r="CN2" t="s">
        <v>2</v>
      </c>
      <c r="CO2" t="b">
        <v>0</v>
      </c>
      <c r="CT2" t="b">
        <v>0</v>
      </c>
      <c r="CU2" t="s">
        <v>696</v>
      </c>
      <c r="CV2" t="s">
        <v>697</v>
      </c>
      <c r="CW2" t="s">
        <v>698</v>
      </c>
      <c r="CY2">
        <v>1598</v>
      </c>
      <c r="CZ2" t="s">
        <v>670</v>
      </c>
      <c r="DA2" t="s">
        <v>196</v>
      </c>
      <c r="DB2">
        <v>154242</v>
      </c>
      <c r="DC2">
        <v>5</v>
      </c>
      <c r="DD2" t="s">
        <v>699</v>
      </c>
      <c r="DE2" t="s">
        <v>669</v>
      </c>
      <c r="DF2">
        <v>41356587</v>
      </c>
      <c r="DG2" t="s">
        <v>700</v>
      </c>
      <c r="DH2" t="s">
        <v>669</v>
      </c>
      <c r="DI2">
        <v>-1</v>
      </c>
      <c r="DJ2">
        <v>-1</v>
      </c>
    </row>
    <row r="3" spans="1:115">
      <c r="A3" t="s">
        <v>3</v>
      </c>
      <c r="B3" t="s">
        <v>667</v>
      </c>
      <c r="C3" t="b">
        <v>0</v>
      </c>
      <c r="D3" t="b">
        <v>0</v>
      </c>
      <c r="E3" t="b">
        <v>0</v>
      </c>
      <c r="H3" t="b">
        <v>0</v>
      </c>
      <c r="I3" t="b">
        <v>0</v>
      </c>
      <c r="J3" t="b">
        <v>0</v>
      </c>
      <c r="K3" t="s">
        <v>193</v>
      </c>
      <c r="Q3" t="b">
        <v>0</v>
      </c>
      <c r="S3" t="b">
        <v>0</v>
      </c>
      <c r="T3" t="b">
        <v>0</v>
      </c>
      <c r="U3">
        <v>1039</v>
      </c>
      <c r="W3" t="s">
        <v>668</v>
      </c>
      <c r="X3" t="s">
        <v>193</v>
      </c>
      <c r="Y3" t="s">
        <v>669</v>
      </c>
      <c r="Z3" t="s">
        <v>193</v>
      </c>
      <c r="AB3" t="b">
        <v>1</v>
      </c>
      <c r="AC3" t="s">
        <v>206</v>
      </c>
      <c r="AD3" t="s">
        <v>670</v>
      </c>
      <c r="AE3" t="s">
        <v>701</v>
      </c>
      <c r="AF3" t="s">
        <v>702</v>
      </c>
      <c r="AG3" t="s">
        <v>205</v>
      </c>
      <c r="AH3" t="s">
        <v>703</v>
      </c>
      <c r="AI3" t="s">
        <v>204</v>
      </c>
      <c r="AJ3" t="s">
        <v>673</v>
      </c>
      <c r="AK3">
        <v>750482220150604</v>
      </c>
      <c r="AL3" t="s">
        <v>670</v>
      </c>
      <c r="AM3" t="s">
        <v>674</v>
      </c>
      <c r="AN3" t="s">
        <v>197</v>
      </c>
      <c r="AO3" t="s">
        <v>704</v>
      </c>
      <c r="AP3" t="s">
        <v>705</v>
      </c>
      <c r="AQ3" t="s">
        <v>706</v>
      </c>
      <c r="AR3" t="s">
        <v>707</v>
      </c>
      <c r="AS3" t="s">
        <v>208</v>
      </c>
      <c r="AT3">
        <v>3198</v>
      </c>
      <c r="AU3" t="s">
        <v>669</v>
      </c>
      <c r="AV3">
        <v>60000</v>
      </c>
      <c r="AW3">
        <v>36</v>
      </c>
      <c r="AY3">
        <v>100000</v>
      </c>
      <c r="AZ3">
        <v>60</v>
      </c>
      <c r="BA3" t="b">
        <v>0</v>
      </c>
      <c r="BB3" t="s">
        <v>708</v>
      </c>
      <c r="BC3" t="b">
        <v>1</v>
      </c>
      <c r="BD3" t="b">
        <v>1</v>
      </c>
      <c r="BE3" t="s">
        <v>680</v>
      </c>
      <c r="BF3">
        <v>0</v>
      </c>
      <c r="BG3">
        <v>0</v>
      </c>
      <c r="BH3" t="s">
        <v>681</v>
      </c>
      <c r="BI3" t="s">
        <v>682</v>
      </c>
      <c r="BJ3" t="b">
        <v>1</v>
      </c>
      <c r="BK3" t="b">
        <v>0</v>
      </c>
      <c r="BL3" t="s">
        <v>709</v>
      </c>
      <c r="BM3" t="s">
        <v>2</v>
      </c>
      <c r="BN3" t="s">
        <v>684</v>
      </c>
      <c r="BP3" t="s">
        <v>685</v>
      </c>
      <c r="BQ3" t="b">
        <v>0</v>
      </c>
      <c r="BS3" t="s">
        <v>710</v>
      </c>
      <c r="BT3" t="s">
        <v>711</v>
      </c>
      <c r="BU3" t="b">
        <v>0</v>
      </c>
      <c r="BV3" t="s">
        <v>712</v>
      </c>
      <c r="BW3">
        <v>0</v>
      </c>
      <c r="BX3">
        <v>18</v>
      </c>
      <c r="BY3" t="b">
        <v>0</v>
      </c>
      <c r="BZ3" t="s">
        <v>713</v>
      </c>
      <c r="CA3" t="s">
        <v>193</v>
      </c>
      <c r="CB3" t="s">
        <v>714</v>
      </c>
      <c r="CC3" t="s">
        <v>691</v>
      </c>
      <c r="CD3" t="s">
        <v>669</v>
      </c>
      <c r="CH3" t="s">
        <v>692</v>
      </c>
      <c r="CI3" t="b">
        <v>0</v>
      </c>
      <c r="CJ3" t="s">
        <v>693</v>
      </c>
      <c r="CK3" t="s">
        <v>193</v>
      </c>
      <c r="CL3" t="s">
        <v>694</v>
      </c>
      <c r="CM3" t="s">
        <v>695</v>
      </c>
      <c r="CN3" t="s">
        <v>2</v>
      </c>
      <c r="CO3" t="b">
        <v>0</v>
      </c>
      <c r="CT3" t="b">
        <v>0</v>
      </c>
      <c r="CU3" t="s">
        <v>715</v>
      </c>
      <c r="CV3" t="s">
        <v>716</v>
      </c>
      <c r="CW3" t="s">
        <v>698</v>
      </c>
      <c r="CY3">
        <v>1995</v>
      </c>
      <c r="CZ3" t="s">
        <v>671</v>
      </c>
      <c r="DA3" t="s">
        <v>207</v>
      </c>
      <c r="DB3">
        <v>179987</v>
      </c>
      <c r="DC3">
        <v>5</v>
      </c>
      <c r="DD3" t="s">
        <v>699</v>
      </c>
      <c r="DE3" t="s">
        <v>669</v>
      </c>
      <c r="DF3">
        <v>41353573</v>
      </c>
      <c r="DG3" t="s">
        <v>717</v>
      </c>
      <c r="DH3" t="s">
        <v>669</v>
      </c>
      <c r="DI3">
        <v>-1</v>
      </c>
      <c r="DJ3">
        <v>-1</v>
      </c>
    </row>
    <row r="4" spans="1:115">
      <c r="A4" t="s">
        <v>4</v>
      </c>
      <c r="B4" t="s">
        <v>667</v>
      </c>
      <c r="C4" t="b">
        <v>0</v>
      </c>
      <c r="D4" t="b">
        <v>0</v>
      </c>
      <c r="E4" t="b">
        <v>0</v>
      </c>
      <c r="H4" t="b">
        <v>0</v>
      </c>
      <c r="I4" t="b">
        <v>0</v>
      </c>
      <c r="J4" t="b">
        <v>0</v>
      </c>
      <c r="K4" t="s">
        <v>193</v>
      </c>
      <c r="Q4" t="b">
        <v>0</v>
      </c>
      <c r="S4" t="b">
        <v>0</v>
      </c>
      <c r="T4" t="b">
        <v>0</v>
      </c>
      <c r="U4">
        <v>459</v>
      </c>
      <c r="W4" t="s">
        <v>668</v>
      </c>
      <c r="X4" t="s">
        <v>193</v>
      </c>
      <c r="Y4" t="s">
        <v>669</v>
      </c>
      <c r="Z4" t="s">
        <v>193</v>
      </c>
      <c r="AB4" t="b">
        <v>1</v>
      </c>
      <c r="AC4" t="s">
        <v>212</v>
      </c>
      <c r="AD4" t="s">
        <v>718</v>
      </c>
      <c r="AH4" t="s">
        <v>719</v>
      </c>
      <c r="AI4" t="s">
        <v>211</v>
      </c>
      <c r="AJ4" t="s">
        <v>673</v>
      </c>
      <c r="AK4">
        <v>742401220130101</v>
      </c>
      <c r="AL4" t="s">
        <v>670</v>
      </c>
      <c r="AM4" t="s">
        <v>674</v>
      </c>
      <c r="AN4" t="s">
        <v>197</v>
      </c>
      <c r="AO4" t="s">
        <v>720</v>
      </c>
      <c r="AP4" t="s">
        <v>701</v>
      </c>
      <c r="AQ4" t="s">
        <v>721</v>
      </c>
      <c r="AR4" t="s">
        <v>722</v>
      </c>
      <c r="AS4" t="s">
        <v>213</v>
      </c>
      <c r="AT4">
        <v>3012</v>
      </c>
      <c r="AU4" t="s">
        <v>669</v>
      </c>
      <c r="AV4">
        <v>60000</v>
      </c>
      <c r="AW4">
        <v>36</v>
      </c>
      <c r="AY4">
        <v>100000</v>
      </c>
      <c r="AZ4">
        <v>60</v>
      </c>
      <c r="BA4" t="b">
        <v>0</v>
      </c>
      <c r="BB4" t="s">
        <v>723</v>
      </c>
      <c r="BC4" t="b">
        <v>1</v>
      </c>
      <c r="BD4" t="b">
        <v>1</v>
      </c>
      <c r="BE4" t="s">
        <v>680</v>
      </c>
      <c r="BF4">
        <v>0</v>
      </c>
      <c r="BG4">
        <v>0</v>
      </c>
      <c r="BH4" t="s">
        <v>681</v>
      </c>
      <c r="BI4" t="s">
        <v>682</v>
      </c>
      <c r="BJ4" t="b">
        <v>1</v>
      </c>
      <c r="BK4" t="b">
        <v>0</v>
      </c>
      <c r="BL4" t="s">
        <v>724</v>
      </c>
      <c r="BM4" t="s">
        <v>2</v>
      </c>
      <c r="BN4" t="s">
        <v>684</v>
      </c>
      <c r="BP4" t="s">
        <v>685</v>
      </c>
      <c r="BQ4" t="b">
        <v>0</v>
      </c>
      <c r="BS4" t="s">
        <v>725</v>
      </c>
      <c r="BT4" t="s">
        <v>725</v>
      </c>
      <c r="BU4" t="b">
        <v>0</v>
      </c>
      <c r="BV4" t="s">
        <v>726</v>
      </c>
      <c r="BW4">
        <v>0</v>
      </c>
      <c r="BX4">
        <v>3</v>
      </c>
      <c r="BY4" t="b">
        <v>0</v>
      </c>
      <c r="BZ4" t="s">
        <v>727</v>
      </c>
      <c r="CA4" t="s">
        <v>193</v>
      </c>
      <c r="CB4" t="s">
        <v>728</v>
      </c>
      <c r="CC4" t="s">
        <v>193</v>
      </c>
      <c r="CD4" t="s">
        <v>669</v>
      </c>
      <c r="CH4" t="s">
        <v>692</v>
      </c>
      <c r="CI4" t="b">
        <v>0</v>
      </c>
      <c r="CJ4" t="s">
        <v>693</v>
      </c>
      <c r="CK4" t="s">
        <v>193</v>
      </c>
      <c r="CL4" t="s">
        <v>694</v>
      </c>
      <c r="CM4" t="s">
        <v>695</v>
      </c>
      <c r="CN4" t="s">
        <v>2</v>
      </c>
      <c r="CO4" t="b">
        <v>0</v>
      </c>
      <c r="CT4" t="b">
        <v>0</v>
      </c>
      <c r="CU4" t="s">
        <v>729</v>
      </c>
      <c r="CV4" t="s">
        <v>730</v>
      </c>
      <c r="CW4" t="s">
        <v>731</v>
      </c>
      <c r="CY4">
        <v>2359</v>
      </c>
      <c r="CZ4" t="s">
        <v>670</v>
      </c>
      <c r="DA4" t="s">
        <v>196</v>
      </c>
      <c r="DB4">
        <v>196565</v>
      </c>
      <c r="DC4">
        <v>5</v>
      </c>
      <c r="DD4" t="s">
        <v>699</v>
      </c>
      <c r="DE4" t="s">
        <v>669</v>
      </c>
      <c r="DF4">
        <v>41403456</v>
      </c>
      <c r="DG4" t="s">
        <v>732</v>
      </c>
      <c r="DH4" t="s">
        <v>669</v>
      </c>
      <c r="DI4">
        <v>-1</v>
      </c>
      <c r="DJ4">
        <v>-1</v>
      </c>
    </row>
    <row r="5" spans="1:115">
      <c r="A5" t="s">
        <v>5</v>
      </c>
      <c r="B5" t="s">
        <v>667</v>
      </c>
      <c r="C5" t="b">
        <v>0</v>
      </c>
      <c r="D5" t="b">
        <v>0</v>
      </c>
      <c r="E5" t="b">
        <v>0</v>
      </c>
      <c r="H5" t="b">
        <v>0</v>
      </c>
      <c r="I5" t="b">
        <v>0</v>
      </c>
      <c r="J5" t="b">
        <v>0</v>
      </c>
      <c r="K5" t="s">
        <v>193</v>
      </c>
      <c r="Q5" t="b">
        <v>0</v>
      </c>
      <c r="S5" t="b">
        <v>0</v>
      </c>
      <c r="T5" t="b">
        <v>0</v>
      </c>
      <c r="U5">
        <v>999</v>
      </c>
      <c r="W5" t="s">
        <v>668</v>
      </c>
      <c r="X5" t="s">
        <v>193</v>
      </c>
      <c r="Y5" t="s">
        <v>669</v>
      </c>
      <c r="Z5" t="s">
        <v>193</v>
      </c>
      <c r="AB5" t="b">
        <v>1</v>
      </c>
      <c r="AC5" t="s">
        <v>217</v>
      </c>
      <c r="AD5" t="s">
        <v>670</v>
      </c>
      <c r="AE5" t="s">
        <v>671</v>
      </c>
      <c r="AF5" t="s">
        <v>733</v>
      </c>
      <c r="AG5" t="s">
        <v>216</v>
      </c>
      <c r="AH5" t="s">
        <v>191</v>
      </c>
      <c r="AI5" t="s">
        <v>191</v>
      </c>
      <c r="AJ5" t="s">
        <v>673</v>
      </c>
      <c r="AK5">
        <v>65544620180906</v>
      </c>
      <c r="AL5" t="s">
        <v>670</v>
      </c>
      <c r="AM5" t="s">
        <v>674</v>
      </c>
      <c r="AN5" t="s">
        <v>197</v>
      </c>
      <c r="AO5" t="s">
        <v>734</v>
      </c>
      <c r="AP5" t="s">
        <v>676</v>
      </c>
      <c r="AQ5" t="s">
        <v>677</v>
      </c>
      <c r="AR5" t="s">
        <v>678</v>
      </c>
      <c r="AS5" t="s">
        <v>218</v>
      </c>
      <c r="AT5">
        <v>1796</v>
      </c>
      <c r="AU5" t="s">
        <v>669</v>
      </c>
      <c r="AV5">
        <v>60000</v>
      </c>
      <c r="AW5">
        <v>36</v>
      </c>
      <c r="AY5">
        <v>100000</v>
      </c>
      <c r="AZ5">
        <v>60</v>
      </c>
      <c r="BA5" t="b">
        <v>0</v>
      </c>
      <c r="BB5" t="s">
        <v>735</v>
      </c>
      <c r="BC5" t="b">
        <v>1</v>
      </c>
      <c r="BD5" t="b">
        <v>1</v>
      </c>
      <c r="BE5" t="s">
        <v>680</v>
      </c>
      <c r="BF5">
        <v>0</v>
      </c>
      <c r="BG5">
        <v>0</v>
      </c>
      <c r="BH5" t="s">
        <v>681</v>
      </c>
      <c r="BI5" t="s">
        <v>682</v>
      </c>
      <c r="BJ5" t="b">
        <v>1</v>
      </c>
      <c r="BK5" t="b">
        <v>0</v>
      </c>
      <c r="BL5" t="s">
        <v>736</v>
      </c>
      <c r="BM5" t="s">
        <v>2</v>
      </c>
      <c r="BN5" t="s">
        <v>684</v>
      </c>
      <c r="BP5" t="s">
        <v>685</v>
      </c>
      <c r="BQ5" t="b">
        <v>0</v>
      </c>
      <c r="BS5" t="s">
        <v>737</v>
      </c>
      <c r="BT5" t="s">
        <v>738</v>
      </c>
      <c r="BU5" t="b">
        <v>0</v>
      </c>
      <c r="BV5" t="s">
        <v>739</v>
      </c>
      <c r="BW5">
        <v>0</v>
      </c>
      <c r="BX5">
        <v>24</v>
      </c>
      <c r="BY5" t="b">
        <v>0</v>
      </c>
      <c r="BZ5" t="s">
        <v>740</v>
      </c>
      <c r="CA5" t="s">
        <v>193</v>
      </c>
      <c r="CB5" t="s">
        <v>741</v>
      </c>
      <c r="CC5" t="s">
        <v>691</v>
      </c>
      <c r="CD5" t="s">
        <v>669</v>
      </c>
      <c r="CH5" t="s">
        <v>692</v>
      </c>
      <c r="CI5" t="b">
        <v>0</v>
      </c>
      <c r="CJ5" t="s">
        <v>693</v>
      </c>
      <c r="CK5" t="s">
        <v>193</v>
      </c>
      <c r="CL5" t="s">
        <v>694</v>
      </c>
      <c r="CM5" t="s">
        <v>695</v>
      </c>
      <c r="CN5" t="s">
        <v>2</v>
      </c>
      <c r="CO5" t="b">
        <v>0</v>
      </c>
      <c r="CT5" t="b">
        <v>0</v>
      </c>
      <c r="CU5" t="s">
        <v>742</v>
      </c>
      <c r="CV5" t="s">
        <v>697</v>
      </c>
      <c r="CW5" t="s">
        <v>731</v>
      </c>
      <c r="CY5">
        <v>1598</v>
      </c>
      <c r="CZ5" t="s">
        <v>670</v>
      </c>
      <c r="DA5" t="s">
        <v>196</v>
      </c>
      <c r="DB5">
        <v>94655</v>
      </c>
      <c r="DC5">
        <v>5</v>
      </c>
      <c r="DD5" t="s">
        <v>699</v>
      </c>
      <c r="DE5" t="s">
        <v>669</v>
      </c>
      <c r="DF5">
        <v>41390361</v>
      </c>
      <c r="DG5" t="s">
        <v>743</v>
      </c>
      <c r="DH5" t="s">
        <v>669</v>
      </c>
      <c r="DI5">
        <v>-1</v>
      </c>
      <c r="DJ5">
        <v>-1</v>
      </c>
    </row>
    <row r="6" spans="1:115">
      <c r="A6" t="s">
        <v>6</v>
      </c>
      <c r="B6" t="s">
        <v>667</v>
      </c>
      <c r="C6" t="b">
        <v>0</v>
      </c>
      <c r="D6" t="b">
        <v>0</v>
      </c>
      <c r="E6" t="b">
        <v>0</v>
      </c>
      <c r="H6" t="b">
        <v>0</v>
      </c>
      <c r="I6" t="b">
        <v>0</v>
      </c>
      <c r="J6" t="b">
        <v>0</v>
      </c>
      <c r="K6" t="s">
        <v>193</v>
      </c>
      <c r="Q6" t="b">
        <v>0</v>
      </c>
      <c r="S6" t="b">
        <v>0</v>
      </c>
      <c r="T6" t="b">
        <v>0</v>
      </c>
      <c r="U6">
        <v>549</v>
      </c>
      <c r="W6" t="s">
        <v>668</v>
      </c>
      <c r="X6" t="s">
        <v>193</v>
      </c>
      <c r="Y6" t="s">
        <v>669</v>
      </c>
      <c r="Z6" t="s">
        <v>193</v>
      </c>
      <c r="AB6" t="b">
        <v>1</v>
      </c>
      <c r="AC6" t="s">
        <v>222</v>
      </c>
      <c r="AD6" t="s">
        <v>744</v>
      </c>
      <c r="AH6" t="s">
        <v>745</v>
      </c>
      <c r="AI6" t="s">
        <v>221</v>
      </c>
      <c r="AJ6" t="s">
        <v>673</v>
      </c>
      <c r="AK6">
        <v>705421020120913</v>
      </c>
      <c r="AL6" t="s">
        <v>670</v>
      </c>
      <c r="AM6" t="s">
        <v>674</v>
      </c>
      <c r="AN6" t="s">
        <v>197</v>
      </c>
      <c r="AO6" t="s">
        <v>746</v>
      </c>
      <c r="AP6" t="s">
        <v>670</v>
      </c>
      <c r="AQ6" t="s">
        <v>747</v>
      </c>
      <c r="AR6" t="s">
        <v>747</v>
      </c>
      <c r="AS6" t="s">
        <v>223</v>
      </c>
      <c r="AT6">
        <v>2165</v>
      </c>
      <c r="AU6" t="s">
        <v>669</v>
      </c>
      <c r="AV6">
        <v>60000</v>
      </c>
      <c r="AW6">
        <v>36</v>
      </c>
      <c r="AY6">
        <v>100000</v>
      </c>
      <c r="AZ6">
        <v>60</v>
      </c>
      <c r="BA6" t="b">
        <v>0</v>
      </c>
      <c r="BB6" t="s">
        <v>748</v>
      </c>
      <c r="BC6" t="b">
        <v>1</v>
      </c>
      <c r="BD6" t="b">
        <v>1</v>
      </c>
      <c r="BE6" t="s">
        <v>680</v>
      </c>
      <c r="BF6">
        <v>0</v>
      </c>
      <c r="BG6">
        <v>0</v>
      </c>
      <c r="BH6" t="s">
        <v>681</v>
      </c>
      <c r="BI6" t="s">
        <v>682</v>
      </c>
      <c r="BJ6" t="b">
        <v>1</v>
      </c>
      <c r="BK6" t="b">
        <v>0</v>
      </c>
      <c r="BL6" t="s">
        <v>749</v>
      </c>
      <c r="BM6" t="s">
        <v>2</v>
      </c>
      <c r="BN6" t="s">
        <v>684</v>
      </c>
      <c r="BP6" t="s">
        <v>685</v>
      </c>
      <c r="BQ6" t="b">
        <v>0</v>
      </c>
      <c r="BS6" t="s">
        <v>750</v>
      </c>
      <c r="BT6" t="s">
        <v>738</v>
      </c>
      <c r="BU6" t="b">
        <v>0</v>
      </c>
      <c r="BV6" t="s">
        <v>751</v>
      </c>
      <c r="BW6">
        <v>1</v>
      </c>
      <c r="BX6">
        <v>44</v>
      </c>
      <c r="BY6" t="b">
        <v>0</v>
      </c>
      <c r="BZ6" t="s">
        <v>752</v>
      </c>
      <c r="CA6" t="s">
        <v>193</v>
      </c>
      <c r="CB6" t="s">
        <v>753</v>
      </c>
      <c r="CC6" t="s">
        <v>691</v>
      </c>
      <c r="CD6" t="s">
        <v>669</v>
      </c>
      <c r="CH6" t="s">
        <v>692</v>
      </c>
      <c r="CI6" t="b">
        <v>0</v>
      </c>
      <c r="CJ6" t="s">
        <v>693</v>
      </c>
      <c r="CK6" t="s">
        <v>193</v>
      </c>
      <c r="CL6" t="s">
        <v>694</v>
      </c>
      <c r="CM6" t="s">
        <v>695</v>
      </c>
      <c r="CN6" t="s">
        <v>2</v>
      </c>
      <c r="CO6" t="b">
        <v>0</v>
      </c>
      <c r="CT6" t="b">
        <v>0</v>
      </c>
      <c r="CU6" t="s">
        <v>754</v>
      </c>
      <c r="CV6" t="s">
        <v>697</v>
      </c>
      <c r="CW6" t="s">
        <v>731</v>
      </c>
      <c r="CY6">
        <v>1582</v>
      </c>
      <c r="CZ6" t="s">
        <v>671</v>
      </c>
      <c r="DA6" t="s">
        <v>207</v>
      </c>
      <c r="DB6">
        <v>165201</v>
      </c>
      <c r="DC6">
        <v>5</v>
      </c>
      <c r="DD6" t="s">
        <v>699</v>
      </c>
      <c r="DE6" t="s">
        <v>669</v>
      </c>
      <c r="DF6">
        <v>41403526</v>
      </c>
      <c r="DG6" t="s">
        <v>755</v>
      </c>
      <c r="DH6" t="s">
        <v>669</v>
      </c>
      <c r="DI6">
        <v>-1</v>
      </c>
      <c r="DJ6">
        <v>-1</v>
      </c>
    </row>
    <row r="7" spans="1:115">
      <c r="A7" t="s">
        <v>7</v>
      </c>
      <c r="B7" t="s">
        <v>667</v>
      </c>
      <c r="C7" t="b">
        <v>0</v>
      </c>
      <c r="D7" t="b">
        <v>0</v>
      </c>
      <c r="E7" t="b">
        <v>0</v>
      </c>
      <c r="H7" t="b">
        <v>0</v>
      </c>
      <c r="I7" t="b">
        <v>0</v>
      </c>
      <c r="J7" t="b">
        <v>0</v>
      </c>
      <c r="K7" t="s">
        <v>193</v>
      </c>
      <c r="Q7" t="b">
        <v>0</v>
      </c>
      <c r="S7" t="b">
        <v>0</v>
      </c>
      <c r="T7" t="b">
        <v>0</v>
      </c>
      <c r="U7">
        <v>669</v>
      </c>
      <c r="W7" t="s">
        <v>668</v>
      </c>
      <c r="X7" t="s">
        <v>193</v>
      </c>
      <c r="Y7" t="s">
        <v>669</v>
      </c>
      <c r="Z7" t="s">
        <v>193</v>
      </c>
      <c r="AB7" t="b">
        <v>1</v>
      </c>
      <c r="AC7" t="s">
        <v>206</v>
      </c>
      <c r="AD7" t="s">
        <v>671</v>
      </c>
      <c r="AE7" t="s">
        <v>671</v>
      </c>
      <c r="AF7" t="s">
        <v>756</v>
      </c>
      <c r="AG7" t="s">
        <v>227</v>
      </c>
      <c r="AH7" t="s">
        <v>757</v>
      </c>
      <c r="AI7" t="s">
        <v>226</v>
      </c>
      <c r="AJ7" t="s">
        <v>673</v>
      </c>
      <c r="AK7">
        <v>754746820160704</v>
      </c>
      <c r="AL7" t="s">
        <v>670</v>
      </c>
      <c r="AM7" t="s">
        <v>674</v>
      </c>
      <c r="AN7" t="s">
        <v>197</v>
      </c>
      <c r="AO7" t="s">
        <v>758</v>
      </c>
      <c r="AP7" t="s">
        <v>759</v>
      </c>
      <c r="AQ7" t="s">
        <v>760</v>
      </c>
      <c r="AR7" t="s">
        <v>761</v>
      </c>
      <c r="AS7" t="s">
        <v>228</v>
      </c>
      <c r="AT7">
        <v>2695</v>
      </c>
      <c r="AU7" t="s">
        <v>669</v>
      </c>
      <c r="AV7">
        <v>60000</v>
      </c>
      <c r="AW7">
        <v>36</v>
      </c>
      <c r="AY7">
        <v>100000</v>
      </c>
      <c r="AZ7">
        <v>60</v>
      </c>
      <c r="BA7" t="b">
        <v>0</v>
      </c>
      <c r="BB7" t="s">
        <v>762</v>
      </c>
      <c r="BC7" t="b">
        <v>1</v>
      </c>
      <c r="BD7" t="b">
        <v>1</v>
      </c>
      <c r="BE7" t="s">
        <v>680</v>
      </c>
      <c r="BF7">
        <v>0</v>
      </c>
      <c r="BG7">
        <v>0</v>
      </c>
      <c r="BH7" t="s">
        <v>681</v>
      </c>
      <c r="BI7" t="s">
        <v>682</v>
      </c>
      <c r="BJ7" t="b">
        <v>1</v>
      </c>
      <c r="BK7" t="b">
        <v>0</v>
      </c>
      <c r="BL7" t="s">
        <v>763</v>
      </c>
      <c r="BM7" t="s">
        <v>2</v>
      </c>
      <c r="BN7" t="s">
        <v>684</v>
      </c>
      <c r="BP7" t="s">
        <v>685</v>
      </c>
      <c r="BQ7" t="b">
        <v>0</v>
      </c>
      <c r="BS7" t="s">
        <v>764</v>
      </c>
      <c r="BT7" t="s">
        <v>765</v>
      </c>
      <c r="BU7" t="b">
        <v>0</v>
      </c>
      <c r="BV7" t="s">
        <v>766</v>
      </c>
      <c r="BW7">
        <v>9</v>
      </c>
      <c r="BX7">
        <v>1074</v>
      </c>
      <c r="BY7" t="b">
        <v>0</v>
      </c>
      <c r="BZ7" t="s">
        <v>193</v>
      </c>
      <c r="CA7" t="s">
        <v>193</v>
      </c>
      <c r="CB7" t="s">
        <v>767</v>
      </c>
      <c r="CC7" t="s">
        <v>691</v>
      </c>
      <c r="CD7" t="s">
        <v>669</v>
      </c>
      <c r="CH7" t="s">
        <v>692</v>
      </c>
      <c r="CI7" t="b">
        <v>0</v>
      </c>
      <c r="CJ7" t="s">
        <v>693</v>
      </c>
      <c r="CK7" t="s">
        <v>193</v>
      </c>
      <c r="CL7" t="s">
        <v>694</v>
      </c>
      <c r="CM7" t="s">
        <v>695</v>
      </c>
      <c r="CN7" t="s">
        <v>2</v>
      </c>
      <c r="CO7" t="b">
        <v>0</v>
      </c>
      <c r="CT7" t="b">
        <v>0</v>
      </c>
      <c r="CU7" t="s">
        <v>768</v>
      </c>
      <c r="CV7" t="s">
        <v>769</v>
      </c>
      <c r="CW7" t="s">
        <v>770</v>
      </c>
      <c r="CY7">
        <v>1999</v>
      </c>
      <c r="CZ7" t="s">
        <v>670</v>
      </c>
      <c r="DA7" t="s">
        <v>196</v>
      </c>
      <c r="DB7">
        <v>182436</v>
      </c>
      <c r="DC7">
        <v>5</v>
      </c>
      <c r="DD7" t="s">
        <v>699</v>
      </c>
      <c r="DE7" t="s">
        <v>669</v>
      </c>
      <c r="DF7">
        <v>40279299</v>
      </c>
      <c r="DG7" t="s">
        <v>771</v>
      </c>
      <c r="DH7" t="s">
        <v>669</v>
      </c>
      <c r="DI7">
        <v>-1</v>
      </c>
      <c r="DJ7">
        <v>-1</v>
      </c>
    </row>
    <row r="8" spans="1:115">
      <c r="A8" t="s">
        <v>8</v>
      </c>
      <c r="B8" t="s">
        <v>667</v>
      </c>
      <c r="C8" t="b">
        <v>0</v>
      </c>
      <c r="D8" t="b">
        <v>0</v>
      </c>
      <c r="E8" t="b">
        <v>0</v>
      </c>
      <c r="H8" t="b">
        <v>0</v>
      </c>
      <c r="I8" t="b">
        <v>0</v>
      </c>
      <c r="J8" t="b">
        <v>0</v>
      </c>
      <c r="K8" t="s">
        <v>193</v>
      </c>
      <c r="Q8" t="b">
        <v>0</v>
      </c>
      <c r="S8" t="b">
        <v>0</v>
      </c>
      <c r="T8" t="b">
        <v>0</v>
      </c>
      <c r="U8">
        <v>1419</v>
      </c>
      <c r="W8" t="s">
        <v>668</v>
      </c>
      <c r="X8" t="s">
        <v>193</v>
      </c>
      <c r="Y8" t="s">
        <v>669</v>
      </c>
      <c r="Z8" t="s">
        <v>193</v>
      </c>
      <c r="AB8" t="b">
        <v>1</v>
      </c>
      <c r="AC8" t="s">
        <v>195</v>
      </c>
      <c r="AD8" t="s">
        <v>772</v>
      </c>
      <c r="AE8" t="s">
        <v>670</v>
      </c>
      <c r="AF8" t="s">
        <v>773</v>
      </c>
      <c r="AG8" t="s">
        <v>232</v>
      </c>
      <c r="AH8" t="s">
        <v>774</v>
      </c>
      <c r="AI8" t="s">
        <v>231</v>
      </c>
      <c r="AJ8" t="s">
        <v>673</v>
      </c>
      <c r="AK8">
        <v>707238220190822</v>
      </c>
      <c r="AL8" t="s">
        <v>670</v>
      </c>
      <c r="AM8" t="s">
        <v>674</v>
      </c>
      <c r="AN8" t="s">
        <v>197</v>
      </c>
      <c r="AO8" t="s">
        <v>775</v>
      </c>
      <c r="AP8" t="s">
        <v>776</v>
      </c>
      <c r="AQ8" t="s">
        <v>777</v>
      </c>
      <c r="AR8" t="s">
        <v>778</v>
      </c>
      <c r="AS8" t="s">
        <v>233</v>
      </c>
      <c r="AT8">
        <v>2254</v>
      </c>
      <c r="AU8" t="s">
        <v>669</v>
      </c>
      <c r="AV8">
        <v>40000</v>
      </c>
      <c r="AW8">
        <v>24</v>
      </c>
      <c r="AY8">
        <v>60000</v>
      </c>
      <c r="AZ8">
        <v>36</v>
      </c>
      <c r="BA8" t="b">
        <v>0</v>
      </c>
      <c r="BB8" t="s">
        <v>679</v>
      </c>
      <c r="BC8" t="b">
        <v>1</v>
      </c>
      <c r="BD8" t="b">
        <v>1</v>
      </c>
      <c r="BE8" t="s">
        <v>680</v>
      </c>
      <c r="BF8">
        <v>0</v>
      </c>
      <c r="BG8">
        <v>0</v>
      </c>
      <c r="BH8" t="s">
        <v>681</v>
      </c>
      <c r="BI8" t="s">
        <v>682</v>
      </c>
      <c r="BJ8" t="b">
        <v>1</v>
      </c>
      <c r="BK8" t="b">
        <v>0</v>
      </c>
      <c r="BL8" t="s">
        <v>779</v>
      </c>
      <c r="BM8" t="s">
        <v>2</v>
      </c>
      <c r="BN8" t="s">
        <v>684</v>
      </c>
      <c r="BP8" t="s">
        <v>685</v>
      </c>
      <c r="BQ8" t="b">
        <v>0</v>
      </c>
      <c r="BS8" t="s">
        <v>780</v>
      </c>
      <c r="BT8" t="s">
        <v>781</v>
      </c>
      <c r="BU8" t="b">
        <v>0</v>
      </c>
      <c r="BV8" t="s">
        <v>782</v>
      </c>
      <c r="BW8">
        <v>0</v>
      </c>
      <c r="BX8">
        <v>20</v>
      </c>
      <c r="BY8" t="b">
        <v>0</v>
      </c>
      <c r="BZ8" t="s">
        <v>783</v>
      </c>
      <c r="CA8" t="s">
        <v>193</v>
      </c>
      <c r="CB8" t="s">
        <v>784</v>
      </c>
      <c r="CC8" t="s">
        <v>193</v>
      </c>
      <c r="CD8" t="s">
        <v>669</v>
      </c>
      <c r="CH8" t="s">
        <v>692</v>
      </c>
      <c r="CI8" t="b">
        <v>0</v>
      </c>
      <c r="CJ8" t="s">
        <v>693</v>
      </c>
      <c r="CK8" t="s">
        <v>193</v>
      </c>
      <c r="CL8" t="s">
        <v>694</v>
      </c>
      <c r="CM8" t="s">
        <v>695</v>
      </c>
      <c r="CN8" t="s">
        <v>2</v>
      </c>
      <c r="CO8" t="b">
        <v>0</v>
      </c>
      <c r="CT8" t="b">
        <v>0</v>
      </c>
      <c r="CU8" t="s">
        <v>785</v>
      </c>
      <c r="CV8" t="s">
        <v>786</v>
      </c>
      <c r="CW8" t="s">
        <v>770</v>
      </c>
      <c r="CY8">
        <v>2497</v>
      </c>
      <c r="CZ8" t="s">
        <v>671</v>
      </c>
      <c r="DA8" t="s">
        <v>207</v>
      </c>
      <c r="DB8">
        <v>64214</v>
      </c>
      <c r="DC8">
        <v>5</v>
      </c>
      <c r="DD8" t="s">
        <v>699</v>
      </c>
      <c r="DE8" t="s">
        <v>669</v>
      </c>
      <c r="DF8">
        <v>41017047</v>
      </c>
      <c r="DG8" t="s">
        <v>787</v>
      </c>
      <c r="DH8" t="s">
        <v>669</v>
      </c>
      <c r="DI8">
        <v>-1</v>
      </c>
      <c r="DJ8">
        <v>-1</v>
      </c>
    </row>
    <row r="9" spans="1:115">
      <c r="A9" t="s">
        <v>9</v>
      </c>
      <c r="B9" t="s">
        <v>667</v>
      </c>
      <c r="C9" t="b">
        <v>0</v>
      </c>
      <c r="D9" t="b">
        <v>1</v>
      </c>
      <c r="E9" t="b">
        <v>0</v>
      </c>
      <c r="H9" t="b">
        <v>0</v>
      </c>
      <c r="I9" t="b">
        <v>0</v>
      </c>
      <c r="J9" t="b">
        <v>1</v>
      </c>
      <c r="K9" t="s">
        <v>193</v>
      </c>
      <c r="Q9" t="b">
        <v>0</v>
      </c>
      <c r="S9" t="b">
        <v>0</v>
      </c>
      <c r="T9" t="b">
        <v>1</v>
      </c>
      <c r="U9">
        <v>2180</v>
      </c>
      <c r="W9" t="s">
        <v>668</v>
      </c>
      <c r="X9" t="s">
        <v>788</v>
      </c>
      <c r="Y9" t="s">
        <v>669</v>
      </c>
      <c r="Z9" t="s">
        <v>193</v>
      </c>
      <c r="AA9" t="s">
        <v>789</v>
      </c>
      <c r="AB9" t="b">
        <v>1</v>
      </c>
      <c r="AC9" t="s">
        <v>195</v>
      </c>
      <c r="AD9" t="s">
        <v>670</v>
      </c>
      <c r="AE9" t="s">
        <v>671</v>
      </c>
      <c r="AF9" t="s">
        <v>790</v>
      </c>
      <c r="AG9" t="s">
        <v>237</v>
      </c>
      <c r="AH9" t="s">
        <v>791</v>
      </c>
      <c r="AI9" t="s">
        <v>236</v>
      </c>
      <c r="AJ9" t="s">
        <v>673</v>
      </c>
      <c r="AK9">
        <v>795551720200701</v>
      </c>
      <c r="AL9" t="s">
        <v>670</v>
      </c>
      <c r="AM9" t="s">
        <v>674</v>
      </c>
      <c r="AN9" t="s">
        <v>197</v>
      </c>
      <c r="AO9" t="s">
        <v>792</v>
      </c>
      <c r="AP9" t="s">
        <v>705</v>
      </c>
      <c r="AQ9" t="s">
        <v>706</v>
      </c>
      <c r="AR9" t="s">
        <v>707</v>
      </c>
      <c r="AS9" t="s">
        <v>239</v>
      </c>
      <c r="AT9">
        <v>3205</v>
      </c>
      <c r="AU9" t="s">
        <v>669</v>
      </c>
      <c r="AV9">
        <v>60000</v>
      </c>
      <c r="AW9">
        <v>36</v>
      </c>
      <c r="AY9">
        <v>100000</v>
      </c>
      <c r="AZ9">
        <v>60</v>
      </c>
      <c r="BA9" t="b">
        <v>0</v>
      </c>
      <c r="BB9" t="s">
        <v>793</v>
      </c>
      <c r="BC9" t="b">
        <v>1</v>
      </c>
      <c r="BD9" t="b">
        <v>1</v>
      </c>
      <c r="BE9" t="s">
        <v>680</v>
      </c>
      <c r="BF9">
        <v>0</v>
      </c>
      <c r="BG9">
        <v>0</v>
      </c>
      <c r="BH9" t="s">
        <v>794</v>
      </c>
      <c r="BI9" t="s">
        <v>682</v>
      </c>
      <c r="BJ9" t="b">
        <v>1</v>
      </c>
      <c r="BK9" t="b">
        <v>0</v>
      </c>
      <c r="BL9" t="s">
        <v>795</v>
      </c>
      <c r="BM9" t="s">
        <v>10</v>
      </c>
      <c r="BN9" t="s">
        <v>684</v>
      </c>
      <c r="BP9" t="s">
        <v>796</v>
      </c>
      <c r="BQ9" t="b">
        <v>0</v>
      </c>
      <c r="BR9">
        <v>41303791</v>
      </c>
      <c r="BS9" t="s">
        <v>797</v>
      </c>
      <c r="BT9" t="s">
        <v>798</v>
      </c>
      <c r="BU9" t="b">
        <v>0</v>
      </c>
      <c r="BV9" t="s">
        <v>799</v>
      </c>
      <c r="BW9">
        <v>3</v>
      </c>
      <c r="BX9">
        <v>435</v>
      </c>
      <c r="BY9" t="b">
        <v>1</v>
      </c>
      <c r="BZ9" t="s">
        <v>800</v>
      </c>
      <c r="CA9" t="s">
        <v>193</v>
      </c>
      <c r="CB9" t="s">
        <v>801</v>
      </c>
      <c r="CC9" t="s">
        <v>193</v>
      </c>
      <c r="CD9" t="s">
        <v>669</v>
      </c>
      <c r="CH9" t="s">
        <v>802</v>
      </c>
      <c r="CI9" t="b">
        <v>0</v>
      </c>
      <c r="CJ9" t="s">
        <v>803</v>
      </c>
      <c r="CK9" t="s">
        <v>193</v>
      </c>
      <c r="CL9" t="s">
        <v>804</v>
      </c>
      <c r="CM9" t="s">
        <v>805</v>
      </c>
      <c r="CN9" t="s">
        <v>10</v>
      </c>
      <c r="CO9" t="b">
        <v>1</v>
      </c>
      <c r="CT9" t="b">
        <v>0</v>
      </c>
      <c r="CU9" t="s">
        <v>806</v>
      </c>
      <c r="CV9" t="s">
        <v>716</v>
      </c>
      <c r="CW9" t="s">
        <v>731</v>
      </c>
      <c r="CY9">
        <v>2151</v>
      </c>
      <c r="CZ9" t="s">
        <v>671</v>
      </c>
      <c r="DA9" t="s">
        <v>207</v>
      </c>
      <c r="DB9">
        <v>117174</v>
      </c>
      <c r="DC9">
        <v>7</v>
      </c>
      <c r="DD9" t="s">
        <v>699</v>
      </c>
      <c r="DE9" t="s">
        <v>669</v>
      </c>
      <c r="DF9">
        <v>41298024</v>
      </c>
      <c r="DG9" t="s">
        <v>807</v>
      </c>
      <c r="DH9" t="s">
        <v>669</v>
      </c>
      <c r="DI9">
        <v>1</v>
      </c>
      <c r="DJ9">
        <v>-1</v>
      </c>
      <c r="DK9" t="s">
        <v>808</v>
      </c>
    </row>
    <row r="10" spans="1:115">
      <c r="A10" t="s">
        <v>11</v>
      </c>
      <c r="B10" t="s">
        <v>667</v>
      </c>
      <c r="C10" t="b">
        <v>0</v>
      </c>
      <c r="D10" t="b">
        <v>1</v>
      </c>
      <c r="E10" t="b">
        <v>0</v>
      </c>
      <c r="H10" t="b">
        <v>0</v>
      </c>
      <c r="I10" t="b">
        <v>0</v>
      </c>
      <c r="J10" t="b">
        <v>1</v>
      </c>
      <c r="K10" t="s">
        <v>193</v>
      </c>
      <c r="Q10" t="b">
        <v>0</v>
      </c>
      <c r="S10" t="b">
        <v>0</v>
      </c>
      <c r="T10" t="b">
        <v>1</v>
      </c>
      <c r="U10">
        <v>550</v>
      </c>
      <c r="W10" t="s">
        <v>668</v>
      </c>
      <c r="X10" t="s">
        <v>788</v>
      </c>
      <c r="Y10" t="s">
        <v>669</v>
      </c>
      <c r="Z10" t="s">
        <v>193</v>
      </c>
      <c r="AA10" t="s">
        <v>789</v>
      </c>
      <c r="AB10" t="b">
        <v>1</v>
      </c>
      <c r="AC10" t="s">
        <v>222</v>
      </c>
      <c r="AD10" t="s">
        <v>809</v>
      </c>
      <c r="AH10" t="s">
        <v>810</v>
      </c>
      <c r="AI10" t="s">
        <v>245</v>
      </c>
      <c r="AJ10" t="s">
        <v>673</v>
      </c>
      <c r="AK10">
        <v>791619120120315</v>
      </c>
      <c r="AL10" t="s">
        <v>670</v>
      </c>
      <c r="AM10" t="s">
        <v>674</v>
      </c>
      <c r="AN10" t="s">
        <v>197</v>
      </c>
      <c r="AO10" t="s">
        <v>720</v>
      </c>
      <c r="AP10" t="s">
        <v>701</v>
      </c>
      <c r="AQ10" t="s">
        <v>721</v>
      </c>
      <c r="AR10" t="s">
        <v>722</v>
      </c>
      <c r="AS10" t="s">
        <v>213</v>
      </c>
      <c r="AT10">
        <v>3351</v>
      </c>
      <c r="AU10" t="s">
        <v>669</v>
      </c>
      <c r="AV10">
        <v>60000</v>
      </c>
      <c r="AW10">
        <v>36</v>
      </c>
      <c r="AY10">
        <v>100000</v>
      </c>
      <c r="AZ10">
        <v>60</v>
      </c>
      <c r="BA10" t="b">
        <v>0</v>
      </c>
      <c r="BB10" t="s">
        <v>811</v>
      </c>
      <c r="BC10" t="b">
        <v>1</v>
      </c>
      <c r="BD10" t="b">
        <v>1</v>
      </c>
      <c r="BE10" t="s">
        <v>680</v>
      </c>
      <c r="BF10">
        <v>0</v>
      </c>
      <c r="BG10">
        <v>0</v>
      </c>
      <c r="BH10" t="s">
        <v>794</v>
      </c>
      <c r="BI10" t="s">
        <v>682</v>
      </c>
      <c r="BJ10" t="b">
        <v>1</v>
      </c>
      <c r="BK10" t="b">
        <v>0</v>
      </c>
      <c r="BL10" t="s">
        <v>812</v>
      </c>
      <c r="BM10" t="s">
        <v>10</v>
      </c>
      <c r="BN10" t="s">
        <v>684</v>
      </c>
      <c r="BP10" t="s">
        <v>796</v>
      </c>
      <c r="BQ10" t="b">
        <v>0</v>
      </c>
      <c r="BR10">
        <v>40315002</v>
      </c>
      <c r="BS10" t="s">
        <v>813</v>
      </c>
      <c r="BT10" t="s">
        <v>814</v>
      </c>
      <c r="BU10" t="b">
        <v>1</v>
      </c>
      <c r="BV10" t="s">
        <v>815</v>
      </c>
      <c r="BW10">
        <v>0</v>
      </c>
      <c r="BX10">
        <v>122</v>
      </c>
      <c r="BY10" t="b">
        <v>1</v>
      </c>
      <c r="BZ10" t="s">
        <v>816</v>
      </c>
      <c r="CA10" t="s">
        <v>193</v>
      </c>
      <c r="CB10" t="s">
        <v>817</v>
      </c>
      <c r="CC10" t="s">
        <v>193</v>
      </c>
      <c r="CD10" t="s">
        <v>669</v>
      </c>
      <c r="CH10" t="s">
        <v>802</v>
      </c>
      <c r="CI10" t="b">
        <v>0</v>
      </c>
      <c r="CJ10" t="s">
        <v>803</v>
      </c>
      <c r="CK10" t="s">
        <v>193</v>
      </c>
      <c r="CL10" t="s">
        <v>804</v>
      </c>
      <c r="CM10" t="s">
        <v>805</v>
      </c>
      <c r="CN10" t="s">
        <v>10</v>
      </c>
      <c r="CO10" t="b">
        <v>1</v>
      </c>
      <c r="CT10" t="b">
        <v>0</v>
      </c>
      <c r="CU10" t="s">
        <v>818</v>
      </c>
      <c r="CV10" t="s">
        <v>730</v>
      </c>
      <c r="CW10" t="s">
        <v>819</v>
      </c>
      <c r="CY10">
        <v>2999</v>
      </c>
      <c r="CZ10" t="s">
        <v>670</v>
      </c>
      <c r="DA10" t="s">
        <v>196</v>
      </c>
      <c r="DB10">
        <v>123680</v>
      </c>
      <c r="DC10">
        <v>5</v>
      </c>
      <c r="DD10" t="s">
        <v>699</v>
      </c>
      <c r="DE10" t="s">
        <v>669</v>
      </c>
      <c r="DF10">
        <v>39870119</v>
      </c>
      <c r="DG10" t="s">
        <v>820</v>
      </c>
      <c r="DH10" t="s">
        <v>669</v>
      </c>
      <c r="DI10">
        <v>1</v>
      </c>
      <c r="DJ10">
        <v>-1</v>
      </c>
      <c r="DK10" t="s">
        <v>821</v>
      </c>
    </row>
    <row r="11" spans="1:115">
      <c r="A11" t="s">
        <v>12</v>
      </c>
      <c r="B11" t="s">
        <v>667</v>
      </c>
      <c r="C11" t="b">
        <v>0</v>
      </c>
      <c r="D11" t="b">
        <v>0</v>
      </c>
      <c r="E11" t="b">
        <v>0</v>
      </c>
      <c r="H11" t="b">
        <v>0</v>
      </c>
      <c r="I11" t="b">
        <v>0</v>
      </c>
      <c r="J11" t="b">
        <v>0</v>
      </c>
      <c r="K11" t="s">
        <v>193</v>
      </c>
      <c r="Q11" t="b">
        <v>0</v>
      </c>
      <c r="S11" t="b">
        <v>0</v>
      </c>
      <c r="T11" t="b">
        <v>0</v>
      </c>
      <c r="U11">
        <v>1099</v>
      </c>
      <c r="W11" t="s">
        <v>668</v>
      </c>
      <c r="X11" t="s">
        <v>193</v>
      </c>
      <c r="Y11" t="s">
        <v>669</v>
      </c>
      <c r="Z11" t="s">
        <v>193</v>
      </c>
      <c r="AB11" t="b">
        <v>1</v>
      </c>
      <c r="AC11" t="s">
        <v>249</v>
      </c>
      <c r="AD11" t="s">
        <v>822</v>
      </c>
      <c r="AE11" t="s">
        <v>671</v>
      </c>
      <c r="AF11" t="s">
        <v>733</v>
      </c>
      <c r="AG11" t="s">
        <v>216</v>
      </c>
      <c r="AH11" t="s">
        <v>823</v>
      </c>
      <c r="AI11" t="s">
        <v>248</v>
      </c>
      <c r="AJ11" t="s">
        <v>673</v>
      </c>
      <c r="AK11">
        <v>787701120220308</v>
      </c>
      <c r="AL11" t="s">
        <v>670</v>
      </c>
      <c r="AM11" t="s">
        <v>674</v>
      </c>
      <c r="AN11" t="s">
        <v>197</v>
      </c>
      <c r="AO11" t="s">
        <v>675</v>
      </c>
      <c r="AP11" t="s">
        <v>676</v>
      </c>
      <c r="AQ11" t="s">
        <v>677</v>
      </c>
      <c r="AR11" t="s">
        <v>678</v>
      </c>
      <c r="AS11" t="s">
        <v>198</v>
      </c>
      <c r="AT11">
        <v>1917</v>
      </c>
      <c r="AU11" t="s">
        <v>669</v>
      </c>
      <c r="AV11">
        <v>60000</v>
      </c>
      <c r="AW11">
        <v>36</v>
      </c>
      <c r="AY11">
        <v>100000</v>
      </c>
      <c r="AZ11">
        <v>60</v>
      </c>
      <c r="BA11" t="b">
        <v>0</v>
      </c>
      <c r="BB11" t="s">
        <v>824</v>
      </c>
      <c r="BC11" t="b">
        <v>1</v>
      </c>
      <c r="BD11" t="b">
        <v>1</v>
      </c>
      <c r="BE11" t="s">
        <v>680</v>
      </c>
      <c r="BF11">
        <v>0</v>
      </c>
      <c r="BG11">
        <v>0</v>
      </c>
      <c r="BH11" t="s">
        <v>681</v>
      </c>
      <c r="BI11" t="s">
        <v>682</v>
      </c>
      <c r="BJ11" t="b">
        <v>1</v>
      </c>
      <c r="BK11" t="b">
        <v>0</v>
      </c>
      <c r="BL11" t="s">
        <v>825</v>
      </c>
      <c r="BM11" t="s">
        <v>2</v>
      </c>
      <c r="BN11" t="s">
        <v>684</v>
      </c>
      <c r="BP11" t="s">
        <v>685</v>
      </c>
      <c r="BQ11" t="b">
        <v>0</v>
      </c>
      <c r="BS11" t="s">
        <v>826</v>
      </c>
      <c r="BT11" t="s">
        <v>826</v>
      </c>
      <c r="BU11" t="b">
        <v>0</v>
      </c>
      <c r="BV11" t="s">
        <v>827</v>
      </c>
      <c r="BW11">
        <v>2</v>
      </c>
      <c r="BX11">
        <v>716</v>
      </c>
      <c r="BY11" t="b">
        <v>0</v>
      </c>
      <c r="BZ11" t="s">
        <v>828</v>
      </c>
      <c r="CA11" t="s">
        <v>193</v>
      </c>
      <c r="CB11" t="s">
        <v>829</v>
      </c>
      <c r="CC11" t="s">
        <v>691</v>
      </c>
      <c r="CD11" t="s">
        <v>669</v>
      </c>
      <c r="CH11" t="s">
        <v>692</v>
      </c>
      <c r="CI11" t="b">
        <v>0</v>
      </c>
      <c r="CJ11" t="s">
        <v>693</v>
      </c>
      <c r="CK11" t="s">
        <v>193</v>
      </c>
      <c r="CL11" t="s">
        <v>694</v>
      </c>
      <c r="CM11" t="s">
        <v>695</v>
      </c>
      <c r="CN11" t="s">
        <v>2</v>
      </c>
      <c r="CO11" t="b">
        <v>0</v>
      </c>
      <c r="CT11" t="b">
        <v>0</v>
      </c>
      <c r="CU11" t="s">
        <v>830</v>
      </c>
      <c r="CV11" t="s">
        <v>697</v>
      </c>
      <c r="CW11" t="s">
        <v>731</v>
      </c>
      <c r="CY11">
        <v>1591</v>
      </c>
      <c r="CZ11" t="s">
        <v>822</v>
      </c>
      <c r="DA11" t="s">
        <v>250</v>
      </c>
      <c r="DB11">
        <v>90742</v>
      </c>
      <c r="DC11">
        <v>5</v>
      </c>
      <c r="DD11" t="s">
        <v>699</v>
      </c>
      <c r="DE11" t="s">
        <v>669</v>
      </c>
      <c r="DF11">
        <v>41326098</v>
      </c>
      <c r="DG11" t="s">
        <v>831</v>
      </c>
      <c r="DH11" t="s">
        <v>669</v>
      </c>
      <c r="DI11">
        <v>-1</v>
      </c>
      <c r="DJ11">
        <v>-1</v>
      </c>
    </row>
    <row r="12" spans="1:115">
      <c r="A12" t="s">
        <v>13</v>
      </c>
      <c r="B12" t="s">
        <v>667</v>
      </c>
      <c r="C12" t="b">
        <v>0</v>
      </c>
      <c r="D12" t="b">
        <v>1</v>
      </c>
      <c r="E12" t="b">
        <v>0</v>
      </c>
      <c r="H12" t="b">
        <v>0</v>
      </c>
      <c r="I12" t="b">
        <v>0</v>
      </c>
      <c r="J12" t="b">
        <v>1</v>
      </c>
      <c r="K12" t="s">
        <v>193</v>
      </c>
      <c r="Q12" t="b">
        <v>0</v>
      </c>
      <c r="S12" t="b">
        <v>0</v>
      </c>
      <c r="T12" t="b">
        <v>1</v>
      </c>
      <c r="U12">
        <v>1200</v>
      </c>
      <c r="W12" t="s">
        <v>668</v>
      </c>
      <c r="X12" t="s">
        <v>788</v>
      </c>
      <c r="Y12" t="s">
        <v>669</v>
      </c>
      <c r="Z12" t="s">
        <v>193</v>
      </c>
      <c r="AA12" t="s">
        <v>832</v>
      </c>
      <c r="AB12" t="b">
        <v>1</v>
      </c>
      <c r="AC12" t="s">
        <v>254</v>
      </c>
      <c r="AD12" t="s">
        <v>705</v>
      </c>
      <c r="AH12" t="s">
        <v>833</v>
      </c>
      <c r="AI12" t="s">
        <v>253</v>
      </c>
      <c r="AJ12" t="s">
        <v>673</v>
      </c>
      <c r="AK12">
        <v>781352620170308</v>
      </c>
      <c r="AL12" t="s">
        <v>670</v>
      </c>
      <c r="AM12" t="s">
        <v>674</v>
      </c>
      <c r="AN12" t="s">
        <v>197</v>
      </c>
      <c r="AO12" t="s">
        <v>834</v>
      </c>
      <c r="AP12" t="s">
        <v>759</v>
      </c>
      <c r="AQ12" t="s">
        <v>760</v>
      </c>
      <c r="AR12" t="s">
        <v>761</v>
      </c>
      <c r="AS12" t="s">
        <v>255</v>
      </c>
      <c r="AU12" t="s">
        <v>669</v>
      </c>
      <c r="AV12">
        <v>60000</v>
      </c>
      <c r="AW12">
        <v>36</v>
      </c>
      <c r="AY12">
        <v>100000</v>
      </c>
      <c r="AZ12">
        <v>60</v>
      </c>
      <c r="BA12" t="b">
        <v>0</v>
      </c>
      <c r="BB12" t="s">
        <v>835</v>
      </c>
      <c r="BC12" t="b">
        <v>1</v>
      </c>
      <c r="BD12" t="b">
        <v>1</v>
      </c>
      <c r="BE12" t="s">
        <v>680</v>
      </c>
      <c r="BF12">
        <v>0</v>
      </c>
      <c r="BG12">
        <v>0</v>
      </c>
      <c r="BH12" t="s">
        <v>794</v>
      </c>
      <c r="BI12" t="s">
        <v>682</v>
      </c>
      <c r="BJ12" t="b">
        <v>1</v>
      </c>
      <c r="BK12" t="b">
        <v>0</v>
      </c>
      <c r="BL12" t="s">
        <v>836</v>
      </c>
      <c r="BM12" t="s">
        <v>10</v>
      </c>
      <c r="BN12" t="s">
        <v>684</v>
      </c>
      <c r="BP12" t="s">
        <v>796</v>
      </c>
      <c r="BQ12" t="b">
        <v>0</v>
      </c>
      <c r="BR12">
        <v>41307905</v>
      </c>
      <c r="BS12" t="s">
        <v>837</v>
      </c>
      <c r="BT12" t="s">
        <v>838</v>
      </c>
      <c r="BU12" t="b">
        <v>0</v>
      </c>
      <c r="BV12" t="s">
        <v>839</v>
      </c>
      <c r="BW12">
        <v>2</v>
      </c>
      <c r="BX12">
        <v>911</v>
      </c>
      <c r="BY12" t="b">
        <v>1</v>
      </c>
      <c r="BZ12" t="s">
        <v>193</v>
      </c>
      <c r="CA12" t="s">
        <v>840</v>
      </c>
      <c r="CB12" t="s">
        <v>841</v>
      </c>
      <c r="CC12" t="s">
        <v>193</v>
      </c>
      <c r="CD12" t="s">
        <v>669</v>
      </c>
      <c r="CH12" t="s">
        <v>802</v>
      </c>
      <c r="CI12" t="b">
        <v>0</v>
      </c>
      <c r="CJ12" t="s">
        <v>803</v>
      </c>
      <c r="CK12" t="s">
        <v>193</v>
      </c>
      <c r="CL12" t="s">
        <v>804</v>
      </c>
      <c r="CM12" t="s">
        <v>805</v>
      </c>
      <c r="CN12" t="s">
        <v>10</v>
      </c>
      <c r="CO12" t="b">
        <v>1</v>
      </c>
      <c r="CT12" t="b">
        <v>0</v>
      </c>
      <c r="CU12" t="s">
        <v>842</v>
      </c>
      <c r="CV12" t="s">
        <v>769</v>
      </c>
      <c r="CW12" t="s">
        <v>731</v>
      </c>
      <c r="CY12">
        <v>1999</v>
      </c>
      <c r="CZ12" t="s">
        <v>822</v>
      </c>
      <c r="DA12" t="s">
        <v>250</v>
      </c>
      <c r="DB12">
        <v>137276</v>
      </c>
      <c r="DC12">
        <v>5</v>
      </c>
      <c r="DD12" t="s">
        <v>699</v>
      </c>
      <c r="DE12" t="s">
        <v>669</v>
      </c>
      <c r="DF12">
        <v>41307028</v>
      </c>
      <c r="DG12" t="s">
        <v>843</v>
      </c>
      <c r="DH12" t="s">
        <v>669</v>
      </c>
      <c r="DI12">
        <v>1</v>
      </c>
      <c r="DJ12">
        <v>-1</v>
      </c>
      <c r="DK12" t="s">
        <v>844</v>
      </c>
    </row>
    <row r="13" spans="1:115">
      <c r="A13" t="s">
        <v>14</v>
      </c>
      <c r="B13" t="s">
        <v>667</v>
      </c>
      <c r="C13" t="b">
        <v>0</v>
      </c>
      <c r="D13" t="b">
        <v>0</v>
      </c>
      <c r="E13" t="b">
        <v>0</v>
      </c>
      <c r="H13" t="b">
        <v>0</v>
      </c>
      <c r="I13" t="b">
        <v>0</v>
      </c>
      <c r="J13" t="b">
        <v>0</v>
      </c>
      <c r="K13" t="s">
        <v>193</v>
      </c>
      <c r="Q13" t="b">
        <v>0</v>
      </c>
      <c r="S13" t="b">
        <v>0</v>
      </c>
      <c r="T13" t="b">
        <v>0</v>
      </c>
      <c r="U13">
        <v>1199</v>
      </c>
      <c r="W13" t="s">
        <v>668</v>
      </c>
      <c r="X13" t="s">
        <v>193</v>
      </c>
      <c r="Y13" t="s">
        <v>669</v>
      </c>
      <c r="Z13" t="s">
        <v>193</v>
      </c>
      <c r="AB13" t="b">
        <v>1</v>
      </c>
      <c r="AC13" t="s">
        <v>260</v>
      </c>
      <c r="AD13" t="s">
        <v>670</v>
      </c>
      <c r="AE13" t="s">
        <v>671</v>
      </c>
      <c r="AF13" t="s">
        <v>845</v>
      </c>
      <c r="AG13" t="s">
        <v>259</v>
      </c>
      <c r="AH13" t="s">
        <v>258</v>
      </c>
      <c r="AI13" t="s">
        <v>258</v>
      </c>
      <c r="AJ13" t="s">
        <v>673</v>
      </c>
      <c r="AK13">
        <v>796883420190321</v>
      </c>
      <c r="AL13" t="s">
        <v>670</v>
      </c>
      <c r="AM13" t="s">
        <v>674</v>
      </c>
      <c r="AN13" t="s">
        <v>197</v>
      </c>
      <c r="AO13" t="s">
        <v>846</v>
      </c>
      <c r="AP13" t="s">
        <v>759</v>
      </c>
      <c r="AQ13" t="s">
        <v>760</v>
      </c>
      <c r="AR13" t="s">
        <v>761</v>
      </c>
      <c r="AS13" t="s">
        <v>261</v>
      </c>
      <c r="AT13">
        <v>2592</v>
      </c>
      <c r="AU13" t="s">
        <v>669</v>
      </c>
      <c r="AV13">
        <v>60000</v>
      </c>
      <c r="AW13">
        <v>36</v>
      </c>
      <c r="AY13">
        <v>100000</v>
      </c>
      <c r="AZ13">
        <v>60</v>
      </c>
      <c r="BA13" t="b">
        <v>0</v>
      </c>
      <c r="BB13" t="s">
        <v>847</v>
      </c>
      <c r="BC13" t="b">
        <v>1</v>
      </c>
      <c r="BD13" t="b">
        <v>1</v>
      </c>
      <c r="BE13" t="s">
        <v>680</v>
      </c>
      <c r="BF13">
        <v>0</v>
      </c>
      <c r="BG13">
        <v>0</v>
      </c>
      <c r="BH13" t="s">
        <v>681</v>
      </c>
      <c r="BI13" t="s">
        <v>682</v>
      </c>
      <c r="BJ13" t="b">
        <v>1</v>
      </c>
      <c r="BK13" t="b">
        <v>0</v>
      </c>
      <c r="BL13" t="s">
        <v>848</v>
      </c>
      <c r="BM13" t="s">
        <v>2</v>
      </c>
      <c r="BN13" t="s">
        <v>684</v>
      </c>
      <c r="BP13" t="s">
        <v>685</v>
      </c>
      <c r="BQ13" t="b">
        <v>0</v>
      </c>
      <c r="BS13" t="s">
        <v>849</v>
      </c>
      <c r="BT13" t="s">
        <v>850</v>
      </c>
      <c r="BU13" t="b">
        <v>0</v>
      </c>
      <c r="BV13" t="s">
        <v>851</v>
      </c>
      <c r="BW13">
        <v>1</v>
      </c>
      <c r="BX13">
        <v>86</v>
      </c>
      <c r="BY13" t="b">
        <v>0</v>
      </c>
      <c r="BZ13" t="s">
        <v>852</v>
      </c>
      <c r="CA13" t="s">
        <v>193</v>
      </c>
      <c r="CB13" t="s">
        <v>853</v>
      </c>
      <c r="CC13" t="s">
        <v>193</v>
      </c>
      <c r="CD13" t="s">
        <v>669</v>
      </c>
      <c r="CH13" t="s">
        <v>692</v>
      </c>
      <c r="CI13" t="b">
        <v>0</v>
      </c>
      <c r="CJ13" t="s">
        <v>693</v>
      </c>
      <c r="CK13" t="s">
        <v>193</v>
      </c>
      <c r="CL13" t="s">
        <v>694</v>
      </c>
      <c r="CM13" t="s">
        <v>695</v>
      </c>
      <c r="CN13" t="s">
        <v>2</v>
      </c>
      <c r="CO13" t="b">
        <v>0</v>
      </c>
      <c r="CT13" t="b">
        <v>0</v>
      </c>
      <c r="CU13" t="s">
        <v>854</v>
      </c>
      <c r="CV13" t="s">
        <v>769</v>
      </c>
      <c r="CW13" t="s">
        <v>819</v>
      </c>
      <c r="CY13">
        <v>1999</v>
      </c>
      <c r="CZ13" t="s">
        <v>670</v>
      </c>
      <c r="DA13" t="s">
        <v>196</v>
      </c>
      <c r="DB13">
        <v>131174</v>
      </c>
      <c r="DC13">
        <v>5</v>
      </c>
      <c r="DD13" t="s">
        <v>699</v>
      </c>
      <c r="DE13" t="s">
        <v>669</v>
      </c>
      <c r="DF13">
        <v>41376170</v>
      </c>
      <c r="DG13" t="s">
        <v>855</v>
      </c>
      <c r="DH13" t="s">
        <v>669</v>
      </c>
      <c r="DI13">
        <v>-1</v>
      </c>
      <c r="DJ13">
        <v>-1</v>
      </c>
    </row>
    <row r="14" spans="1:115">
      <c r="A14" t="s">
        <v>15</v>
      </c>
      <c r="B14" t="s">
        <v>667</v>
      </c>
      <c r="C14" t="b">
        <v>0</v>
      </c>
      <c r="D14" t="b">
        <v>0</v>
      </c>
      <c r="E14" t="b">
        <v>0</v>
      </c>
      <c r="H14" t="b">
        <v>0</v>
      </c>
      <c r="I14" t="b">
        <v>0</v>
      </c>
      <c r="J14" t="b">
        <v>0</v>
      </c>
      <c r="K14" t="s">
        <v>193</v>
      </c>
      <c r="Q14" t="b">
        <v>0</v>
      </c>
      <c r="S14" t="b">
        <v>0</v>
      </c>
      <c r="T14" t="b">
        <v>0</v>
      </c>
      <c r="U14">
        <v>709</v>
      </c>
      <c r="W14" t="s">
        <v>668</v>
      </c>
      <c r="X14" t="s">
        <v>193</v>
      </c>
      <c r="Y14" t="s">
        <v>669</v>
      </c>
      <c r="Z14" t="s">
        <v>193</v>
      </c>
      <c r="AB14" t="b">
        <v>1</v>
      </c>
      <c r="AC14" t="s">
        <v>217</v>
      </c>
      <c r="AD14" t="s">
        <v>670</v>
      </c>
      <c r="AH14" t="s">
        <v>856</v>
      </c>
      <c r="AI14" t="s">
        <v>264</v>
      </c>
      <c r="AJ14" t="s">
        <v>673</v>
      </c>
      <c r="AK14">
        <v>702354620180719</v>
      </c>
      <c r="AL14" t="s">
        <v>670</v>
      </c>
      <c r="AM14" t="s">
        <v>674</v>
      </c>
      <c r="AN14" t="s">
        <v>197</v>
      </c>
      <c r="AO14" t="s">
        <v>834</v>
      </c>
      <c r="AP14" t="s">
        <v>759</v>
      </c>
      <c r="AQ14" t="s">
        <v>760</v>
      </c>
      <c r="AR14" t="s">
        <v>761</v>
      </c>
      <c r="AS14" t="s">
        <v>255</v>
      </c>
      <c r="AT14">
        <v>2219</v>
      </c>
      <c r="AU14" t="s">
        <v>669</v>
      </c>
      <c r="AV14">
        <v>60000</v>
      </c>
      <c r="AW14">
        <v>36</v>
      </c>
      <c r="AY14">
        <v>100000</v>
      </c>
      <c r="AZ14">
        <v>60</v>
      </c>
      <c r="BA14" t="b">
        <v>0</v>
      </c>
      <c r="BB14" t="s">
        <v>735</v>
      </c>
      <c r="BC14" t="b">
        <v>1</v>
      </c>
      <c r="BD14" t="b">
        <v>1</v>
      </c>
      <c r="BE14" t="s">
        <v>680</v>
      </c>
      <c r="BF14">
        <v>0</v>
      </c>
      <c r="BG14">
        <v>0</v>
      </c>
      <c r="BH14" t="s">
        <v>681</v>
      </c>
      <c r="BI14" t="s">
        <v>682</v>
      </c>
      <c r="BJ14" t="b">
        <v>1</v>
      </c>
      <c r="BK14" t="b">
        <v>0</v>
      </c>
      <c r="BL14" t="s">
        <v>857</v>
      </c>
      <c r="BM14" t="s">
        <v>2</v>
      </c>
      <c r="BN14" t="s">
        <v>684</v>
      </c>
      <c r="BP14" t="s">
        <v>858</v>
      </c>
      <c r="BQ14" t="b">
        <v>0</v>
      </c>
      <c r="BS14" t="s">
        <v>859</v>
      </c>
      <c r="BT14" t="s">
        <v>859</v>
      </c>
      <c r="BU14" t="b">
        <v>0</v>
      </c>
      <c r="BV14" t="s">
        <v>860</v>
      </c>
      <c r="BW14">
        <v>0</v>
      </c>
      <c r="BX14">
        <v>65</v>
      </c>
      <c r="BY14" t="b">
        <v>0</v>
      </c>
      <c r="BZ14" t="s">
        <v>193</v>
      </c>
      <c r="CA14" t="s">
        <v>193</v>
      </c>
      <c r="CB14" t="s">
        <v>861</v>
      </c>
      <c r="CC14" t="s">
        <v>691</v>
      </c>
      <c r="CD14" t="s">
        <v>669</v>
      </c>
      <c r="CH14" t="s">
        <v>692</v>
      </c>
      <c r="CI14" t="b">
        <v>0</v>
      </c>
      <c r="CJ14" t="s">
        <v>693</v>
      </c>
      <c r="CK14" t="s">
        <v>193</v>
      </c>
      <c r="CL14" t="s">
        <v>694</v>
      </c>
      <c r="CM14" t="s">
        <v>695</v>
      </c>
      <c r="CN14" t="s">
        <v>2</v>
      </c>
      <c r="CO14" t="b">
        <v>0</v>
      </c>
      <c r="CT14" t="b">
        <v>0</v>
      </c>
      <c r="CU14" t="s">
        <v>862</v>
      </c>
      <c r="CV14" t="s">
        <v>769</v>
      </c>
      <c r="CW14" t="s">
        <v>731</v>
      </c>
      <c r="CY14">
        <v>1999</v>
      </c>
      <c r="CZ14" t="s">
        <v>670</v>
      </c>
      <c r="DA14" t="s">
        <v>196</v>
      </c>
      <c r="DB14">
        <v>120207</v>
      </c>
      <c r="DC14">
        <v>5</v>
      </c>
      <c r="DD14" t="s">
        <v>699</v>
      </c>
      <c r="DE14" t="s">
        <v>669</v>
      </c>
      <c r="DF14">
        <v>41381376</v>
      </c>
      <c r="DG14" t="s">
        <v>863</v>
      </c>
      <c r="DH14" t="s">
        <v>669</v>
      </c>
      <c r="DI14">
        <v>-1</v>
      </c>
      <c r="DJ14">
        <v>-1</v>
      </c>
    </row>
    <row r="15" spans="1:115">
      <c r="A15" t="s">
        <v>16</v>
      </c>
      <c r="B15" t="s">
        <v>667</v>
      </c>
      <c r="C15" t="b">
        <v>0</v>
      </c>
      <c r="D15" t="b">
        <v>0</v>
      </c>
      <c r="E15" t="b">
        <v>0</v>
      </c>
      <c r="H15" t="b">
        <v>0</v>
      </c>
      <c r="I15" t="b">
        <v>0</v>
      </c>
      <c r="J15" t="b">
        <v>0</v>
      </c>
      <c r="K15" t="s">
        <v>193</v>
      </c>
      <c r="Q15" t="b">
        <v>0</v>
      </c>
      <c r="S15" t="b">
        <v>0</v>
      </c>
      <c r="T15" t="b">
        <v>0</v>
      </c>
      <c r="U15">
        <v>729</v>
      </c>
      <c r="W15" t="s">
        <v>668</v>
      </c>
      <c r="X15" t="s">
        <v>193</v>
      </c>
      <c r="Y15" t="s">
        <v>669</v>
      </c>
      <c r="Z15" t="s">
        <v>193</v>
      </c>
      <c r="AB15" t="b">
        <v>1</v>
      </c>
      <c r="AC15" t="s">
        <v>206</v>
      </c>
      <c r="AD15" t="s">
        <v>822</v>
      </c>
      <c r="AE15" t="s">
        <v>671</v>
      </c>
      <c r="AF15" t="s">
        <v>864</v>
      </c>
      <c r="AG15" t="s">
        <v>227</v>
      </c>
      <c r="AH15" t="s">
        <v>865</v>
      </c>
      <c r="AI15" t="s">
        <v>267</v>
      </c>
      <c r="AJ15" t="s">
        <v>673</v>
      </c>
      <c r="AK15">
        <v>758470420160203</v>
      </c>
      <c r="AL15" t="s">
        <v>670</v>
      </c>
      <c r="AM15" t="s">
        <v>674</v>
      </c>
      <c r="AN15" t="s">
        <v>197</v>
      </c>
      <c r="AO15" t="s">
        <v>866</v>
      </c>
      <c r="AP15" t="s">
        <v>676</v>
      </c>
      <c r="AQ15" t="s">
        <v>677</v>
      </c>
      <c r="AR15" t="s">
        <v>678</v>
      </c>
      <c r="AS15" t="s">
        <v>268</v>
      </c>
      <c r="AT15">
        <v>2052</v>
      </c>
      <c r="AU15" t="s">
        <v>669</v>
      </c>
      <c r="AV15">
        <v>60000</v>
      </c>
      <c r="AW15">
        <v>36</v>
      </c>
      <c r="AY15">
        <v>100000</v>
      </c>
      <c r="AZ15">
        <v>60</v>
      </c>
      <c r="BA15" t="b">
        <v>0</v>
      </c>
      <c r="BB15" t="s">
        <v>867</v>
      </c>
      <c r="BC15" t="b">
        <v>1</v>
      </c>
      <c r="BD15" t="b">
        <v>1</v>
      </c>
      <c r="BE15" t="s">
        <v>680</v>
      </c>
      <c r="BF15">
        <v>0</v>
      </c>
      <c r="BG15">
        <v>0</v>
      </c>
      <c r="BH15" t="s">
        <v>681</v>
      </c>
      <c r="BI15" t="s">
        <v>682</v>
      </c>
      <c r="BJ15" t="b">
        <v>1</v>
      </c>
      <c r="BK15" t="b">
        <v>0</v>
      </c>
      <c r="BL15" t="s">
        <v>868</v>
      </c>
      <c r="BM15" t="s">
        <v>2</v>
      </c>
      <c r="BN15" t="s">
        <v>684</v>
      </c>
      <c r="BP15" t="s">
        <v>685</v>
      </c>
      <c r="BQ15" t="b">
        <v>0</v>
      </c>
      <c r="BS15" t="s">
        <v>869</v>
      </c>
      <c r="BT15" t="s">
        <v>870</v>
      </c>
      <c r="BU15" t="b">
        <v>0</v>
      </c>
      <c r="BV15" t="s">
        <v>871</v>
      </c>
      <c r="BW15">
        <v>0</v>
      </c>
      <c r="BX15">
        <v>35</v>
      </c>
      <c r="BY15" t="b">
        <v>0</v>
      </c>
      <c r="BZ15" t="s">
        <v>872</v>
      </c>
      <c r="CA15" t="s">
        <v>193</v>
      </c>
      <c r="CB15" t="s">
        <v>873</v>
      </c>
      <c r="CC15" t="s">
        <v>691</v>
      </c>
      <c r="CD15" t="s">
        <v>669</v>
      </c>
      <c r="CH15" t="s">
        <v>692</v>
      </c>
      <c r="CI15" t="b">
        <v>0</v>
      </c>
      <c r="CJ15" t="s">
        <v>693</v>
      </c>
      <c r="CK15" t="s">
        <v>193</v>
      </c>
      <c r="CL15" t="s">
        <v>694</v>
      </c>
      <c r="CM15" t="s">
        <v>695</v>
      </c>
      <c r="CN15" t="s">
        <v>2</v>
      </c>
      <c r="CO15" t="b">
        <v>0</v>
      </c>
      <c r="CT15" t="b">
        <v>0</v>
      </c>
      <c r="CU15" t="s">
        <v>874</v>
      </c>
      <c r="CV15" t="s">
        <v>697</v>
      </c>
      <c r="CW15" t="s">
        <v>875</v>
      </c>
      <c r="CY15">
        <v>1591</v>
      </c>
      <c r="CZ15" t="s">
        <v>670</v>
      </c>
      <c r="DA15" t="s">
        <v>196</v>
      </c>
      <c r="DB15">
        <v>156917</v>
      </c>
      <c r="DC15">
        <v>5</v>
      </c>
      <c r="DD15" t="s">
        <v>699</v>
      </c>
      <c r="DE15" t="s">
        <v>669</v>
      </c>
      <c r="DF15">
        <v>41383463</v>
      </c>
      <c r="DG15" t="s">
        <v>876</v>
      </c>
      <c r="DH15" t="s">
        <v>669</v>
      </c>
      <c r="DI15">
        <v>-1</v>
      </c>
      <c r="DJ15">
        <v>-1</v>
      </c>
    </row>
    <row r="16" spans="1:115">
      <c r="A16" t="s">
        <v>17</v>
      </c>
      <c r="B16" t="s">
        <v>667</v>
      </c>
      <c r="C16" t="b">
        <v>0</v>
      </c>
      <c r="D16" t="b">
        <v>0</v>
      </c>
      <c r="E16" t="b">
        <v>0</v>
      </c>
      <c r="H16" t="b">
        <v>0</v>
      </c>
      <c r="I16" t="b">
        <v>0</v>
      </c>
      <c r="J16" t="b">
        <v>0</v>
      </c>
      <c r="K16" t="s">
        <v>193</v>
      </c>
      <c r="Q16" t="b">
        <v>0</v>
      </c>
      <c r="S16" t="b">
        <v>0</v>
      </c>
      <c r="T16" t="b">
        <v>0</v>
      </c>
      <c r="U16">
        <v>1069</v>
      </c>
      <c r="W16" t="s">
        <v>668</v>
      </c>
      <c r="X16" t="s">
        <v>193</v>
      </c>
      <c r="Y16" t="s">
        <v>669</v>
      </c>
      <c r="Z16" t="s">
        <v>193</v>
      </c>
      <c r="AB16" t="b">
        <v>1</v>
      </c>
      <c r="AC16" t="s">
        <v>206</v>
      </c>
      <c r="AD16" t="s">
        <v>670</v>
      </c>
      <c r="AE16" t="s">
        <v>744</v>
      </c>
      <c r="AF16" t="s">
        <v>877</v>
      </c>
      <c r="AG16" t="s">
        <v>271</v>
      </c>
      <c r="AH16" t="s">
        <v>703</v>
      </c>
      <c r="AI16" t="s">
        <v>204</v>
      </c>
      <c r="AJ16" t="s">
        <v>673</v>
      </c>
      <c r="AK16">
        <v>727749020160101</v>
      </c>
      <c r="AL16" t="s">
        <v>670</v>
      </c>
      <c r="AM16" t="s">
        <v>674</v>
      </c>
      <c r="AN16" t="s">
        <v>197</v>
      </c>
      <c r="AO16" t="s">
        <v>704</v>
      </c>
      <c r="AP16" t="s">
        <v>705</v>
      </c>
      <c r="AQ16" t="s">
        <v>706</v>
      </c>
      <c r="AR16" t="s">
        <v>707</v>
      </c>
      <c r="AS16" t="s">
        <v>208</v>
      </c>
      <c r="AT16">
        <v>3318</v>
      </c>
      <c r="AU16" t="s">
        <v>669</v>
      </c>
      <c r="AV16">
        <v>60000</v>
      </c>
      <c r="AW16">
        <v>36</v>
      </c>
      <c r="AY16">
        <v>100000</v>
      </c>
      <c r="AZ16">
        <v>60</v>
      </c>
      <c r="BA16" t="b">
        <v>0</v>
      </c>
      <c r="BB16" t="s">
        <v>878</v>
      </c>
      <c r="BC16" t="b">
        <v>1</v>
      </c>
      <c r="BD16" t="b">
        <v>1</v>
      </c>
      <c r="BE16" t="s">
        <v>680</v>
      </c>
      <c r="BF16">
        <v>0</v>
      </c>
      <c r="BG16">
        <v>0</v>
      </c>
      <c r="BH16" t="s">
        <v>681</v>
      </c>
      <c r="BI16" t="s">
        <v>682</v>
      </c>
      <c r="BJ16" t="b">
        <v>1</v>
      </c>
      <c r="BK16" t="b">
        <v>0</v>
      </c>
      <c r="BL16" t="s">
        <v>879</v>
      </c>
      <c r="BM16" t="s">
        <v>2</v>
      </c>
      <c r="BN16" t="s">
        <v>684</v>
      </c>
      <c r="BP16" t="s">
        <v>685</v>
      </c>
      <c r="BQ16" t="b">
        <v>0</v>
      </c>
      <c r="BS16" t="s">
        <v>880</v>
      </c>
      <c r="BT16" t="s">
        <v>880</v>
      </c>
      <c r="BU16" t="b">
        <v>0</v>
      </c>
      <c r="BV16" t="s">
        <v>881</v>
      </c>
      <c r="BW16">
        <v>0</v>
      </c>
      <c r="BX16">
        <v>20</v>
      </c>
      <c r="BY16" t="b">
        <v>0</v>
      </c>
      <c r="BZ16" t="s">
        <v>882</v>
      </c>
      <c r="CA16" t="s">
        <v>193</v>
      </c>
      <c r="CB16" t="s">
        <v>883</v>
      </c>
      <c r="CC16" t="s">
        <v>193</v>
      </c>
      <c r="CD16" t="s">
        <v>669</v>
      </c>
      <c r="CH16" t="s">
        <v>692</v>
      </c>
      <c r="CI16" t="b">
        <v>0</v>
      </c>
      <c r="CJ16" t="s">
        <v>693</v>
      </c>
      <c r="CK16" t="s">
        <v>193</v>
      </c>
      <c r="CL16" t="s">
        <v>694</v>
      </c>
      <c r="CM16" t="s">
        <v>695</v>
      </c>
      <c r="CN16" t="s">
        <v>2</v>
      </c>
      <c r="CO16" t="b">
        <v>0</v>
      </c>
      <c r="CT16" t="b">
        <v>0</v>
      </c>
      <c r="CU16" t="s">
        <v>884</v>
      </c>
      <c r="CV16" t="s">
        <v>716</v>
      </c>
      <c r="CW16" t="s">
        <v>875</v>
      </c>
      <c r="CY16">
        <v>1995</v>
      </c>
      <c r="CZ16" t="s">
        <v>671</v>
      </c>
      <c r="DA16" t="s">
        <v>207</v>
      </c>
      <c r="DB16">
        <v>147123</v>
      </c>
      <c r="DC16">
        <v>5</v>
      </c>
      <c r="DD16" t="s">
        <v>699</v>
      </c>
      <c r="DE16" t="s">
        <v>669</v>
      </c>
      <c r="DF16">
        <v>41395915</v>
      </c>
      <c r="DG16" t="s">
        <v>885</v>
      </c>
      <c r="DH16" t="s">
        <v>669</v>
      </c>
      <c r="DI16">
        <v>-1</v>
      </c>
      <c r="DJ16">
        <v>-1</v>
      </c>
    </row>
    <row r="17" spans="1:115">
      <c r="A17" t="s">
        <v>18</v>
      </c>
      <c r="B17" t="s">
        <v>667</v>
      </c>
      <c r="C17" t="b">
        <v>0</v>
      </c>
      <c r="D17" t="b">
        <v>0</v>
      </c>
      <c r="E17" t="b">
        <v>0</v>
      </c>
      <c r="H17" t="b">
        <v>0</v>
      </c>
      <c r="I17" t="b">
        <v>0</v>
      </c>
      <c r="J17" t="b">
        <v>0</v>
      </c>
      <c r="K17" t="s">
        <v>193</v>
      </c>
      <c r="Q17" t="b">
        <v>0</v>
      </c>
      <c r="S17" t="b">
        <v>0</v>
      </c>
      <c r="T17" t="b">
        <v>0</v>
      </c>
      <c r="U17">
        <v>7100</v>
      </c>
      <c r="W17" t="s">
        <v>668</v>
      </c>
      <c r="X17" t="s">
        <v>193</v>
      </c>
      <c r="Y17" t="s">
        <v>669</v>
      </c>
      <c r="Z17" t="s">
        <v>193</v>
      </c>
      <c r="AB17" t="b">
        <v>1</v>
      </c>
      <c r="AC17" t="s">
        <v>276</v>
      </c>
      <c r="AD17" t="s">
        <v>701</v>
      </c>
      <c r="AE17" t="s">
        <v>670</v>
      </c>
      <c r="AF17" t="s">
        <v>886</v>
      </c>
      <c r="AG17" t="s">
        <v>275</v>
      </c>
      <c r="AH17" t="s">
        <v>887</v>
      </c>
      <c r="AI17" t="s">
        <v>274</v>
      </c>
      <c r="AJ17" t="s">
        <v>673</v>
      </c>
      <c r="AK17">
        <v>8.2557282025010309E+18</v>
      </c>
      <c r="AL17" t="s">
        <v>670</v>
      </c>
      <c r="AM17" t="s">
        <v>674</v>
      </c>
      <c r="AN17" t="s">
        <v>197</v>
      </c>
      <c r="AO17" t="s">
        <v>888</v>
      </c>
      <c r="AP17" t="s">
        <v>889</v>
      </c>
      <c r="AQ17" t="s">
        <v>890</v>
      </c>
      <c r="AR17" t="s">
        <v>277</v>
      </c>
      <c r="AS17" t="s">
        <v>277</v>
      </c>
      <c r="AT17">
        <v>4417</v>
      </c>
      <c r="AU17" t="s">
        <v>669</v>
      </c>
      <c r="AV17">
        <v>60000</v>
      </c>
      <c r="AW17">
        <v>36</v>
      </c>
      <c r="AY17">
        <v>100000</v>
      </c>
      <c r="AZ17">
        <v>60</v>
      </c>
      <c r="BA17" t="b">
        <v>0</v>
      </c>
      <c r="BB17" t="s">
        <v>891</v>
      </c>
      <c r="BC17" t="b">
        <v>1</v>
      </c>
      <c r="BD17" t="b">
        <v>1</v>
      </c>
      <c r="BE17" t="s">
        <v>680</v>
      </c>
      <c r="BF17">
        <v>0</v>
      </c>
      <c r="BG17">
        <v>0</v>
      </c>
      <c r="BH17" t="s">
        <v>892</v>
      </c>
      <c r="BI17" t="s">
        <v>682</v>
      </c>
      <c r="BJ17" t="b">
        <v>0</v>
      </c>
      <c r="BK17" t="b">
        <v>0</v>
      </c>
      <c r="BL17" t="s">
        <v>893</v>
      </c>
      <c r="BM17" t="s">
        <v>19</v>
      </c>
      <c r="BN17" t="s">
        <v>684</v>
      </c>
      <c r="BP17" t="s">
        <v>894</v>
      </c>
      <c r="BQ17" t="b">
        <v>0</v>
      </c>
      <c r="BS17" t="s">
        <v>895</v>
      </c>
      <c r="BT17" t="s">
        <v>895</v>
      </c>
      <c r="BU17" t="b">
        <v>0</v>
      </c>
      <c r="BV17" t="s">
        <v>896</v>
      </c>
      <c r="BW17">
        <v>0</v>
      </c>
      <c r="BX17">
        <v>115</v>
      </c>
      <c r="BY17" t="b">
        <v>0</v>
      </c>
      <c r="BZ17" t="s">
        <v>193</v>
      </c>
      <c r="CA17" t="s">
        <v>193</v>
      </c>
      <c r="CB17" t="s">
        <v>897</v>
      </c>
      <c r="CC17" t="s">
        <v>193</v>
      </c>
      <c r="CD17" t="s">
        <v>669</v>
      </c>
      <c r="CO17" t="b">
        <v>0</v>
      </c>
      <c r="CT17" t="b">
        <v>0</v>
      </c>
      <c r="CU17" t="s">
        <v>898</v>
      </c>
      <c r="CV17" t="s">
        <v>786</v>
      </c>
      <c r="CW17" t="s">
        <v>819</v>
      </c>
      <c r="CY17">
        <v>2199</v>
      </c>
      <c r="CZ17" t="s">
        <v>671</v>
      </c>
      <c r="DA17" t="s">
        <v>207</v>
      </c>
      <c r="DB17">
        <v>2164</v>
      </c>
      <c r="DC17">
        <v>7</v>
      </c>
      <c r="DD17" t="s">
        <v>699</v>
      </c>
      <c r="DE17" t="s">
        <v>669</v>
      </c>
      <c r="DF17">
        <v>41309179</v>
      </c>
      <c r="DG17" t="s">
        <v>899</v>
      </c>
      <c r="DH17" t="s">
        <v>669</v>
      </c>
      <c r="DI17">
        <v>-1</v>
      </c>
      <c r="DJ17">
        <v>-1</v>
      </c>
    </row>
    <row r="18" spans="1:115">
      <c r="A18" t="s">
        <v>20</v>
      </c>
      <c r="B18" t="s">
        <v>667</v>
      </c>
      <c r="C18" t="b">
        <v>0</v>
      </c>
      <c r="D18" t="b">
        <v>0</v>
      </c>
      <c r="E18" t="b">
        <v>0</v>
      </c>
      <c r="H18" t="b">
        <v>0</v>
      </c>
      <c r="I18" t="b">
        <v>0</v>
      </c>
      <c r="J18" t="b">
        <v>0</v>
      </c>
      <c r="K18" t="s">
        <v>193</v>
      </c>
      <c r="Q18" t="b">
        <v>0</v>
      </c>
      <c r="S18" t="b">
        <v>0</v>
      </c>
      <c r="T18" t="b">
        <v>0</v>
      </c>
      <c r="U18">
        <v>3890</v>
      </c>
      <c r="W18" t="s">
        <v>668</v>
      </c>
      <c r="X18" t="s">
        <v>193</v>
      </c>
      <c r="Y18" t="s">
        <v>669</v>
      </c>
      <c r="Z18" t="s">
        <v>193</v>
      </c>
      <c r="AB18" t="b">
        <v>1</v>
      </c>
      <c r="AC18" t="s">
        <v>260</v>
      </c>
      <c r="AD18" t="s">
        <v>701</v>
      </c>
      <c r="AE18" t="s">
        <v>671</v>
      </c>
      <c r="AF18" t="s">
        <v>900</v>
      </c>
      <c r="AG18" t="s">
        <v>281</v>
      </c>
      <c r="AH18" t="s">
        <v>901</v>
      </c>
      <c r="AI18" t="s">
        <v>280</v>
      </c>
      <c r="AJ18" t="s">
        <v>673</v>
      </c>
      <c r="AK18">
        <v>8.0688792018121114E+18</v>
      </c>
      <c r="AL18" t="s">
        <v>670</v>
      </c>
      <c r="AM18" t="s">
        <v>674</v>
      </c>
      <c r="AN18" t="s">
        <v>197</v>
      </c>
      <c r="AO18" t="s">
        <v>902</v>
      </c>
      <c r="AP18" t="s">
        <v>903</v>
      </c>
      <c r="AQ18" t="s">
        <v>904</v>
      </c>
      <c r="AR18" t="s">
        <v>282</v>
      </c>
      <c r="AS18" t="s">
        <v>282</v>
      </c>
      <c r="AT18">
        <v>4408</v>
      </c>
      <c r="AU18" t="s">
        <v>669</v>
      </c>
      <c r="AV18">
        <v>60000</v>
      </c>
      <c r="AW18">
        <v>36</v>
      </c>
      <c r="AY18">
        <v>100000</v>
      </c>
      <c r="AZ18">
        <v>60</v>
      </c>
      <c r="BA18" t="b">
        <v>0</v>
      </c>
      <c r="BB18" t="s">
        <v>847</v>
      </c>
      <c r="BC18" t="b">
        <v>1</v>
      </c>
      <c r="BD18" t="b">
        <v>1</v>
      </c>
      <c r="BE18" t="s">
        <v>680</v>
      </c>
      <c r="BF18">
        <v>0</v>
      </c>
      <c r="BG18">
        <v>0</v>
      </c>
      <c r="BH18" t="s">
        <v>892</v>
      </c>
      <c r="BI18" t="s">
        <v>682</v>
      </c>
      <c r="BJ18" t="b">
        <v>0</v>
      </c>
      <c r="BK18" t="b">
        <v>0</v>
      </c>
      <c r="BL18" t="s">
        <v>905</v>
      </c>
      <c r="BM18" t="s">
        <v>19</v>
      </c>
      <c r="BN18" t="s">
        <v>684</v>
      </c>
      <c r="BP18" t="s">
        <v>894</v>
      </c>
      <c r="BQ18" t="b">
        <v>0</v>
      </c>
      <c r="BS18" t="s">
        <v>906</v>
      </c>
      <c r="BT18" t="s">
        <v>907</v>
      </c>
      <c r="BU18" t="b">
        <v>0</v>
      </c>
      <c r="BV18" t="s">
        <v>908</v>
      </c>
      <c r="BW18">
        <v>2</v>
      </c>
      <c r="BX18">
        <v>1243</v>
      </c>
      <c r="BY18" t="b">
        <v>0</v>
      </c>
      <c r="BZ18" t="s">
        <v>193</v>
      </c>
      <c r="CA18" t="s">
        <v>193</v>
      </c>
      <c r="CB18" t="s">
        <v>909</v>
      </c>
      <c r="CC18" t="s">
        <v>193</v>
      </c>
      <c r="CD18" t="s">
        <v>669</v>
      </c>
      <c r="CO18" t="b">
        <v>0</v>
      </c>
      <c r="CT18" t="b">
        <v>0</v>
      </c>
      <c r="CU18" t="s">
        <v>910</v>
      </c>
      <c r="CV18" t="s">
        <v>716</v>
      </c>
      <c r="CW18" t="s">
        <v>698</v>
      </c>
      <c r="CY18">
        <v>2199</v>
      </c>
      <c r="CZ18" t="s">
        <v>671</v>
      </c>
      <c r="DA18" t="s">
        <v>207</v>
      </c>
      <c r="DB18">
        <v>22589</v>
      </c>
      <c r="DC18">
        <v>8</v>
      </c>
      <c r="DD18" t="s">
        <v>699</v>
      </c>
      <c r="DE18" t="s">
        <v>669</v>
      </c>
      <c r="DF18">
        <v>40740292</v>
      </c>
      <c r="DG18" t="s">
        <v>911</v>
      </c>
      <c r="DH18" t="s">
        <v>669</v>
      </c>
      <c r="DI18">
        <v>-1</v>
      </c>
      <c r="DJ18">
        <v>-1</v>
      </c>
    </row>
    <row r="19" spans="1:115">
      <c r="A19" t="s">
        <v>21</v>
      </c>
      <c r="B19" t="s">
        <v>667</v>
      </c>
      <c r="C19" t="b">
        <v>1</v>
      </c>
      <c r="D19" t="b">
        <v>1</v>
      </c>
      <c r="E19" t="b">
        <v>0</v>
      </c>
      <c r="H19" t="b">
        <v>0</v>
      </c>
      <c r="I19" t="b">
        <v>0</v>
      </c>
      <c r="J19" t="b">
        <v>1</v>
      </c>
      <c r="K19" t="s">
        <v>193</v>
      </c>
      <c r="Q19" t="b">
        <v>0</v>
      </c>
      <c r="S19" t="b">
        <v>0</v>
      </c>
      <c r="T19" t="b">
        <v>1</v>
      </c>
      <c r="U19">
        <v>1240</v>
      </c>
      <c r="W19" t="s">
        <v>668</v>
      </c>
      <c r="X19" t="s">
        <v>788</v>
      </c>
      <c r="Y19" t="s">
        <v>669</v>
      </c>
      <c r="Z19" t="s">
        <v>193</v>
      </c>
      <c r="AA19" t="s">
        <v>789</v>
      </c>
      <c r="AB19" t="b">
        <v>1</v>
      </c>
      <c r="AC19" t="s">
        <v>286</v>
      </c>
      <c r="AD19" t="s">
        <v>671</v>
      </c>
      <c r="AE19" t="s">
        <v>671</v>
      </c>
      <c r="AF19" t="s">
        <v>756</v>
      </c>
      <c r="AG19" t="s">
        <v>227</v>
      </c>
      <c r="AH19" t="s">
        <v>912</v>
      </c>
      <c r="AI19" t="s">
        <v>285</v>
      </c>
      <c r="AJ19" t="s">
        <v>673</v>
      </c>
      <c r="AK19">
        <v>758470320160428</v>
      </c>
      <c r="AL19" t="s">
        <v>670</v>
      </c>
      <c r="AM19" t="s">
        <v>674</v>
      </c>
      <c r="AN19" t="s">
        <v>197</v>
      </c>
      <c r="AO19" t="s">
        <v>866</v>
      </c>
      <c r="AP19" t="s">
        <v>676</v>
      </c>
      <c r="AQ19" t="s">
        <v>677</v>
      </c>
      <c r="AR19" t="s">
        <v>678</v>
      </c>
      <c r="AS19" t="s">
        <v>268</v>
      </c>
      <c r="AT19">
        <v>1878</v>
      </c>
      <c r="AU19" t="s">
        <v>669</v>
      </c>
      <c r="AV19">
        <v>60000</v>
      </c>
      <c r="AW19">
        <v>36</v>
      </c>
      <c r="AY19">
        <v>100000</v>
      </c>
      <c r="AZ19">
        <v>60</v>
      </c>
      <c r="BA19" t="b">
        <v>0</v>
      </c>
      <c r="BB19" t="s">
        <v>913</v>
      </c>
      <c r="BC19" t="b">
        <v>1</v>
      </c>
      <c r="BD19" t="b">
        <v>1</v>
      </c>
      <c r="BE19" t="s">
        <v>914</v>
      </c>
      <c r="BF19">
        <v>0</v>
      </c>
      <c r="BG19">
        <v>0</v>
      </c>
      <c r="BH19" t="s">
        <v>915</v>
      </c>
      <c r="BI19" t="s">
        <v>682</v>
      </c>
      <c r="BJ19" t="b">
        <v>1</v>
      </c>
      <c r="BK19" t="b">
        <v>0</v>
      </c>
      <c r="BL19" t="s">
        <v>916</v>
      </c>
      <c r="BM19" t="s">
        <v>22</v>
      </c>
      <c r="BN19" t="s">
        <v>684</v>
      </c>
      <c r="BP19" t="s">
        <v>917</v>
      </c>
      <c r="BQ19" t="b">
        <v>0</v>
      </c>
      <c r="BR19">
        <v>41243224</v>
      </c>
      <c r="BS19" t="s">
        <v>918</v>
      </c>
      <c r="BT19" t="s">
        <v>919</v>
      </c>
      <c r="BU19" t="b">
        <v>0</v>
      </c>
      <c r="BV19" t="s">
        <v>920</v>
      </c>
      <c r="BW19">
        <v>4</v>
      </c>
      <c r="BX19">
        <v>423</v>
      </c>
      <c r="BY19" t="b">
        <v>1</v>
      </c>
      <c r="BZ19" t="s">
        <v>921</v>
      </c>
      <c r="CA19" t="s">
        <v>193</v>
      </c>
      <c r="CB19" t="s">
        <v>922</v>
      </c>
      <c r="CC19" t="s">
        <v>193</v>
      </c>
      <c r="CD19" t="s">
        <v>669</v>
      </c>
      <c r="CH19" t="s">
        <v>923</v>
      </c>
      <c r="CI19" t="b">
        <v>0</v>
      </c>
      <c r="CJ19" t="s">
        <v>924</v>
      </c>
      <c r="CK19" t="s">
        <v>193</v>
      </c>
      <c r="CL19" t="s">
        <v>925</v>
      </c>
      <c r="CM19" t="s">
        <v>926</v>
      </c>
      <c r="CN19" t="s">
        <v>22</v>
      </c>
      <c r="CO19" t="b">
        <v>1</v>
      </c>
      <c r="CT19" t="b">
        <v>0</v>
      </c>
      <c r="CU19" t="s">
        <v>927</v>
      </c>
      <c r="CV19" t="s">
        <v>697</v>
      </c>
      <c r="CW19" t="s">
        <v>731</v>
      </c>
      <c r="CY19">
        <v>1591</v>
      </c>
      <c r="CZ19" t="s">
        <v>670</v>
      </c>
      <c r="DA19" t="s">
        <v>196</v>
      </c>
      <c r="DB19">
        <v>50046</v>
      </c>
      <c r="DC19">
        <v>5</v>
      </c>
      <c r="DD19" t="s">
        <v>699</v>
      </c>
      <c r="DE19" t="s">
        <v>669</v>
      </c>
      <c r="DF19">
        <v>41241229</v>
      </c>
      <c r="DG19" t="s">
        <v>928</v>
      </c>
      <c r="DH19" t="s">
        <v>669</v>
      </c>
      <c r="DI19">
        <v>1</v>
      </c>
      <c r="DJ19">
        <v>-1</v>
      </c>
      <c r="DK19" t="s">
        <v>929</v>
      </c>
    </row>
    <row r="20" spans="1:115">
      <c r="A20" t="s">
        <v>23</v>
      </c>
      <c r="B20" t="s">
        <v>667</v>
      </c>
      <c r="C20" t="b">
        <v>0</v>
      </c>
      <c r="D20" t="b">
        <v>1</v>
      </c>
      <c r="E20" t="b">
        <v>0</v>
      </c>
      <c r="H20" t="b">
        <v>0</v>
      </c>
      <c r="I20" t="b">
        <v>0</v>
      </c>
      <c r="J20" t="b">
        <v>0</v>
      </c>
      <c r="K20" t="s">
        <v>193</v>
      </c>
      <c r="Q20" t="b">
        <v>0</v>
      </c>
      <c r="S20" t="b">
        <v>0</v>
      </c>
      <c r="T20" t="b">
        <v>0</v>
      </c>
      <c r="U20">
        <v>2580</v>
      </c>
      <c r="W20" t="s">
        <v>668</v>
      </c>
      <c r="X20" t="s">
        <v>244</v>
      </c>
      <c r="Y20" t="s">
        <v>669</v>
      </c>
      <c r="Z20" t="s">
        <v>193</v>
      </c>
      <c r="AA20" t="s">
        <v>832</v>
      </c>
      <c r="AB20" t="b">
        <v>1</v>
      </c>
      <c r="AC20" t="s">
        <v>195</v>
      </c>
      <c r="AD20" t="s">
        <v>670</v>
      </c>
      <c r="AE20" t="s">
        <v>670</v>
      </c>
      <c r="AF20" t="s">
        <v>672</v>
      </c>
      <c r="AG20" t="s">
        <v>192</v>
      </c>
      <c r="AH20" t="s">
        <v>930</v>
      </c>
      <c r="AI20" t="s">
        <v>290</v>
      </c>
      <c r="AJ20" t="s">
        <v>673</v>
      </c>
      <c r="AK20">
        <v>766756920210101</v>
      </c>
      <c r="AL20" t="s">
        <v>670</v>
      </c>
      <c r="AM20" t="s">
        <v>674</v>
      </c>
      <c r="AN20" t="s">
        <v>197</v>
      </c>
      <c r="AO20" t="s">
        <v>931</v>
      </c>
      <c r="AP20" t="s">
        <v>932</v>
      </c>
      <c r="AQ20" t="s">
        <v>933</v>
      </c>
      <c r="AR20" t="s">
        <v>934</v>
      </c>
      <c r="AS20" t="s">
        <v>291</v>
      </c>
      <c r="AT20">
        <v>2435</v>
      </c>
      <c r="AU20" t="s">
        <v>669</v>
      </c>
      <c r="AV20">
        <v>60000</v>
      </c>
      <c r="AW20">
        <v>36</v>
      </c>
      <c r="AY20">
        <v>100000</v>
      </c>
      <c r="AZ20">
        <v>60</v>
      </c>
      <c r="BA20" t="b">
        <v>0</v>
      </c>
      <c r="BB20" t="s">
        <v>935</v>
      </c>
      <c r="BC20" t="b">
        <v>1</v>
      </c>
      <c r="BD20" t="b">
        <v>1</v>
      </c>
      <c r="BE20" t="s">
        <v>914</v>
      </c>
      <c r="BF20">
        <v>0</v>
      </c>
      <c r="BG20">
        <v>0</v>
      </c>
      <c r="BH20" t="s">
        <v>936</v>
      </c>
      <c r="BI20" t="s">
        <v>682</v>
      </c>
      <c r="BJ20" t="b">
        <v>1</v>
      </c>
      <c r="BK20" t="b">
        <v>0</v>
      </c>
      <c r="BL20" t="s">
        <v>937</v>
      </c>
      <c r="BM20" t="s">
        <v>24</v>
      </c>
      <c r="BN20" t="s">
        <v>684</v>
      </c>
      <c r="BP20" t="s">
        <v>938</v>
      </c>
      <c r="BQ20" t="b">
        <v>0</v>
      </c>
      <c r="BS20" t="s">
        <v>939</v>
      </c>
      <c r="BT20" t="s">
        <v>940</v>
      </c>
      <c r="BU20" t="b">
        <v>0</v>
      </c>
      <c r="BV20" t="s">
        <v>941</v>
      </c>
      <c r="BW20">
        <v>0</v>
      </c>
      <c r="BX20">
        <v>75</v>
      </c>
      <c r="BY20" t="b">
        <v>1</v>
      </c>
      <c r="BZ20" t="s">
        <v>942</v>
      </c>
      <c r="CA20" t="s">
        <v>193</v>
      </c>
      <c r="CB20" t="s">
        <v>943</v>
      </c>
      <c r="CC20" t="s">
        <v>193</v>
      </c>
      <c r="CD20" t="s">
        <v>669</v>
      </c>
      <c r="CH20" t="s">
        <v>944</v>
      </c>
      <c r="CI20" t="b">
        <v>0</v>
      </c>
      <c r="CJ20" t="s">
        <v>945</v>
      </c>
      <c r="CK20" t="s">
        <v>193</v>
      </c>
      <c r="CL20" t="s">
        <v>946</v>
      </c>
      <c r="CM20" t="s">
        <v>947</v>
      </c>
      <c r="CN20" t="s">
        <v>24</v>
      </c>
      <c r="CO20" t="b">
        <v>1</v>
      </c>
      <c r="CT20" t="b">
        <v>0</v>
      </c>
      <c r="CU20" t="s">
        <v>948</v>
      </c>
      <c r="CV20" t="s">
        <v>716</v>
      </c>
      <c r="CW20" t="s">
        <v>731</v>
      </c>
      <c r="CY20">
        <v>1598</v>
      </c>
      <c r="CZ20" t="s">
        <v>670</v>
      </c>
      <c r="DA20" t="s">
        <v>196</v>
      </c>
      <c r="DB20">
        <v>26664</v>
      </c>
      <c r="DC20">
        <v>5</v>
      </c>
      <c r="DD20" t="s">
        <v>699</v>
      </c>
      <c r="DE20" t="s">
        <v>669</v>
      </c>
      <c r="DF20">
        <v>41285668</v>
      </c>
      <c r="DG20" t="s">
        <v>949</v>
      </c>
      <c r="DH20" t="s">
        <v>669</v>
      </c>
      <c r="DI20">
        <v>0</v>
      </c>
      <c r="DJ20">
        <v>-1</v>
      </c>
      <c r="DK20" t="s">
        <v>950</v>
      </c>
    </row>
    <row r="21" spans="1:115">
      <c r="A21" t="s">
        <v>25</v>
      </c>
      <c r="B21" t="s">
        <v>667</v>
      </c>
      <c r="C21" t="b">
        <v>0</v>
      </c>
      <c r="D21" t="b">
        <v>1</v>
      </c>
      <c r="E21" t="b">
        <v>0</v>
      </c>
      <c r="H21" t="b">
        <v>0</v>
      </c>
      <c r="I21" t="b">
        <v>0</v>
      </c>
      <c r="J21" t="b">
        <v>0</v>
      </c>
      <c r="K21" t="s">
        <v>193</v>
      </c>
      <c r="Q21" t="b">
        <v>0</v>
      </c>
      <c r="S21" t="b">
        <v>0</v>
      </c>
      <c r="T21" t="b">
        <v>0</v>
      </c>
      <c r="U21">
        <v>1780</v>
      </c>
      <c r="W21" t="s">
        <v>668</v>
      </c>
      <c r="X21" t="s">
        <v>244</v>
      </c>
      <c r="Y21" t="s">
        <v>669</v>
      </c>
      <c r="Z21" t="s">
        <v>193</v>
      </c>
      <c r="AA21" t="s">
        <v>789</v>
      </c>
      <c r="AB21" t="b">
        <v>1</v>
      </c>
      <c r="AC21" t="s">
        <v>217</v>
      </c>
      <c r="AD21" t="s">
        <v>744</v>
      </c>
      <c r="AE21" t="s">
        <v>671</v>
      </c>
      <c r="AF21" t="s">
        <v>672</v>
      </c>
      <c r="AG21" t="s">
        <v>192</v>
      </c>
      <c r="AH21" t="s">
        <v>951</v>
      </c>
      <c r="AI21" t="s">
        <v>296</v>
      </c>
      <c r="AJ21" t="s">
        <v>673</v>
      </c>
      <c r="AK21">
        <v>747219120180807</v>
      </c>
      <c r="AL21" t="s">
        <v>670</v>
      </c>
      <c r="AM21" t="s">
        <v>674</v>
      </c>
      <c r="AN21" t="s">
        <v>197</v>
      </c>
      <c r="AO21" t="s">
        <v>952</v>
      </c>
      <c r="AP21" t="s">
        <v>932</v>
      </c>
      <c r="AQ21" t="s">
        <v>933</v>
      </c>
      <c r="AR21" t="s">
        <v>934</v>
      </c>
      <c r="AS21" t="s">
        <v>297</v>
      </c>
      <c r="AT21">
        <v>2508</v>
      </c>
      <c r="AU21" t="s">
        <v>669</v>
      </c>
      <c r="AV21">
        <v>60000</v>
      </c>
      <c r="AW21">
        <v>36</v>
      </c>
      <c r="AY21">
        <v>100000</v>
      </c>
      <c r="AZ21">
        <v>60</v>
      </c>
      <c r="BA21" t="b">
        <v>0</v>
      </c>
      <c r="BB21" t="s">
        <v>953</v>
      </c>
      <c r="BC21" t="b">
        <v>1</v>
      </c>
      <c r="BD21" t="b">
        <v>1</v>
      </c>
      <c r="BE21" t="s">
        <v>954</v>
      </c>
      <c r="BF21">
        <v>0</v>
      </c>
      <c r="BG21">
        <v>0</v>
      </c>
      <c r="BH21" t="s">
        <v>936</v>
      </c>
      <c r="BI21" t="s">
        <v>682</v>
      </c>
      <c r="BJ21" t="b">
        <v>1</v>
      </c>
      <c r="BK21" t="b">
        <v>0</v>
      </c>
      <c r="BL21" t="s">
        <v>955</v>
      </c>
      <c r="BM21" t="s">
        <v>24</v>
      </c>
      <c r="BN21" t="s">
        <v>684</v>
      </c>
      <c r="BP21" t="s">
        <v>956</v>
      </c>
      <c r="BQ21" t="b">
        <v>0</v>
      </c>
      <c r="BS21" t="s">
        <v>957</v>
      </c>
      <c r="BT21" t="s">
        <v>958</v>
      </c>
      <c r="BU21" t="b">
        <v>0</v>
      </c>
      <c r="BV21" t="s">
        <v>959</v>
      </c>
      <c r="BW21">
        <v>2</v>
      </c>
      <c r="BX21">
        <v>511</v>
      </c>
      <c r="BY21" t="b">
        <v>1</v>
      </c>
      <c r="BZ21" t="s">
        <v>960</v>
      </c>
      <c r="CA21" t="s">
        <v>193</v>
      </c>
      <c r="CB21" t="s">
        <v>961</v>
      </c>
      <c r="CC21" t="s">
        <v>193</v>
      </c>
      <c r="CD21" t="s">
        <v>669</v>
      </c>
      <c r="CH21" t="s">
        <v>944</v>
      </c>
      <c r="CI21" t="b">
        <v>0</v>
      </c>
      <c r="CJ21" t="s">
        <v>945</v>
      </c>
      <c r="CK21" t="s">
        <v>193</v>
      </c>
      <c r="CL21" t="s">
        <v>946</v>
      </c>
      <c r="CM21" t="s">
        <v>947</v>
      </c>
      <c r="CN21" t="s">
        <v>24</v>
      </c>
      <c r="CO21" t="b">
        <v>1</v>
      </c>
      <c r="CT21" t="b">
        <v>0</v>
      </c>
      <c r="CU21" t="s">
        <v>962</v>
      </c>
      <c r="CV21" t="s">
        <v>716</v>
      </c>
      <c r="CW21" t="s">
        <v>731</v>
      </c>
      <c r="CY21">
        <v>1598</v>
      </c>
      <c r="CZ21" t="s">
        <v>671</v>
      </c>
      <c r="DA21" t="s">
        <v>207</v>
      </c>
      <c r="DB21">
        <v>67968</v>
      </c>
      <c r="DC21">
        <v>5</v>
      </c>
      <c r="DD21" t="s">
        <v>699</v>
      </c>
      <c r="DE21" t="s">
        <v>669</v>
      </c>
      <c r="DF21">
        <v>41085806</v>
      </c>
      <c r="DG21" t="s">
        <v>963</v>
      </c>
      <c r="DH21" t="s">
        <v>669</v>
      </c>
      <c r="DI21">
        <v>0</v>
      </c>
      <c r="DJ21">
        <v>-1</v>
      </c>
      <c r="DK21" t="s">
        <v>964</v>
      </c>
    </row>
    <row r="22" spans="1:115">
      <c r="A22" t="s">
        <v>26</v>
      </c>
      <c r="B22" t="s">
        <v>667</v>
      </c>
      <c r="C22" t="b">
        <v>0</v>
      </c>
      <c r="D22" t="b">
        <v>1</v>
      </c>
      <c r="E22" t="b">
        <v>0</v>
      </c>
      <c r="H22" t="b">
        <v>1</v>
      </c>
      <c r="I22" t="b">
        <v>0</v>
      </c>
      <c r="J22" t="b">
        <v>0</v>
      </c>
      <c r="K22" t="s">
        <v>193</v>
      </c>
      <c r="Q22" t="b">
        <v>0</v>
      </c>
      <c r="S22" t="b">
        <v>0</v>
      </c>
      <c r="T22" t="b">
        <v>0</v>
      </c>
      <c r="U22">
        <v>2850</v>
      </c>
      <c r="W22" t="s">
        <v>668</v>
      </c>
      <c r="X22" t="s">
        <v>965</v>
      </c>
      <c r="Y22" t="s">
        <v>669</v>
      </c>
      <c r="Z22" t="s">
        <v>193</v>
      </c>
      <c r="AA22" t="s">
        <v>789</v>
      </c>
      <c r="AB22" t="b">
        <v>1</v>
      </c>
      <c r="AC22" t="s">
        <v>302</v>
      </c>
      <c r="AD22" t="s">
        <v>670</v>
      </c>
      <c r="AE22" t="s">
        <v>701</v>
      </c>
      <c r="AF22" t="s">
        <v>966</v>
      </c>
      <c r="AG22" t="s">
        <v>301</v>
      </c>
      <c r="AH22" t="s">
        <v>300</v>
      </c>
      <c r="AI22" t="s">
        <v>300</v>
      </c>
      <c r="AJ22" t="s">
        <v>673</v>
      </c>
      <c r="AK22">
        <v>814554120210511</v>
      </c>
      <c r="AL22" t="s">
        <v>670</v>
      </c>
      <c r="AM22" t="s">
        <v>674</v>
      </c>
      <c r="AN22" t="s">
        <v>197</v>
      </c>
      <c r="AO22" t="s">
        <v>967</v>
      </c>
      <c r="AP22" t="s">
        <v>701</v>
      </c>
      <c r="AQ22" t="s">
        <v>721</v>
      </c>
      <c r="AR22" t="s">
        <v>722</v>
      </c>
      <c r="AS22" t="s">
        <v>303</v>
      </c>
      <c r="AT22">
        <v>4133</v>
      </c>
      <c r="AU22" t="s">
        <v>669</v>
      </c>
      <c r="AV22">
        <v>60000</v>
      </c>
      <c r="AW22">
        <v>36</v>
      </c>
      <c r="AY22">
        <v>100000</v>
      </c>
      <c r="AZ22">
        <v>60</v>
      </c>
      <c r="BA22" t="b">
        <v>0</v>
      </c>
      <c r="BB22" t="s">
        <v>968</v>
      </c>
      <c r="BC22" t="b">
        <v>1</v>
      </c>
      <c r="BD22" t="b">
        <v>1</v>
      </c>
      <c r="BE22" t="s">
        <v>954</v>
      </c>
      <c r="BF22">
        <v>0</v>
      </c>
      <c r="BG22">
        <v>0</v>
      </c>
      <c r="BH22" t="s">
        <v>936</v>
      </c>
      <c r="BI22" t="s">
        <v>682</v>
      </c>
      <c r="BJ22" t="b">
        <v>1</v>
      </c>
      <c r="BK22" t="b">
        <v>0</v>
      </c>
      <c r="BL22" t="s">
        <v>969</v>
      </c>
      <c r="BM22" t="s">
        <v>24</v>
      </c>
      <c r="BN22" t="s">
        <v>684</v>
      </c>
      <c r="BP22" t="s">
        <v>970</v>
      </c>
      <c r="BQ22" t="b">
        <v>0</v>
      </c>
      <c r="BS22" t="s">
        <v>971</v>
      </c>
      <c r="BT22" t="s">
        <v>971</v>
      </c>
      <c r="BU22" t="b">
        <v>1</v>
      </c>
      <c r="BV22" t="s">
        <v>972</v>
      </c>
      <c r="BW22">
        <v>0</v>
      </c>
      <c r="BX22">
        <v>15</v>
      </c>
      <c r="BY22" t="b">
        <v>1</v>
      </c>
      <c r="BZ22" t="s">
        <v>193</v>
      </c>
      <c r="CA22" t="s">
        <v>193</v>
      </c>
      <c r="CB22" t="s">
        <v>973</v>
      </c>
      <c r="CC22" t="s">
        <v>193</v>
      </c>
      <c r="CD22" t="s">
        <v>669</v>
      </c>
      <c r="CH22" t="s">
        <v>944</v>
      </c>
      <c r="CI22" t="b">
        <v>0</v>
      </c>
      <c r="CJ22" t="s">
        <v>945</v>
      </c>
      <c r="CK22" t="s">
        <v>193</v>
      </c>
      <c r="CL22" t="s">
        <v>946</v>
      </c>
      <c r="CM22" t="s">
        <v>947</v>
      </c>
      <c r="CN22" t="s">
        <v>24</v>
      </c>
      <c r="CO22" t="b">
        <v>1</v>
      </c>
      <c r="CT22" t="b">
        <v>0</v>
      </c>
      <c r="CU22" t="s">
        <v>974</v>
      </c>
      <c r="CV22" t="s">
        <v>730</v>
      </c>
      <c r="CW22" t="s">
        <v>731</v>
      </c>
      <c r="CY22">
        <v>2497</v>
      </c>
      <c r="CZ22" t="s">
        <v>670</v>
      </c>
      <c r="DA22" t="s">
        <v>196</v>
      </c>
      <c r="DB22">
        <v>84458</v>
      </c>
      <c r="DC22">
        <v>5</v>
      </c>
      <c r="DD22" t="s">
        <v>699</v>
      </c>
      <c r="DE22" t="s">
        <v>669</v>
      </c>
      <c r="DF22">
        <v>40151520</v>
      </c>
      <c r="DG22" t="s">
        <v>975</v>
      </c>
      <c r="DH22" t="s">
        <v>669</v>
      </c>
      <c r="DI22">
        <v>0</v>
      </c>
      <c r="DJ22">
        <v>-1</v>
      </c>
      <c r="DK22" t="s">
        <v>976</v>
      </c>
    </row>
    <row r="23" spans="1:115">
      <c r="A23" t="s">
        <v>27</v>
      </c>
      <c r="B23" t="s">
        <v>667</v>
      </c>
      <c r="C23" t="b">
        <v>0</v>
      </c>
      <c r="D23" t="b">
        <v>1</v>
      </c>
      <c r="E23" t="b">
        <v>0</v>
      </c>
      <c r="H23" t="b">
        <v>1</v>
      </c>
      <c r="I23" t="b">
        <v>0</v>
      </c>
      <c r="J23" t="b">
        <v>0</v>
      </c>
      <c r="K23" t="s">
        <v>193</v>
      </c>
      <c r="Q23" t="b">
        <v>0</v>
      </c>
      <c r="S23" t="b">
        <v>0</v>
      </c>
      <c r="T23" t="b">
        <v>0</v>
      </c>
      <c r="U23">
        <v>1180</v>
      </c>
      <c r="W23" t="s">
        <v>668</v>
      </c>
      <c r="X23" t="s">
        <v>965</v>
      </c>
      <c r="Y23" t="s">
        <v>669</v>
      </c>
      <c r="Z23" t="s">
        <v>193</v>
      </c>
      <c r="AA23" t="s">
        <v>832</v>
      </c>
      <c r="AB23" t="b">
        <v>1</v>
      </c>
      <c r="AC23" t="s">
        <v>254</v>
      </c>
      <c r="AD23" t="s">
        <v>670</v>
      </c>
      <c r="AH23" t="s">
        <v>856</v>
      </c>
      <c r="AI23" t="s">
        <v>264</v>
      </c>
      <c r="AJ23" t="s">
        <v>673</v>
      </c>
      <c r="AK23">
        <v>702354620170308</v>
      </c>
      <c r="AL23" t="s">
        <v>670</v>
      </c>
      <c r="AM23" t="s">
        <v>674</v>
      </c>
      <c r="AN23" t="s">
        <v>197</v>
      </c>
      <c r="AO23" t="s">
        <v>834</v>
      </c>
      <c r="AP23" t="s">
        <v>759</v>
      </c>
      <c r="AQ23" t="s">
        <v>760</v>
      </c>
      <c r="AR23" t="s">
        <v>761</v>
      </c>
      <c r="AS23" t="s">
        <v>255</v>
      </c>
      <c r="AT23">
        <v>2255</v>
      </c>
      <c r="AU23" t="s">
        <v>669</v>
      </c>
      <c r="AV23">
        <v>60000</v>
      </c>
      <c r="AW23">
        <v>36</v>
      </c>
      <c r="AY23">
        <v>100000</v>
      </c>
      <c r="AZ23">
        <v>60</v>
      </c>
      <c r="BA23" t="b">
        <v>0</v>
      </c>
      <c r="BB23" t="s">
        <v>977</v>
      </c>
      <c r="BC23" t="b">
        <v>1</v>
      </c>
      <c r="BD23" t="b">
        <v>1</v>
      </c>
      <c r="BE23" t="s">
        <v>954</v>
      </c>
      <c r="BF23">
        <v>0</v>
      </c>
      <c r="BG23">
        <v>0</v>
      </c>
      <c r="BH23" t="s">
        <v>936</v>
      </c>
      <c r="BI23" t="s">
        <v>682</v>
      </c>
      <c r="BJ23" t="b">
        <v>1</v>
      </c>
      <c r="BK23" t="b">
        <v>0</v>
      </c>
      <c r="BL23" t="s">
        <v>978</v>
      </c>
      <c r="BM23" t="s">
        <v>24</v>
      </c>
      <c r="BN23" t="s">
        <v>684</v>
      </c>
      <c r="BP23" t="s">
        <v>979</v>
      </c>
      <c r="BQ23" t="b">
        <v>0</v>
      </c>
      <c r="BS23" t="s">
        <v>980</v>
      </c>
      <c r="BT23" t="s">
        <v>980</v>
      </c>
      <c r="BU23" t="b">
        <v>1</v>
      </c>
      <c r="BV23" t="s">
        <v>981</v>
      </c>
      <c r="BW23">
        <v>1</v>
      </c>
      <c r="BX23">
        <v>128</v>
      </c>
      <c r="BY23" t="b">
        <v>1</v>
      </c>
      <c r="BZ23" t="s">
        <v>193</v>
      </c>
      <c r="CA23" t="s">
        <v>193</v>
      </c>
      <c r="CB23" t="s">
        <v>982</v>
      </c>
      <c r="CC23" t="s">
        <v>193</v>
      </c>
      <c r="CD23" t="s">
        <v>669</v>
      </c>
      <c r="CH23" t="s">
        <v>944</v>
      </c>
      <c r="CI23" t="b">
        <v>0</v>
      </c>
      <c r="CJ23" t="s">
        <v>945</v>
      </c>
      <c r="CK23" t="s">
        <v>193</v>
      </c>
      <c r="CL23" t="s">
        <v>946</v>
      </c>
      <c r="CM23" t="s">
        <v>947</v>
      </c>
      <c r="CN23" t="s">
        <v>24</v>
      </c>
      <c r="CO23" t="b">
        <v>1</v>
      </c>
      <c r="CT23" t="b">
        <v>0</v>
      </c>
      <c r="CU23" t="s">
        <v>983</v>
      </c>
      <c r="CV23" t="s">
        <v>769</v>
      </c>
      <c r="CW23" t="s">
        <v>819</v>
      </c>
      <c r="CY23">
        <v>1999</v>
      </c>
      <c r="CZ23" t="s">
        <v>670</v>
      </c>
      <c r="DA23" t="s">
        <v>196</v>
      </c>
      <c r="DB23">
        <v>59954</v>
      </c>
      <c r="DC23">
        <v>5</v>
      </c>
      <c r="DD23" t="s">
        <v>699</v>
      </c>
      <c r="DE23" t="s">
        <v>669</v>
      </c>
      <c r="DF23">
        <v>38557627</v>
      </c>
      <c r="DG23" t="s">
        <v>984</v>
      </c>
      <c r="DH23" t="s">
        <v>669</v>
      </c>
      <c r="DI23">
        <v>0</v>
      </c>
      <c r="DJ23">
        <v>-1</v>
      </c>
      <c r="DK23" t="s">
        <v>985</v>
      </c>
    </row>
    <row r="24" spans="1:115">
      <c r="A24" t="s">
        <v>28</v>
      </c>
      <c r="B24" t="s">
        <v>667</v>
      </c>
      <c r="C24" t="b">
        <v>0</v>
      </c>
      <c r="D24" t="b">
        <v>1</v>
      </c>
      <c r="E24" t="b">
        <v>0</v>
      </c>
      <c r="H24" t="b">
        <v>0</v>
      </c>
      <c r="I24" t="b">
        <v>0</v>
      </c>
      <c r="J24" t="b">
        <v>0</v>
      </c>
      <c r="K24" t="s">
        <v>193</v>
      </c>
      <c r="Q24" t="b">
        <v>0</v>
      </c>
      <c r="S24" t="b">
        <v>0</v>
      </c>
      <c r="T24" t="b">
        <v>0</v>
      </c>
      <c r="U24">
        <v>1930</v>
      </c>
      <c r="W24" t="s">
        <v>668</v>
      </c>
      <c r="X24" t="s">
        <v>244</v>
      </c>
      <c r="Y24" t="s">
        <v>669</v>
      </c>
      <c r="Z24" t="s">
        <v>193</v>
      </c>
      <c r="AA24" t="s">
        <v>832</v>
      </c>
      <c r="AB24" t="b">
        <v>1</v>
      </c>
      <c r="AC24" t="s">
        <v>195</v>
      </c>
      <c r="AD24" t="s">
        <v>670</v>
      </c>
      <c r="AE24" t="s">
        <v>671</v>
      </c>
      <c r="AF24" t="s">
        <v>845</v>
      </c>
      <c r="AG24" t="s">
        <v>259</v>
      </c>
      <c r="AH24" t="s">
        <v>258</v>
      </c>
      <c r="AI24" t="s">
        <v>258</v>
      </c>
      <c r="AJ24" t="s">
        <v>673</v>
      </c>
      <c r="AK24">
        <v>796883420200423</v>
      </c>
      <c r="AL24" t="s">
        <v>670</v>
      </c>
      <c r="AM24" t="s">
        <v>674</v>
      </c>
      <c r="AN24" t="s">
        <v>197</v>
      </c>
      <c r="AO24" t="s">
        <v>846</v>
      </c>
      <c r="AP24" t="s">
        <v>759</v>
      </c>
      <c r="AQ24" t="s">
        <v>760</v>
      </c>
      <c r="AR24" t="s">
        <v>761</v>
      </c>
      <c r="AS24" t="s">
        <v>261</v>
      </c>
      <c r="AT24">
        <v>2566</v>
      </c>
      <c r="AU24" t="s">
        <v>669</v>
      </c>
      <c r="AV24">
        <v>60000</v>
      </c>
      <c r="AW24">
        <v>36</v>
      </c>
      <c r="AY24">
        <v>100000</v>
      </c>
      <c r="AZ24">
        <v>60</v>
      </c>
      <c r="BA24" t="b">
        <v>0</v>
      </c>
      <c r="BB24" t="s">
        <v>986</v>
      </c>
      <c r="BC24" t="b">
        <v>1</v>
      </c>
      <c r="BD24" t="b">
        <v>1</v>
      </c>
      <c r="BE24" t="s">
        <v>954</v>
      </c>
      <c r="BF24">
        <v>0</v>
      </c>
      <c r="BG24">
        <v>0</v>
      </c>
      <c r="BH24" t="s">
        <v>936</v>
      </c>
      <c r="BI24" t="s">
        <v>682</v>
      </c>
      <c r="BJ24" t="b">
        <v>1</v>
      </c>
      <c r="BK24" t="b">
        <v>0</v>
      </c>
      <c r="BL24" t="s">
        <v>987</v>
      </c>
      <c r="BM24" t="s">
        <v>24</v>
      </c>
      <c r="BN24" t="s">
        <v>684</v>
      </c>
      <c r="BP24" t="s">
        <v>988</v>
      </c>
      <c r="BQ24" t="b">
        <v>0</v>
      </c>
      <c r="BS24" t="s">
        <v>989</v>
      </c>
      <c r="BT24" t="s">
        <v>990</v>
      </c>
      <c r="BU24" t="b">
        <v>0</v>
      </c>
      <c r="BV24" t="s">
        <v>991</v>
      </c>
      <c r="BW24">
        <v>2</v>
      </c>
      <c r="BX24">
        <v>168</v>
      </c>
      <c r="BY24" t="b">
        <v>1</v>
      </c>
      <c r="BZ24" t="s">
        <v>992</v>
      </c>
      <c r="CA24" t="s">
        <v>193</v>
      </c>
      <c r="CB24" t="s">
        <v>993</v>
      </c>
      <c r="CC24" t="s">
        <v>193</v>
      </c>
      <c r="CD24" t="s">
        <v>669</v>
      </c>
      <c r="CH24" t="s">
        <v>944</v>
      </c>
      <c r="CI24" t="b">
        <v>0</v>
      </c>
      <c r="CJ24" t="s">
        <v>945</v>
      </c>
      <c r="CK24" t="s">
        <v>193</v>
      </c>
      <c r="CL24" t="s">
        <v>946</v>
      </c>
      <c r="CM24" t="s">
        <v>947</v>
      </c>
      <c r="CN24" t="s">
        <v>24</v>
      </c>
      <c r="CO24" t="b">
        <v>1</v>
      </c>
      <c r="CT24" t="b">
        <v>0</v>
      </c>
      <c r="CU24" t="s">
        <v>994</v>
      </c>
      <c r="CV24" t="s">
        <v>769</v>
      </c>
      <c r="CW24" t="s">
        <v>819</v>
      </c>
      <c r="CY24">
        <v>1999</v>
      </c>
      <c r="CZ24" t="s">
        <v>670</v>
      </c>
      <c r="DA24" t="s">
        <v>196</v>
      </c>
      <c r="DB24">
        <v>54072</v>
      </c>
      <c r="DC24">
        <v>5</v>
      </c>
      <c r="DD24" t="s">
        <v>699</v>
      </c>
      <c r="DE24" t="s">
        <v>669</v>
      </c>
      <c r="DF24">
        <v>41218565</v>
      </c>
      <c r="DG24" t="s">
        <v>995</v>
      </c>
      <c r="DH24" t="s">
        <v>669</v>
      </c>
      <c r="DI24">
        <v>0</v>
      </c>
      <c r="DJ24">
        <v>-1</v>
      </c>
      <c r="DK24" t="s">
        <v>996</v>
      </c>
    </row>
    <row r="25" spans="1:115">
      <c r="A25" t="s">
        <v>29</v>
      </c>
      <c r="B25" t="s">
        <v>667</v>
      </c>
      <c r="C25" t="b">
        <v>0</v>
      </c>
      <c r="D25" t="b">
        <v>1</v>
      </c>
      <c r="E25" t="b">
        <v>0</v>
      </c>
      <c r="H25" t="b">
        <v>1</v>
      </c>
      <c r="I25" t="b">
        <v>0</v>
      </c>
      <c r="J25" t="b">
        <v>0</v>
      </c>
      <c r="K25" t="s">
        <v>193</v>
      </c>
      <c r="Q25" t="b">
        <v>0</v>
      </c>
      <c r="S25" t="b">
        <v>0</v>
      </c>
      <c r="T25" t="b">
        <v>0</v>
      </c>
      <c r="U25">
        <v>2530</v>
      </c>
      <c r="W25" t="s">
        <v>668</v>
      </c>
      <c r="X25" t="s">
        <v>965</v>
      </c>
      <c r="Y25" t="s">
        <v>669</v>
      </c>
      <c r="Z25" t="s">
        <v>193</v>
      </c>
      <c r="AA25" t="s">
        <v>789</v>
      </c>
      <c r="AB25" t="b">
        <v>1</v>
      </c>
      <c r="AC25" t="s">
        <v>249</v>
      </c>
      <c r="AD25" t="s">
        <v>997</v>
      </c>
      <c r="AE25" t="s">
        <v>671</v>
      </c>
      <c r="AF25" t="s">
        <v>672</v>
      </c>
      <c r="AG25" t="s">
        <v>192</v>
      </c>
      <c r="AH25" t="s">
        <v>998</v>
      </c>
      <c r="AI25" t="s">
        <v>311</v>
      </c>
      <c r="AJ25" t="s">
        <v>673</v>
      </c>
      <c r="AK25">
        <v>825572020220812</v>
      </c>
      <c r="AL25" t="s">
        <v>670</v>
      </c>
      <c r="AM25" t="s">
        <v>674</v>
      </c>
      <c r="AN25" t="s">
        <v>197</v>
      </c>
      <c r="AO25" t="s">
        <v>888</v>
      </c>
      <c r="AP25" t="s">
        <v>889</v>
      </c>
      <c r="AQ25" t="s">
        <v>890</v>
      </c>
      <c r="AR25" t="s">
        <v>277</v>
      </c>
      <c r="AS25" t="s">
        <v>277</v>
      </c>
      <c r="AT25">
        <v>3037</v>
      </c>
      <c r="AU25" t="s">
        <v>669</v>
      </c>
      <c r="AV25">
        <v>60000</v>
      </c>
      <c r="AW25">
        <v>36</v>
      </c>
      <c r="AY25">
        <v>100000</v>
      </c>
      <c r="AZ25">
        <v>60</v>
      </c>
      <c r="BA25" t="b">
        <v>0</v>
      </c>
      <c r="BB25" t="s">
        <v>999</v>
      </c>
      <c r="BC25" t="b">
        <v>1</v>
      </c>
      <c r="BD25" t="b">
        <v>1</v>
      </c>
      <c r="BE25" t="s">
        <v>954</v>
      </c>
      <c r="BF25">
        <v>0</v>
      </c>
      <c r="BG25">
        <v>0</v>
      </c>
      <c r="BH25" t="s">
        <v>936</v>
      </c>
      <c r="BI25" t="s">
        <v>682</v>
      </c>
      <c r="BJ25" t="b">
        <v>1</v>
      </c>
      <c r="BK25" t="b">
        <v>0</v>
      </c>
      <c r="BL25" t="s">
        <v>1000</v>
      </c>
      <c r="BM25" t="s">
        <v>24</v>
      </c>
      <c r="BN25" t="s">
        <v>684</v>
      </c>
      <c r="BP25" t="s">
        <v>1001</v>
      </c>
      <c r="BQ25" t="b">
        <v>0</v>
      </c>
      <c r="BS25" t="s">
        <v>1002</v>
      </c>
      <c r="BT25" t="s">
        <v>990</v>
      </c>
      <c r="BU25" t="b">
        <v>1</v>
      </c>
      <c r="BV25" t="s">
        <v>1003</v>
      </c>
      <c r="BW25">
        <v>1</v>
      </c>
      <c r="BX25">
        <v>206</v>
      </c>
      <c r="BY25" t="b">
        <v>1</v>
      </c>
      <c r="BZ25" t="s">
        <v>1004</v>
      </c>
      <c r="CA25" t="s">
        <v>193</v>
      </c>
      <c r="CB25" t="s">
        <v>1005</v>
      </c>
      <c r="CC25" t="s">
        <v>193</v>
      </c>
      <c r="CD25" t="s">
        <v>669</v>
      </c>
      <c r="CH25" t="s">
        <v>944</v>
      </c>
      <c r="CI25" t="b">
        <v>0</v>
      </c>
      <c r="CJ25" t="s">
        <v>945</v>
      </c>
      <c r="CK25" t="s">
        <v>193</v>
      </c>
      <c r="CL25" t="s">
        <v>946</v>
      </c>
      <c r="CM25" t="s">
        <v>947</v>
      </c>
      <c r="CN25" t="s">
        <v>24</v>
      </c>
      <c r="CO25" t="b">
        <v>1</v>
      </c>
      <c r="CT25" t="b">
        <v>0</v>
      </c>
      <c r="CU25" t="s">
        <v>1006</v>
      </c>
      <c r="CV25" t="s">
        <v>786</v>
      </c>
      <c r="CW25" t="s">
        <v>819</v>
      </c>
      <c r="CY25">
        <v>2199</v>
      </c>
      <c r="CZ25" t="s">
        <v>671</v>
      </c>
      <c r="DA25" t="s">
        <v>207</v>
      </c>
      <c r="DB25">
        <v>46218</v>
      </c>
      <c r="DC25">
        <v>5</v>
      </c>
      <c r="DD25" t="s">
        <v>699</v>
      </c>
      <c r="DE25" t="s">
        <v>669</v>
      </c>
      <c r="DF25">
        <v>40055487</v>
      </c>
      <c r="DG25" t="s">
        <v>1007</v>
      </c>
      <c r="DH25" t="s">
        <v>669</v>
      </c>
      <c r="DI25">
        <v>0</v>
      </c>
      <c r="DJ25">
        <v>-1</v>
      </c>
      <c r="DK25" t="s">
        <v>1008</v>
      </c>
    </row>
    <row r="26" spans="1:115">
      <c r="A26" t="s">
        <v>30</v>
      </c>
      <c r="B26" t="s">
        <v>667</v>
      </c>
      <c r="C26" t="b">
        <v>0</v>
      </c>
      <c r="D26" t="b">
        <v>1</v>
      </c>
      <c r="E26" t="b">
        <v>0</v>
      </c>
      <c r="H26" t="b">
        <v>1</v>
      </c>
      <c r="I26" t="b">
        <v>0</v>
      </c>
      <c r="J26" t="b">
        <v>0</v>
      </c>
      <c r="K26" t="s">
        <v>193</v>
      </c>
      <c r="Q26" t="b">
        <v>0</v>
      </c>
      <c r="S26" t="b">
        <v>0</v>
      </c>
      <c r="T26" t="b">
        <v>0</v>
      </c>
      <c r="U26">
        <v>1330</v>
      </c>
      <c r="W26" t="s">
        <v>668</v>
      </c>
      <c r="X26" t="s">
        <v>965</v>
      </c>
      <c r="Y26" t="s">
        <v>669</v>
      </c>
      <c r="Z26" t="s">
        <v>193</v>
      </c>
      <c r="AA26" t="s">
        <v>832</v>
      </c>
      <c r="AB26" t="b">
        <v>1</v>
      </c>
      <c r="AC26" t="s">
        <v>254</v>
      </c>
      <c r="AD26" t="s">
        <v>670</v>
      </c>
      <c r="AE26" t="s">
        <v>744</v>
      </c>
      <c r="AF26" t="s">
        <v>845</v>
      </c>
      <c r="AG26" t="s">
        <v>259</v>
      </c>
      <c r="AH26" t="s">
        <v>314</v>
      </c>
      <c r="AI26" t="s">
        <v>314</v>
      </c>
      <c r="AJ26" t="s">
        <v>673</v>
      </c>
      <c r="AK26">
        <v>704051020170427</v>
      </c>
      <c r="AL26" t="s">
        <v>670</v>
      </c>
      <c r="AM26" t="s">
        <v>674</v>
      </c>
      <c r="AN26" t="s">
        <v>197</v>
      </c>
      <c r="AO26" t="s">
        <v>1009</v>
      </c>
      <c r="AP26" t="s">
        <v>1010</v>
      </c>
      <c r="AQ26" t="s">
        <v>1011</v>
      </c>
      <c r="AR26" t="s">
        <v>1011</v>
      </c>
      <c r="AS26" t="s">
        <v>315</v>
      </c>
      <c r="AT26">
        <v>2660</v>
      </c>
      <c r="AU26" t="s">
        <v>669</v>
      </c>
      <c r="AV26">
        <v>60000</v>
      </c>
      <c r="AW26">
        <v>36</v>
      </c>
      <c r="AY26">
        <v>100000</v>
      </c>
      <c r="AZ26">
        <v>60</v>
      </c>
      <c r="BA26" t="b">
        <v>0</v>
      </c>
      <c r="BB26" t="s">
        <v>1012</v>
      </c>
      <c r="BC26" t="b">
        <v>1</v>
      </c>
      <c r="BD26" t="b">
        <v>1</v>
      </c>
      <c r="BE26" t="s">
        <v>954</v>
      </c>
      <c r="BF26">
        <v>0</v>
      </c>
      <c r="BG26">
        <v>0</v>
      </c>
      <c r="BH26" t="s">
        <v>936</v>
      </c>
      <c r="BI26" t="s">
        <v>682</v>
      </c>
      <c r="BJ26" t="b">
        <v>1</v>
      </c>
      <c r="BK26" t="b">
        <v>0</v>
      </c>
      <c r="BL26" t="s">
        <v>1013</v>
      </c>
      <c r="BM26" t="s">
        <v>24</v>
      </c>
      <c r="BN26" t="s">
        <v>684</v>
      </c>
      <c r="BP26" t="s">
        <v>1014</v>
      </c>
      <c r="BQ26" t="b">
        <v>0</v>
      </c>
      <c r="BS26" t="s">
        <v>1015</v>
      </c>
      <c r="BT26" t="s">
        <v>1016</v>
      </c>
      <c r="BU26" t="b">
        <v>1</v>
      </c>
      <c r="BV26" t="s">
        <v>1017</v>
      </c>
      <c r="BW26">
        <v>43</v>
      </c>
      <c r="BX26">
        <v>4104</v>
      </c>
      <c r="BY26" t="b">
        <v>1</v>
      </c>
      <c r="BZ26" t="s">
        <v>1018</v>
      </c>
      <c r="CA26" t="s">
        <v>193</v>
      </c>
      <c r="CB26" t="s">
        <v>1019</v>
      </c>
      <c r="CC26" t="s">
        <v>193</v>
      </c>
      <c r="CD26" t="s">
        <v>669</v>
      </c>
      <c r="CH26" t="s">
        <v>944</v>
      </c>
      <c r="CI26" t="b">
        <v>0</v>
      </c>
      <c r="CJ26" t="s">
        <v>945</v>
      </c>
      <c r="CK26" t="s">
        <v>193</v>
      </c>
      <c r="CL26" t="s">
        <v>946</v>
      </c>
      <c r="CM26" t="s">
        <v>947</v>
      </c>
      <c r="CN26" t="s">
        <v>24</v>
      </c>
      <c r="CO26" t="b">
        <v>1</v>
      </c>
      <c r="CT26" t="b">
        <v>0</v>
      </c>
      <c r="CU26" t="s">
        <v>1020</v>
      </c>
      <c r="CV26" t="s">
        <v>769</v>
      </c>
      <c r="CW26" t="s">
        <v>698</v>
      </c>
      <c r="CY26">
        <v>1999</v>
      </c>
      <c r="CZ26" t="s">
        <v>670</v>
      </c>
      <c r="DA26" t="s">
        <v>196</v>
      </c>
      <c r="DB26">
        <v>101173</v>
      </c>
      <c r="DC26">
        <v>5</v>
      </c>
      <c r="DD26" t="s">
        <v>699</v>
      </c>
      <c r="DE26" t="s">
        <v>669</v>
      </c>
      <c r="DF26">
        <v>39345655</v>
      </c>
      <c r="DG26" t="s">
        <v>1021</v>
      </c>
      <c r="DH26" t="s">
        <v>669</v>
      </c>
      <c r="DI26">
        <v>0</v>
      </c>
      <c r="DJ26">
        <v>-1</v>
      </c>
      <c r="DK26" t="s">
        <v>1022</v>
      </c>
    </row>
    <row r="27" spans="1:115">
      <c r="A27" t="s">
        <v>31</v>
      </c>
      <c r="B27" t="s">
        <v>667</v>
      </c>
      <c r="C27" t="b">
        <v>1</v>
      </c>
      <c r="D27" t="b">
        <v>1</v>
      </c>
      <c r="E27" t="b">
        <v>0</v>
      </c>
      <c r="H27" t="b">
        <v>0</v>
      </c>
      <c r="I27" t="b">
        <v>0</v>
      </c>
      <c r="J27" t="b">
        <v>1</v>
      </c>
      <c r="K27" t="s">
        <v>193</v>
      </c>
      <c r="Q27" t="b">
        <v>0</v>
      </c>
      <c r="S27" t="b">
        <v>0</v>
      </c>
      <c r="T27" t="b">
        <v>1</v>
      </c>
      <c r="U27">
        <v>2250</v>
      </c>
      <c r="W27" t="s">
        <v>668</v>
      </c>
      <c r="X27" t="s">
        <v>788</v>
      </c>
      <c r="Y27" t="s">
        <v>669</v>
      </c>
      <c r="Z27" t="s">
        <v>193</v>
      </c>
      <c r="AA27" t="s">
        <v>832</v>
      </c>
      <c r="AB27" t="b">
        <v>1</v>
      </c>
      <c r="AC27" t="s">
        <v>254</v>
      </c>
      <c r="AD27" t="s">
        <v>671</v>
      </c>
      <c r="AE27" t="s">
        <v>671</v>
      </c>
      <c r="AF27" t="s">
        <v>756</v>
      </c>
      <c r="AG27" t="s">
        <v>227</v>
      </c>
      <c r="AH27" t="s">
        <v>1023</v>
      </c>
      <c r="AI27" t="s">
        <v>318</v>
      </c>
      <c r="AJ27" t="s">
        <v>673</v>
      </c>
      <c r="AK27">
        <v>776390020180101</v>
      </c>
      <c r="AL27" t="s">
        <v>670</v>
      </c>
      <c r="AM27" t="s">
        <v>674</v>
      </c>
      <c r="AN27" t="s">
        <v>197</v>
      </c>
      <c r="AO27" t="s">
        <v>1024</v>
      </c>
      <c r="AP27" t="s">
        <v>701</v>
      </c>
      <c r="AQ27" t="s">
        <v>721</v>
      </c>
      <c r="AR27" t="s">
        <v>722</v>
      </c>
      <c r="AS27" t="s">
        <v>319</v>
      </c>
      <c r="AT27">
        <v>3400</v>
      </c>
      <c r="AU27" t="s">
        <v>669</v>
      </c>
      <c r="AV27">
        <v>60000</v>
      </c>
      <c r="AW27">
        <v>36</v>
      </c>
      <c r="AY27">
        <v>100000</v>
      </c>
      <c r="AZ27">
        <v>60</v>
      </c>
      <c r="BA27" t="b">
        <v>0</v>
      </c>
      <c r="BB27" t="s">
        <v>1025</v>
      </c>
      <c r="BC27" t="b">
        <v>1</v>
      </c>
      <c r="BD27" t="b">
        <v>1</v>
      </c>
      <c r="BE27" t="s">
        <v>914</v>
      </c>
      <c r="BF27">
        <v>0</v>
      </c>
      <c r="BG27">
        <v>0</v>
      </c>
      <c r="BH27" t="s">
        <v>1026</v>
      </c>
      <c r="BI27" t="s">
        <v>682</v>
      </c>
      <c r="BJ27" t="b">
        <v>1</v>
      </c>
      <c r="BK27" t="b">
        <v>0</v>
      </c>
      <c r="BL27" t="s">
        <v>1027</v>
      </c>
      <c r="BM27" t="s">
        <v>32</v>
      </c>
      <c r="BN27" t="s">
        <v>684</v>
      </c>
      <c r="BP27" t="s">
        <v>1028</v>
      </c>
      <c r="BQ27" t="b">
        <v>0</v>
      </c>
      <c r="BR27">
        <v>40958562</v>
      </c>
      <c r="BS27" t="s">
        <v>1029</v>
      </c>
      <c r="BT27" t="s">
        <v>1030</v>
      </c>
      <c r="BU27" t="b">
        <v>1</v>
      </c>
      <c r="BV27" t="s">
        <v>1031</v>
      </c>
      <c r="BW27">
        <v>4</v>
      </c>
      <c r="BX27">
        <v>324</v>
      </c>
      <c r="BY27" t="b">
        <v>1</v>
      </c>
      <c r="BZ27" t="s">
        <v>1032</v>
      </c>
      <c r="CA27" t="s">
        <v>193</v>
      </c>
      <c r="CB27" t="s">
        <v>1033</v>
      </c>
      <c r="CC27" t="s">
        <v>193</v>
      </c>
      <c r="CD27" t="s">
        <v>669</v>
      </c>
      <c r="CH27" t="s">
        <v>1034</v>
      </c>
      <c r="CI27" t="b">
        <v>1</v>
      </c>
      <c r="CJ27" t="s">
        <v>1035</v>
      </c>
      <c r="CK27" t="s">
        <v>193</v>
      </c>
      <c r="CL27" t="s">
        <v>1036</v>
      </c>
      <c r="CM27" t="s">
        <v>1037</v>
      </c>
      <c r="CN27" t="s">
        <v>32</v>
      </c>
      <c r="CO27" t="b">
        <v>1</v>
      </c>
      <c r="CT27" t="b">
        <v>0</v>
      </c>
      <c r="CU27" t="s">
        <v>1038</v>
      </c>
      <c r="CV27" t="s">
        <v>730</v>
      </c>
      <c r="CW27" t="s">
        <v>731</v>
      </c>
      <c r="CY27">
        <v>2359</v>
      </c>
      <c r="CZ27" t="s">
        <v>670</v>
      </c>
      <c r="DA27" t="s">
        <v>196</v>
      </c>
      <c r="DB27">
        <v>59866</v>
      </c>
      <c r="DC27">
        <v>5</v>
      </c>
      <c r="DD27" t="s">
        <v>699</v>
      </c>
      <c r="DE27" t="s">
        <v>669</v>
      </c>
      <c r="DF27">
        <v>40952759</v>
      </c>
      <c r="DG27" t="s">
        <v>1039</v>
      </c>
      <c r="DH27" t="s">
        <v>669</v>
      </c>
      <c r="DI27">
        <v>1</v>
      </c>
      <c r="DJ27">
        <v>-1</v>
      </c>
      <c r="DK27" t="s">
        <v>1040</v>
      </c>
    </row>
    <row r="28" spans="1:115">
      <c r="A28" t="s">
        <v>33</v>
      </c>
      <c r="B28" t="s">
        <v>667</v>
      </c>
      <c r="C28" t="b">
        <v>0</v>
      </c>
      <c r="D28" t="b">
        <v>0</v>
      </c>
      <c r="E28" t="b">
        <v>0</v>
      </c>
      <c r="H28" t="b">
        <v>0</v>
      </c>
      <c r="I28" t="b">
        <v>0</v>
      </c>
      <c r="J28" t="b">
        <v>0</v>
      </c>
      <c r="K28" t="s">
        <v>193</v>
      </c>
      <c r="Q28" t="b">
        <v>0</v>
      </c>
      <c r="S28" t="b">
        <v>0</v>
      </c>
      <c r="T28" t="b">
        <v>0</v>
      </c>
      <c r="U28">
        <v>3060</v>
      </c>
      <c r="W28" t="s">
        <v>668</v>
      </c>
      <c r="X28" t="s">
        <v>193</v>
      </c>
      <c r="Y28" t="s">
        <v>669</v>
      </c>
      <c r="Z28" t="s">
        <v>193</v>
      </c>
      <c r="AB28" t="b">
        <v>1</v>
      </c>
      <c r="AC28" t="s">
        <v>302</v>
      </c>
      <c r="AD28" t="s">
        <v>822</v>
      </c>
      <c r="AE28" t="s">
        <v>822</v>
      </c>
      <c r="AF28" t="s">
        <v>966</v>
      </c>
      <c r="AG28" t="s">
        <v>301</v>
      </c>
      <c r="AH28" t="s">
        <v>791</v>
      </c>
      <c r="AI28" t="s">
        <v>236</v>
      </c>
      <c r="AJ28" t="s">
        <v>673</v>
      </c>
      <c r="AK28">
        <v>817993320210101</v>
      </c>
      <c r="AL28" t="s">
        <v>670</v>
      </c>
      <c r="AM28" t="s">
        <v>674</v>
      </c>
      <c r="AN28" t="s">
        <v>197</v>
      </c>
      <c r="AO28" t="s">
        <v>902</v>
      </c>
      <c r="AP28" t="s">
        <v>903</v>
      </c>
      <c r="AQ28" t="s">
        <v>904</v>
      </c>
      <c r="AR28" t="s">
        <v>282</v>
      </c>
      <c r="AS28" t="s">
        <v>282</v>
      </c>
      <c r="AT28">
        <v>4774</v>
      </c>
      <c r="AU28" t="s">
        <v>669</v>
      </c>
      <c r="AV28">
        <v>60000</v>
      </c>
      <c r="AW28">
        <v>36</v>
      </c>
      <c r="AY28">
        <v>100000</v>
      </c>
      <c r="AZ28">
        <v>60</v>
      </c>
      <c r="BA28" t="b">
        <v>0</v>
      </c>
      <c r="BB28" t="s">
        <v>1041</v>
      </c>
      <c r="BC28" t="b">
        <v>1</v>
      </c>
      <c r="BD28" t="b">
        <v>1</v>
      </c>
      <c r="BE28" t="s">
        <v>914</v>
      </c>
      <c r="BF28">
        <v>0</v>
      </c>
      <c r="BG28">
        <v>0</v>
      </c>
      <c r="BH28" t="s">
        <v>1042</v>
      </c>
      <c r="BI28" t="s">
        <v>682</v>
      </c>
      <c r="BJ28" t="b">
        <v>1</v>
      </c>
      <c r="BK28" t="b">
        <v>0</v>
      </c>
      <c r="BL28" t="s">
        <v>1043</v>
      </c>
      <c r="BM28" t="s">
        <v>34</v>
      </c>
      <c r="BN28" t="s">
        <v>684</v>
      </c>
      <c r="BP28" t="s">
        <v>1044</v>
      </c>
      <c r="BQ28" t="b">
        <v>0</v>
      </c>
      <c r="BS28" t="s">
        <v>1045</v>
      </c>
      <c r="BT28" t="s">
        <v>1046</v>
      </c>
      <c r="BU28" t="b">
        <v>0</v>
      </c>
      <c r="BV28" t="s">
        <v>1047</v>
      </c>
      <c r="BW28">
        <v>2</v>
      </c>
      <c r="BX28">
        <v>84</v>
      </c>
      <c r="BY28" t="b">
        <v>0</v>
      </c>
      <c r="BZ28" t="s">
        <v>193</v>
      </c>
      <c r="CA28" t="s">
        <v>1048</v>
      </c>
      <c r="CB28" t="s">
        <v>1049</v>
      </c>
      <c r="CC28" t="s">
        <v>193</v>
      </c>
      <c r="CD28" t="s">
        <v>669</v>
      </c>
      <c r="CH28" t="s">
        <v>1050</v>
      </c>
      <c r="CI28" t="b">
        <v>0</v>
      </c>
      <c r="CJ28" t="s">
        <v>1051</v>
      </c>
      <c r="CK28" t="s">
        <v>193</v>
      </c>
      <c r="CL28" t="s">
        <v>1052</v>
      </c>
      <c r="CM28" t="s">
        <v>1053</v>
      </c>
      <c r="CN28" t="s">
        <v>34</v>
      </c>
      <c r="CO28" t="b">
        <v>0</v>
      </c>
      <c r="CT28" t="b">
        <v>0</v>
      </c>
      <c r="CU28" t="s">
        <v>1054</v>
      </c>
      <c r="CV28" t="s">
        <v>716</v>
      </c>
      <c r="CW28" t="s">
        <v>819</v>
      </c>
      <c r="CY28">
        <v>2199</v>
      </c>
      <c r="CZ28" t="s">
        <v>671</v>
      </c>
      <c r="DA28" t="s">
        <v>207</v>
      </c>
      <c r="DB28">
        <v>112711</v>
      </c>
      <c r="DC28">
        <v>7</v>
      </c>
      <c r="DD28" t="s">
        <v>699</v>
      </c>
      <c r="DE28" t="s">
        <v>669</v>
      </c>
      <c r="DF28">
        <v>41370416</v>
      </c>
      <c r="DG28" t="s">
        <v>1055</v>
      </c>
      <c r="DH28" t="s">
        <v>669</v>
      </c>
      <c r="DI28">
        <v>-1</v>
      </c>
      <c r="DJ28">
        <v>-1</v>
      </c>
    </row>
    <row r="29" spans="1:115">
      <c r="A29" t="s">
        <v>35</v>
      </c>
      <c r="B29" t="s">
        <v>667</v>
      </c>
      <c r="C29" t="b">
        <v>0</v>
      </c>
      <c r="D29" t="b">
        <v>0</v>
      </c>
      <c r="E29" t="b">
        <v>0</v>
      </c>
      <c r="H29" t="b">
        <v>0</v>
      </c>
      <c r="I29" t="b">
        <v>0</v>
      </c>
      <c r="J29" t="b">
        <v>0</v>
      </c>
      <c r="K29" t="s">
        <v>1056</v>
      </c>
      <c r="Q29" t="b">
        <v>0</v>
      </c>
      <c r="R29" t="s">
        <v>1057</v>
      </c>
      <c r="S29" t="b">
        <v>0</v>
      </c>
      <c r="T29" t="b">
        <v>0</v>
      </c>
      <c r="U29">
        <v>870</v>
      </c>
      <c r="W29" t="s">
        <v>668</v>
      </c>
      <c r="X29" t="s">
        <v>193</v>
      </c>
      <c r="Y29" t="s">
        <v>669</v>
      </c>
      <c r="Z29" t="s">
        <v>193</v>
      </c>
      <c r="AB29" t="b">
        <v>1</v>
      </c>
      <c r="AC29" t="s">
        <v>326</v>
      </c>
      <c r="AD29" t="s">
        <v>671</v>
      </c>
      <c r="AH29" t="s">
        <v>1058</v>
      </c>
      <c r="AI29" t="s">
        <v>325</v>
      </c>
      <c r="AJ29" t="s">
        <v>673</v>
      </c>
      <c r="AK29">
        <v>791617020141022</v>
      </c>
      <c r="AL29" t="s">
        <v>670</v>
      </c>
      <c r="AM29" t="s">
        <v>674</v>
      </c>
      <c r="AN29" t="s">
        <v>197</v>
      </c>
      <c r="AO29" t="s">
        <v>1059</v>
      </c>
      <c r="AP29" t="s">
        <v>705</v>
      </c>
      <c r="AQ29" t="s">
        <v>706</v>
      </c>
      <c r="AR29" t="s">
        <v>707</v>
      </c>
      <c r="AS29" t="s">
        <v>327</v>
      </c>
      <c r="AT29">
        <v>2890</v>
      </c>
      <c r="AU29" t="s">
        <v>669</v>
      </c>
      <c r="AV29">
        <v>60000</v>
      </c>
      <c r="AW29">
        <v>36</v>
      </c>
      <c r="AY29">
        <v>100000</v>
      </c>
      <c r="AZ29">
        <v>60</v>
      </c>
      <c r="BA29" t="b">
        <v>0</v>
      </c>
      <c r="BB29" t="s">
        <v>1060</v>
      </c>
      <c r="BC29" t="b">
        <v>1</v>
      </c>
      <c r="BD29" t="b">
        <v>1</v>
      </c>
      <c r="BE29" t="s">
        <v>914</v>
      </c>
      <c r="BF29">
        <v>0</v>
      </c>
      <c r="BG29">
        <v>0</v>
      </c>
      <c r="BH29" t="s">
        <v>1061</v>
      </c>
      <c r="BI29" t="s">
        <v>682</v>
      </c>
      <c r="BJ29" t="b">
        <v>1</v>
      </c>
      <c r="BK29" t="b">
        <v>0</v>
      </c>
      <c r="BL29" t="s">
        <v>1062</v>
      </c>
      <c r="BM29" t="s">
        <v>36</v>
      </c>
      <c r="BN29" t="s">
        <v>684</v>
      </c>
      <c r="BP29" t="s">
        <v>1063</v>
      </c>
      <c r="BQ29" t="b">
        <v>0</v>
      </c>
      <c r="BS29" t="s">
        <v>1064</v>
      </c>
      <c r="BT29" t="s">
        <v>1064</v>
      </c>
      <c r="BU29" t="b">
        <v>0</v>
      </c>
      <c r="BV29" t="s">
        <v>1065</v>
      </c>
      <c r="BW29">
        <v>0</v>
      </c>
      <c r="BX29">
        <v>47</v>
      </c>
      <c r="BY29" t="b">
        <v>1</v>
      </c>
      <c r="BZ29" t="s">
        <v>1066</v>
      </c>
      <c r="CA29" t="s">
        <v>193</v>
      </c>
      <c r="CB29" t="s">
        <v>1067</v>
      </c>
      <c r="CC29" t="s">
        <v>193</v>
      </c>
      <c r="CD29" t="s">
        <v>669</v>
      </c>
      <c r="CH29" t="s">
        <v>1068</v>
      </c>
      <c r="CI29" t="b">
        <v>0</v>
      </c>
      <c r="CJ29" t="s">
        <v>1069</v>
      </c>
      <c r="CK29" t="s">
        <v>193</v>
      </c>
      <c r="CL29" t="s">
        <v>1070</v>
      </c>
      <c r="CM29" t="s">
        <v>1071</v>
      </c>
      <c r="CN29" t="s">
        <v>36</v>
      </c>
      <c r="CO29" t="b">
        <v>1</v>
      </c>
      <c r="CT29" t="b">
        <v>0</v>
      </c>
      <c r="CU29" t="s">
        <v>1072</v>
      </c>
      <c r="CV29" t="s">
        <v>716</v>
      </c>
      <c r="CW29" t="s">
        <v>770</v>
      </c>
      <c r="CY29">
        <v>1995</v>
      </c>
      <c r="CZ29" t="s">
        <v>671</v>
      </c>
      <c r="DA29" t="s">
        <v>207</v>
      </c>
      <c r="DB29">
        <v>140796</v>
      </c>
      <c r="DC29">
        <v>7</v>
      </c>
      <c r="DD29" t="s">
        <v>699</v>
      </c>
      <c r="DE29" t="s">
        <v>669</v>
      </c>
      <c r="DF29">
        <v>41398674</v>
      </c>
      <c r="DG29" t="s">
        <v>1073</v>
      </c>
      <c r="DH29" t="s">
        <v>669</v>
      </c>
      <c r="DI29">
        <v>-1</v>
      </c>
      <c r="DJ29">
        <v>-1</v>
      </c>
      <c r="DK29" t="s">
        <v>1074</v>
      </c>
    </row>
    <row r="30" spans="1:115">
      <c r="A30" t="s">
        <v>37</v>
      </c>
      <c r="B30" t="s">
        <v>667</v>
      </c>
      <c r="C30" t="b">
        <v>1</v>
      </c>
      <c r="D30" t="b">
        <v>1</v>
      </c>
      <c r="E30" t="b">
        <v>0</v>
      </c>
      <c r="H30" t="b">
        <v>0</v>
      </c>
      <c r="I30" t="b">
        <v>0</v>
      </c>
      <c r="J30" t="b">
        <v>1</v>
      </c>
      <c r="K30" t="s">
        <v>193</v>
      </c>
      <c r="Q30" t="b">
        <v>0</v>
      </c>
      <c r="S30" t="b">
        <v>0</v>
      </c>
      <c r="T30" t="b">
        <v>1</v>
      </c>
      <c r="U30">
        <v>2060</v>
      </c>
      <c r="W30" t="s">
        <v>668</v>
      </c>
      <c r="X30" t="s">
        <v>788</v>
      </c>
      <c r="Y30" t="s">
        <v>669</v>
      </c>
      <c r="Z30" t="s">
        <v>193</v>
      </c>
      <c r="AA30" t="s">
        <v>832</v>
      </c>
      <c r="AB30" t="b">
        <v>1</v>
      </c>
      <c r="AC30" t="s">
        <v>260</v>
      </c>
      <c r="AD30" t="s">
        <v>744</v>
      </c>
      <c r="AE30" t="s">
        <v>701</v>
      </c>
      <c r="AF30" t="s">
        <v>702</v>
      </c>
      <c r="AG30" t="s">
        <v>205</v>
      </c>
      <c r="AH30" t="s">
        <v>1075</v>
      </c>
      <c r="AI30" t="s">
        <v>331</v>
      </c>
      <c r="AJ30" t="s">
        <v>673</v>
      </c>
      <c r="AK30">
        <v>781213320200301</v>
      </c>
      <c r="AL30" t="s">
        <v>670</v>
      </c>
      <c r="AM30" t="s">
        <v>674</v>
      </c>
      <c r="AN30" t="s">
        <v>197</v>
      </c>
      <c r="AO30" t="s">
        <v>1076</v>
      </c>
      <c r="AP30" t="s">
        <v>705</v>
      </c>
      <c r="AQ30" t="s">
        <v>706</v>
      </c>
      <c r="AR30" t="s">
        <v>707</v>
      </c>
      <c r="AS30" t="s">
        <v>332</v>
      </c>
      <c r="AT30">
        <v>2881</v>
      </c>
      <c r="AU30" t="s">
        <v>669</v>
      </c>
      <c r="AV30">
        <v>60000</v>
      </c>
      <c r="AW30">
        <v>36</v>
      </c>
      <c r="AY30">
        <v>100000</v>
      </c>
      <c r="AZ30">
        <v>60</v>
      </c>
      <c r="BA30" t="b">
        <v>0</v>
      </c>
      <c r="BB30" t="s">
        <v>1077</v>
      </c>
      <c r="BC30" t="b">
        <v>1</v>
      </c>
      <c r="BD30" t="b">
        <v>1</v>
      </c>
      <c r="BE30" t="s">
        <v>914</v>
      </c>
      <c r="BF30">
        <v>0</v>
      </c>
      <c r="BG30">
        <v>0</v>
      </c>
      <c r="BH30" t="s">
        <v>1078</v>
      </c>
      <c r="BI30" t="s">
        <v>682</v>
      </c>
      <c r="BJ30" t="b">
        <v>1</v>
      </c>
      <c r="BK30" t="b">
        <v>0</v>
      </c>
      <c r="BL30" t="s">
        <v>1079</v>
      </c>
      <c r="BM30" t="s">
        <v>38</v>
      </c>
      <c r="BN30" t="s">
        <v>684</v>
      </c>
      <c r="BP30" t="s">
        <v>1080</v>
      </c>
      <c r="BQ30" t="b">
        <v>0</v>
      </c>
      <c r="BR30">
        <v>41135098</v>
      </c>
      <c r="BS30" t="s">
        <v>1081</v>
      </c>
      <c r="BT30" t="s">
        <v>1082</v>
      </c>
      <c r="BU30" t="b">
        <v>0</v>
      </c>
      <c r="BV30" t="s">
        <v>1083</v>
      </c>
      <c r="BW30">
        <v>4</v>
      </c>
      <c r="BX30">
        <v>943</v>
      </c>
      <c r="BY30" t="b">
        <v>1</v>
      </c>
      <c r="BZ30" t="s">
        <v>1084</v>
      </c>
      <c r="CA30" t="s">
        <v>193</v>
      </c>
      <c r="CB30" t="s">
        <v>1085</v>
      </c>
      <c r="CC30" t="s">
        <v>193</v>
      </c>
      <c r="CD30" t="s">
        <v>669</v>
      </c>
      <c r="CH30" t="s">
        <v>1086</v>
      </c>
      <c r="CI30" t="b">
        <v>0</v>
      </c>
      <c r="CJ30" t="s">
        <v>1087</v>
      </c>
      <c r="CK30" t="s">
        <v>193</v>
      </c>
      <c r="CL30" t="s">
        <v>1088</v>
      </c>
      <c r="CM30" t="s">
        <v>1089</v>
      </c>
      <c r="CN30" t="s">
        <v>38</v>
      </c>
      <c r="CO30" t="b">
        <v>1</v>
      </c>
      <c r="CT30" t="b">
        <v>0</v>
      </c>
      <c r="CU30" t="s">
        <v>1090</v>
      </c>
      <c r="CV30" t="s">
        <v>716</v>
      </c>
      <c r="CW30" t="s">
        <v>698</v>
      </c>
      <c r="CY30">
        <v>1998</v>
      </c>
      <c r="CZ30" t="s">
        <v>670</v>
      </c>
      <c r="DA30" t="s">
        <v>196</v>
      </c>
      <c r="DB30">
        <v>96517</v>
      </c>
      <c r="DC30">
        <v>5</v>
      </c>
      <c r="DD30" t="s">
        <v>699</v>
      </c>
      <c r="DE30" t="s">
        <v>669</v>
      </c>
      <c r="DF30">
        <v>41130226</v>
      </c>
      <c r="DG30" t="s">
        <v>1091</v>
      </c>
      <c r="DH30" t="s">
        <v>669</v>
      </c>
      <c r="DI30">
        <v>1</v>
      </c>
      <c r="DJ30">
        <v>-1</v>
      </c>
      <c r="DK30" t="s">
        <v>1092</v>
      </c>
    </row>
    <row r="31" spans="1:115">
      <c r="A31" t="s">
        <v>39</v>
      </c>
      <c r="B31" t="s">
        <v>667</v>
      </c>
      <c r="C31" t="b">
        <v>0</v>
      </c>
      <c r="D31" t="b">
        <v>1</v>
      </c>
      <c r="E31" t="b">
        <v>0</v>
      </c>
      <c r="H31" t="b">
        <v>0</v>
      </c>
      <c r="I31" t="b">
        <v>0</v>
      </c>
      <c r="J31" t="b">
        <v>0</v>
      </c>
      <c r="K31" t="s">
        <v>193</v>
      </c>
      <c r="Q31" t="b">
        <v>0</v>
      </c>
      <c r="S31" t="b">
        <v>0</v>
      </c>
      <c r="T31" t="b">
        <v>0</v>
      </c>
      <c r="U31">
        <v>649</v>
      </c>
      <c r="W31" t="s">
        <v>668</v>
      </c>
      <c r="X31" t="s">
        <v>244</v>
      </c>
      <c r="Y31" t="s">
        <v>669</v>
      </c>
      <c r="Z31" t="s">
        <v>193</v>
      </c>
      <c r="AA31" t="s">
        <v>832</v>
      </c>
      <c r="AB31" t="b">
        <v>1</v>
      </c>
      <c r="AC31" t="s">
        <v>326</v>
      </c>
      <c r="AD31" t="s">
        <v>670</v>
      </c>
      <c r="AH31" t="s">
        <v>845</v>
      </c>
      <c r="AI31" t="s">
        <v>259</v>
      </c>
      <c r="AJ31" t="s">
        <v>673</v>
      </c>
      <c r="AK31">
        <v>726188120140101</v>
      </c>
      <c r="AL31" t="s">
        <v>670</v>
      </c>
      <c r="AM31" t="s">
        <v>674</v>
      </c>
      <c r="AN31" t="s">
        <v>197</v>
      </c>
      <c r="AO31" t="s">
        <v>1093</v>
      </c>
      <c r="AP31" t="s">
        <v>701</v>
      </c>
      <c r="AQ31" t="s">
        <v>721</v>
      </c>
      <c r="AR31" t="s">
        <v>722</v>
      </c>
      <c r="AS31" t="s">
        <v>337</v>
      </c>
      <c r="AT31">
        <v>3603</v>
      </c>
      <c r="AU31" t="s">
        <v>669</v>
      </c>
      <c r="AV31">
        <v>60000</v>
      </c>
      <c r="AW31">
        <v>36</v>
      </c>
      <c r="AY31">
        <v>100000</v>
      </c>
      <c r="AZ31">
        <v>60</v>
      </c>
      <c r="BA31" t="b">
        <v>0</v>
      </c>
      <c r="BB31" t="s">
        <v>1094</v>
      </c>
      <c r="BC31" t="b">
        <v>1</v>
      </c>
      <c r="BD31" t="b">
        <v>1</v>
      </c>
      <c r="BE31" t="s">
        <v>914</v>
      </c>
      <c r="BF31">
        <v>0</v>
      </c>
      <c r="BG31">
        <v>0</v>
      </c>
      <c r="BH31" t="s">
        <v>1095</v>
      </c>
      <c r="BI31" t="s">
        <v>682</v>
      </c>
      <c r="BJ31" t="b">
        <v>1</v>
      </c>
      <c r="BK31" t="b">
        <v>0</v>
      </c>
      <c r="BL31" t="s">
        <v>1096</v>
      </c>
      <c r="BM31" t="s">
        <v>40</v>
      </c>
      <c r="BN31" t="s">
        <v>684</v>
      </c>
      <c r="BP31" t="s">
        <v>1097</v>
      </c>
      <c r="BQ31" t="b">
        <v>0</v>
      </c>
      <c r="BS31" t="s">
        <v>1098</v>
      </c>
      <c r="BT31" t="s">
        <v>1099</v>
      </c>
      <c r="BU31" t="b">
        <v>1</v>
      </c>
      <c r="BV31" t="s">
        <v>1100</v>
      </c>
      <c r="BW31">
        <v>1</v>
      </c>
      <c r="BX31">
        <v>35</v>
      </c>
      <c r="BY31" t="b">
        <v>1</v>
      </c>
      <c r="BZ31" t="s">
        <v>1101</v>
      </c>
      <c r="CA31" t="s">
        <v>193</v>
      </c>
      <c r="CB31" t="s">
        <v>1102</v>
      </c>
      <c r="CC31" t="s">
        <v>193</v>
      </c>
      <c r="CD31" t="s">
        <v>669</v>
      </c>
      <c r="CH31" t="s">
        <v>1103</v>
      </c>
      <c r="CI31" t="b">
        <v>0</v>
      </c>
      <c r="CJ31" t="s">
        <v>1104</v>
      </c>
      <c r="CK31" t="s">
        <v>193</v>
      </c>
      <c r="CL31" t="s">
        <v>1105</v>
      </c>
      <c r="CM31" t="s">
        <v>1106</v>
      </c>
      <c r="CN31" t="s">
        <v>40</v>
      </c>
      <c r="CO31" t="b">
        <v>1</v>
      </c>
      <c r="CT31" t="b">
        <v>0</v>
      </c>
      <c r="CU31" t="s">
        <v>1107</v>
      </c>
      <c r="CV31" t="s">
        <v>730</v>
      </c>
      <c r="CW31" t="s">
        <v>819</v>
      </c>
      <c r="CY31">
        <v>2359</v>
      </c>
      <c r="CZ31" t="s">
        <v>809</v>
      </c>
      <c r="DA31" t="s">
        <v>336</v>
      </c>
      <c r="DB31">
        <v>191302</v>
      </c>
      <c r="DC31">
        <v>5</v>
      </c>
      <c r="DD31" t="s">
        <v>699</v>
      </c>
      <c r="DE31" t="s">
        <v>669</v>
      </c>
      <c r="DF31">
        <v>40988766</v>
      </c>
      <c r="DG31" t="s">
        <v>1108</v>
      </c>
      <c r="DH31" t="s">
        <v>669</v>
      </c>
      <c r="DI31">
        <v>0</v>
      </c>
      <c r="DJ31">
        <v>-1</v>
      </c>
      <c r="DK31" t="s">
        <v>1109</v>
      </c>
    </row>
    <row r="32" spans="1:115">
      <c r="A32" t="s">
        <v>41</v>
      </c>
      <c r="B32" t="s">
        <v>667</v>
      </c>
      <c r="C32" t="b">
        <v>0</v>
      </c>
      <c r="D32" t="b">
        <v>1</v>
      </c>
      <c r="E32" t="b">
        <v>0</v>
      </c>
      <c r="H32" t="b">
        <v>0</v>
      </c>
      <c r="I32" t="b">
        <v>0</v>
      </c>
      <c r="J32" t="b">
        <v>0</v>
      </c>
      <c r="K32" t="s">
        <v>1110</v>
      </c>
      <c r="Q32" t="b">
        <v>0</v>
      </c>
      <c r="R32" t="s">
        <v>1111</v>
      </c>
      <c r="S32" t="b">
        <v>0</v>
      </c>
      <c r="T32" t="b">
        <v>0</v>
      </c>
      <c r="U32">
        <v>1259</v>
      </c>
      <c r="V32" t="s">
        <v>344</v>
      </c>
      <c r="W32" t="s">
        <v>668</v>
      </c>
      <c r="X32" t="s">
        <v>244</v>
      </c>
      <c r="Y32" t="s">
        <v>669</v>
      </c>
      <c r="Z32" t="s">
        <v>193</v>
      </c>
      <c r="AA32" t="s">
        <v>832</v>
      </c>
      <c r="AB32" t="b">
        <v>1</v>
      </c>
      <c r="AC32" t="s">
        <v>286</v>
      </c>
      <c r="AD32" t="s">
        <v>772</v>
      </c>
      <c r="AH32" t="s">
        <v>1112</v>
      </c>
      <c r="AI32" t="s">
        <v>340</v>
      </c>
      <c r="AJ32" t="s">
        <v>673</v>
      </c>
      <c r="AK32">
        <v>776390020161202</v>
      </c>
      <c r="AL32" t="s">
        <v>670</v>
      </c>
      <c r="AM32" t="s">
        <v>674</v>
      </c>
      <c r="AN32" t="s">
        <v>197</v>
      </c>
      <c r="AO32" t="s">
        <v>1024</v>
      </c>
      <c r="AP32" t="s">
        <v>701</v>
      </c>
      <c r="AQ32" t="s">
        <v>721</v>
      </c>
      <c r="AR32" t="s">
        <v>722</v>
      </c>
      <c r="AS32" t="s">
        <v>319</v>
      </c>
      <c r="AU32" t="s">
        <v>669</v>
      </c>
      <c r="AV32">
        <v>60000</v>
      </c>
      <c r="AW32">
        <v>36</v>
      </c>
      <c r="AY32">
        <v>100000</v>
      </c>
      <c r="AZ32">
        <v>60</v>
      </c>
      <c r="BA32" t="b">
        <v>0</v>
      </c>
      <c r="BB32" t="s">
        <v>1113</v>
      </c>
      <c r="BC32" t="b">
        <v>1</v>
      </c>
      <c r="BD32" t="b">
        <v>1</v>
      </c>
      <c r="BE32" t="s">
        <v>914</v>
      </c>
      <c r="BF32">
        <v>0</v>
      </c>
      <c r="BG32">
        <v>0</v>
      </c>
      <c r="BH32" t="s">
        <v>1114</v>
      </c>
      <c r="BI32" t="s">
        <v>682</v>
      </c>
      <c r="BJ32" t="b">
        <v>1</v>
      </c>
      <c r="BK32" t="b">
        <v>0</v>
      </c>
      <c r="BL32" t="s">
        <v>1115</v>
      </c>
      <c r="BM32" t="s">
        <v>42</v>
      </c>
      <c r="BN32" t="s">
        <v>684</v>
      </c>
      <c r="BP32" t="s">
        <v>1116</v>
      </c>
      <c r="BQ32" t="b">
        <v>0</v>
      </c>
      <c r="BS32" t="s">
        <v>1117</v>
      </c>
      <c r="BT32" t="s">
        <v>1118</v>
      </c>
      <c r="BU32" t="b">
        <v>0</v>
      </c>
      <c r="BV32" t="s">
        <v>1119</v>
      </c>
      <c r="BW32">
        <v>2</v>
      </c>
      <c r="BX32">
        <v>300</v>
      </c>
      <c r="BY32" t="b">
        <v>1</v>
      </c>
      <c r="BZ32" t="s">
        <v>193</v>
      </c>
      <c r="CA32" t="s">
        <v>1120</v>
      </c>
      <c r="CB32" t="s">
        <v>1121</v>
      </c>
      <c r="CC32" t="s">
        <v>193</v>
      </c>
      <c r="CD32" t="s">
        <v>669</v>
      </c>
      <c r="CH32" t="s">
        <v>1122</v>
      </c>
      <c r="CI32" t="b">
        <v>0</v>
      </c>
      <c r="CJ32" t="s">
        <v>1123</v>
      </c>
      <c r="CK32" t="s">
        <v>193</v>
      </c>
      <c r="CL32" t="s">
        <v>1124</v>
      </c>
      <c r="CM32" t="s">
        <v>1125</v>
      </c>
      <c r="CN32" t="s">
        <v>42</v>
      </c>
      <c r="CO32" t="b">
        <v>1</v>
      </c>
      <c r="CT32" t="b">
        <v>0</v>
      </c>
      <c r="CU32" t="s">
        <v>1126</v>
      </c>
      <c r="CV32" t="s">
        <v>730</v>
      </c>
      <c r="CW32" t="s">
        <v>698</v>
      </c>
      <c r="CY32">
        <v>2999</v>
      </c>
      <c r="CZ32" t="s">
        <v>822</v>
      </c>
      <c r="DA32" t="s">
        <v>250</v>
      </c>
      <c r="DB32">
        <v>184927</v>
      </c>
      <c r="DC32">
        <v>5</v>
      </c>
      <c r="DD32" t="s">
        <v>699</v>
      </c>
      <c r="DE32" t="s">
        <v>669</v>
      </c>
      <c r="DF32">
        <v>41388391</v>
      </c>
      <c r="DG32" t="s">
        <v>1127</v>
      </c>
      <c r="DH32" t="s">
        <v>669</v>
      </c>
      <c r="DI32">
        <v>0</v>
      </c>
      <c r="DJ32">
        <v>-1</v>
      </c>
      <c r="DK32" t="s">
        <v>1128</v>
      </c>
    </row>
    <row r="33" spans="1:115">
      <c r="A33" t="s">
        <v>43</v>
      </c>
      <c r="B33" t="s">
        <v>667</v>
      </c>
      <c r="C33" t="b">
        <v>1</v>
      </c>
      <c r="D33" t="b">
        <v>1</v>
      </c>
      <c r="E33" t="b">
        <v>0</v>
      </c>
      <c r="H33" t="b">
        <v>0</v>
      </c>
      <c r="I33" t="b">
        <v>0</v>
      </c>
      <c r="J33" t="b">
        <v>1</v>
      </c>
      <c r="K33" t="s">
        <v>193</v>
      </c>
      <c r="Q33" t="b">
        <v>0</v>
      </c>
      <c r="S33" t="b">
        <v>0</v>
      </c>
      <c r="T33" t="b">
        <v>0</v>
      </c>
      <c r="U33">
        <v>1390</v>
      </c>
      <c r="W33" t="s">
        <v>668</v>
      </c>
      <c r="X33" t="s">
        <v>788</v>
      </c>
      <c r="Y33" t="s">
        <v>669</v>
      </c>
      <c r="Z33" t="s">
        <v>193</v>
      </c>
      <c r="AA33" t="s">
        <v>832</v>
      </c>
      <c r="AB33" t="b">
        <v>1</v>
      </c>
      <c r="AC33" t="s">
        <v>249</v>
      </c>
      <c r="AD33" t="s">
        <v>1129</v>
      </c>
      <c r="AE33" t="s">
        <v>670</v>
      </c>
      <c r="AF33" t="s">
        <v>733</v>
      </c>
      <c r="AG33" t="s">
        <v>216</v>
      </c>
      <c r="AH33" t="s">
        <v>1130</v>
      </c>
      <c r="AI33" t="s">
        <v>345</v>
      </c>
      <c r="AJ33" t="s">
        <v>673</v>
      </c>
      <c r="AK33">
        <v>831070820220203</v>
      </c>
      <c r="AL33" t="s">
        <v>670</v>
      </c>
      <c r="AM33" t="s">
        <v>674</v>
      </c>
      <c r="AN33" t="s">
        <v>197</v>
      </c>
      <c r="AO33" t="s">
        <v>1131</v>
      </c>
      <c r="AP33" t="s">
        <v>1132</v>
      </c>
      <c r="AQ33" t="s">
        <v>1133</v>
      </c>
      <c r="AR33" t="s">
        <v>346</v>
      </c>
      <c r="AS33" t="s">
        <v>346</v>
      </c>
      <c r="AT33">
        <v>1375</v>
      </c>
      <c r="AU33" t="s">
        <v>669</v>
      </c>
      <c r="AV33">
        <v>60000</v>
      </c>
      <c r="AW33">
        <v>36</v>
      </c>
      <c r="AY33">
        <v>100000</v>
      </c>
      <c r="AZ33">
        <v>60</v>
      </c>
      <c r="BA33" t="b">
        <v>0</v>
      </c>
      <c r="BB33" t="s">
        <v>1134</v>
      </c>
      <c r="BC33" t="b">
        <v>1</v>
      </c>
      <c r="BD33" t="b">
        <v>1</v>
      </c>
      <c r="BE33" t="s">
        <v>914</v>
      </c>
      <c r="BF33">
        <v>0</v>
      </c>
      <c r="BG33">
        <v>0</v>
      </c>
      <c r="BH33" t="s">
        <v>1135</v>
      </c>
      <c r="BI33" t="s">
        <v>682</v>
      </c>
      <c r="BJ33" t="b">
        <v>1</v>
      </c>
      <c r="BK33" t="b">
        <v>0</v>
      </c>
      <c r="BL33" t="s">
        <v>1136</v>
      </c>
      <c r="BM33" t="s">
        <v>44</v>
      </c>
      <c r="BN33" t="s">
        <v>684</v>
      </c>
      <c r="BP33" t="s">
        <v>1137</v>
      </c>
      <c r="BQ33" t="b">
        <v>0</v>
      </c>
      <c r="BR33">
        <v>41372421</v>
      </c>
      <c r="BS33" t="s">
        <v>1138</v>
      </c>
      <c r="BT33" t="s">
        <v>1139</v>
      </c>
      <c r="BU33" t="b">
        <v>0</v>
      </c>
      <c r="BV33" t="s">
        <v>1140</v>
      </c>
      <c r="BW33">
        <v>0</v>
      </c>
      <c r="BX33">
        <v>92</v>
      </c>
      <c r="BY33" t="b">
        <v>1</v>
      </c>
      <c r="BZ33" t="s">
        <v>1141</v>
      </c>
      <c r="CA33" t="s">
        <v>193</v>
      </c>
      <c r="CB33" t="s">
        <v>1142</v>
      </c>
      <c r="CC33" t="s">
        <v>193</v>
      </c>
      <c r="CD33" t="s">
        <v>669</v>
      </c>
      <c r="CH33" t="s">
        <v>1143</v>
      </c>
      <c r="CI33" t="b">
        <v>0</v>
      </c>
      <c r="CJ33" t="s">
        <v>1144</v>
      </c>
      <c r="CK33" t="s">
        <v>193</v>
      </c>
      <c r="CL33" t="s">
        <v>1145</v>
      </c>
      <c r="CM33" t="s">
        <v>1146</v>
      </c>
      <c r="CN33" t="s">
        <v>44</v>
      </c>
      <c r="CO33" t="b">
        <v>1</v>
      </c>
      <c r="CT33" t="b">
        <v>0</v>
      </c>
      <c r="CU33" t="s">
        <v>1147</v>
      </c>
      <c r="CV33" t="s">
        <v>1148</v>
      </c>
      <c r="CW33" t="s">
        <v>1149</v>
      </c>
      <c r="CY33">
        <v>998</v>
      </c>
      <c r="CZ33" t="s">
        <v>670</v>
      </c>
      <c r="DA33" t="s">
        <v>196</v>
      </c>
      <c r="DB33">
        <v>9473</v>
      </c>
      <c r="DC33">
        <v>2</v>
      </c>
      <c r="DD33" t="s">
        <v>699</v>
      </c>
      <c r="DE33" t="s">
        <v>669</v>
      </c>
      <c r="DF33">
        <v>41369527</v>
      </c>
      <c r="DG33" t="s">
        <v>1150</v>
      </c>
      <c r="DH33" t="s">
        <v>669</v>
      </c>
      <c r="DI33">
        <v>0</v>
      </c>
      <c r="DJ33">
        <v>-1</v>
      </c>
      <c r="DK33" t="s">
        <v>1151</v>
      </c>
    </row>
    <row r="34" spans="1:115">
      <c r="A34" t="s">
        <v>45</v>
      </c>
      <c r="B34" t="s">
        <v>667</v>
      </c>
      <c r="C34" t="b">
        <v>1</v>
      </c>
      <c r="D34" t="b">
        <v>1</v>
      </c>
      <c r="E34" t="b">
        <v>0</v>
      </c>
      <c r="H34" t="b">
        <v>0</v>
      </c>
      <c r="I34" t="b">
        <v>0</v>
      </c>
      <c r="J34" t="b">
        <v>1</v>
      </c>
      <c r="K34" t="s">
        <v>193</v>
      </c>
      <c r="Q34" t="b">
        <v>0</v>
      </c>
      <c r="S34" t="b">
        <v>0</v>
      </c>
      <c r="T34" t="b">
        <v>1</v>
      </c>
      <c r="U34">
        <v>2950</v>
      </c>
      <c r="W34" t="s">
        <v>668</v>
      </c>
      <c r="X34" t="s">
        <v>788</v>
      </c>
      <c r="Y34" t="s">
        <v>669</v>
      </c>
      <c r="Z34" t="s">
        <v>193</v>
      </c>
      <c r="AA34" t="s">
        <v>832</v>
      </c>
      <c r="AB34" t="b">
        <v>1</v>
      </c>
      <c r="AC34" t="s">
        <v>195</v>
      </c>
      <c r="AD34" t="s">
        <v>701</v>
      </c>
      <c r="AE34" t="s">
        <v>671</v>
      </c>
      <c r="AF34" t="s">
        <v>900</v>
      </c>
      <c r="AG34" t="s">
        <v>281</v>
      </c>
      <c r="AH34" t="s">
        <v>901</v>
      </c>
      <c r="AI34" t="s">
        <v>280</v>
      </c>
      <c r="AJ34" t="s">
        <v>673</v>
      </c>
      <c r="AK34">
        <v>8.0688792020070113E+18</v>
      </c>
      <c r="AL34" t="s">
        <v>670</v>
      </c>
      <c r="AM34" t="s">
        <v>674</v>
      </c>
      <c r="AN34" t="s">
        <v>197</v>
      </c>
      <c r="AO34" t="s">
        <v>902</v>
      </c>
      <c r="AP34" t="s">
        <v>903</v>
      </c>
      <c r="AQ34" t="s">
        <v>904</v>
      </c>
      <c r="AR34" t="s">
        <v>282</v>
      </c>
      <c r="AS34" t="s">
        <v>282</v>
      </c>
      <c r="AT34">
        <v>4492</v>
      </c>
      <c r="AU34" t="s">
        <v>669</v>
      </c>
      <c r="AV34">
        <v>60000</v>
      </c>
      <c r="AW34">
        <v>36</v>
      </c>
      <c r="AY34">
        <v>100000</v>
      </c>
      <c r="AZ34">
        <v>60</v>
      </c>
      <c r="BA34" t="b">
        <v>0</v>
      </c>
      <c r="BB34" t="s">
        <v>1152</v>
      </c>
      <c r="BC34" t="b">
        <v>1</v>
      </c>
      <c r="BD34" t="b">
        <v>1</v>
      </c>
      <c r="BE34" t="s">
        <v>914</v>
      </c>
      <c r="BF34">
        <v>0</v>
      </c>
      <c r="BG34">
        <v>0</v>
      </c>
      <c r="BH34" t="s">
        <v>1153</v>
      </c>
      <c r="BI34" t="s">
        <v>682</v>
      </c>
      <c r="BJ34" t="b">
        <v>1</v>
      </c>
      <c r="BK34" t="b">
        <v>0</v>
      </c>
      <c r="BL34" t="s">
        <v>1154</v>
      </c>
      <c r="BM34" t="s">
        <v>46</v>
      </c>
      <c r="BN34" t="s">
        <v>684</v>
      </c>
      <c r="BP34" t="s">
        <v>1155</v>
      </c>
      <c r="BQ34" t="b">
        <v>0</v>
      </c>
      <c r="BR34">
        <v>41394112</v>
      </c>
      <c r="BS34" t="s">
        <v>1156</v>
      </c>
      <c r="BT34" t="s">
        <v>1157</v>
      </c>
      <c r="BU34" t="b">
        <v>0</v>
      </c>
      <c r="BV34" t="s">
        <v>1158</v>
      </c>
      <c r="BW34">
        <v>1</v>
      </c>
      <c r="BX34">
        <v>127</v>
      </c>
      <c r="BY34" t="b">
        <v>1</v>
      </c>
      <c r="BZ34" t="s">
        <v>1159</v>
      </c>
      <c r="CA34" t="s">
        <v>193</v>
      </c>
      <c r="CB34" t="s">
        <v>1160</v>
      </c>
      <c r="CC34" t="s">
        <v>193</v>
      </c>
      <c r="CD34" t="s">
        <v>669</v>
      </c>
      <c r="CH34" t="s">
        <v>1161</v>
      </c>
      <c r="CI34" t="b">
        <v>0</v>
      </c>
      <c r="CJ34" t="s">
        <v>1162</v>
      </c>
      <c r="CK34" t="s">
        <v>193</v>
      </c>
      <c r="CL34" t="s">
        <v>1163</v>
      </c>
      <c r="CM34" t="s">
        <v>1164</v>
      </c>
      <c r="CN34" t="s">
        <v>46</v>
      </c>
      <c r="CO34" t="b">
        <v>1</v>
      </c>
      <c r="CT34" t="b">
        <v>0</v>
      </c>
      <c r="CU34" t="s">
        <v>1165</v>
      </c>
      <c r="CV34" t="s">
        <v>716</v>
      </c>
      <c r="CW34" t="s">
        <v>819</v>
      </c>
      <c r="CY34">
        <v>2199</v>
      </c>
      <c r="CZ34" t="s">
        <v>671</v>
      </c>
      <c r="DA34" t="s">
        <v>207</v>
      </c>
      <c r="DB34">
        <v>86631</v>
      </c>
      <c r="DC34">
        <v>7</v>
      </c>
      <c r="DD34" t="s">
        <v>699</v>
      </c>
      <c r="DE34" t="s">
        <v>669</v>
      </c>
      <c r="DF34">
        <v>41390598</v>
      </c>
      <c r="DG34" t="s">
        <v>1166</v>
      </c>
      <c r="DH34" t="s">
        <v>669</v>
      </c>
      <c r="DI34">
        <v>1</v>
      </c>
      <c r="DJ34">
        <v>-1</v>
      </c>
      <c r="DK34" t="s">
        <v>1167</v>
      </c>
    </row>
    <row r="35" spans="1:115">
      <c r="A35" t="s">
        <v>47</v>
      </c>
      <c r="B35" t="s">
        <v>667</v>
      </c>
      <c r="C35" t="b">
        <v>0</v>
      </c>
      <c r="D35" t="b">
        <v>0</v>
      </c>
      <c r="E35" t="b">
        <v>0</v>
      </c>
      <c r="H35" t="b">
        <v>0</v>
      </c>
      <c r="I35" t="b">
        <v>0</v>
      </c>
      <c r="J35" t="b">
        <v>0</v>
      </c>
      <c r="K35" t="s">
        <v>1168</v>
      </c>
      <c r="Q35" t="b">
        <v>0</v>
      </c>
      <c r="R35" t="s">
        <v>1169</v>
      </c>
      <c r="S35" t="b">
        <v>0</v>
      </c>
      <c r="T35" t="b">
        <v>0</v>
      </c>
      <c r="U35">
        <v>370</v>
      </c>
      <c r="W35" t="s">
        <v>668</v>
      </c>
      <c r="X35" t="s">
        <v>193</v>
      </c>
      <c r="Y35" t="s">
        <v>669</v>
      </c>
      <c r="Z35" t="s">
        <v>193</v>
      </c>
      <c r="AB35" t="b">
        <v>1</v>
      </c>
      <c r="AC35" t="s">
        <v>353</v>
      </c>
      <c r="AD35" t="s">
        <v>1170</v>
      </c>
      <c r="AH35" t="s">
        <v>1171</v>
      </c>
      <c r="AI35" t="s">
        <v>352</v>
      </c>
      <c r="AJ35" t="s">
        <v>673</v>
      </c>
      <c r="AK35">
        <v>65544620100802</v>
      </c>
      <c r="AL35" t="s">
        <v>670</v>
      </c>
      <c r="AM35" t="s">
        <v>674</v>
      </c>
      <c r="AN35" t="s">
        <v>197</v>
      </c>
      <c r="AO35" t="s">
        <v>1172</v>
      </c>
      <c r="AP35" t="s">
        <v>676</v>
      </c>
      <c r="AQ35" t="s">
        <v>677</v>
      </c>
      <c r="AR35" t="s">
        <v>678</v>
      </c>
      <c r="AS35" t="s">
        <v>354</v>
      </c>
      <c r="AT35">
        <v>1520</v>
      </c>
      <c r="AU35" t="s">
        <v>669</v>
      </c>
      <c r="AV35">
        <v>60000</v>
      </c>
      <c r="AW35">
        <v>36</v>
      </c>
      <c r="AY35">
        <v>100000</v>
      </c>
      <c r="AZ35">
        <v>60</v>
      </c>
      <c r="BA35" t="b">
        <v>0</v>
      </c>
      <c r="BB35" t="s">
        <v>1173</v>
      </c>
      <c r="BC35" t="b">
        <v>1</v>
      </c>
      <c r="BD35" t="b">
        <v>1</v>
      </c>
      <c r="BE35" t="s">
        <v>914</v>
      </c>
      <c r="BF35">
        <v>0</v>
      </c>
      <c r="BG35">
        <v>0</v>
      </c>
      <c r="BH35" t="s">
        <v>1095</v>
      </c>
      <c r="BI35" t="s">
        <v>682</v>
      </c>
      <c r="BJ35" t="b">
        <v>1</v>
      </c>
      <c r="BK35" t="b">
        <v>0</v>
      </c>
      <c r="BL35" t="s">
        <v>1174</v>
      </c>
      <c r="BM35" t="s">
        <v>48</v>
      </c>
      <c r="BN35" t="s">
        <v>684</v>
      </c>
      <c r="BP35" t="s">
        <v>1175</v>
      </c>
      <c r="BQ35" t="b">
        <v>0</v>
      </c>
      <c r="BS35" t="s">
        <v>1176</v>
      </c>
      <c r="BT35" t="s">
        <v>1176</v>
      </c>
      <c r="BU35" t="b">
        <v>0</v>
      </c>
      <c r="BV35" t="s">
        <v>1177</v>
      </c>
      <c r="BW35">
        <v>1</v>
      </c>
      <c r="BX35">
        <v>71</v>
      </c>
      <c r="BY35" t="b">
        <v>1</v>
      </c>
      <c r="BZ35" t="s">
        <v>1178</v>
      </c>
      <c r="CA35" t="s">
        <v>193</v>
      </c>
      <c r="CB35" t="s">
        <v>1179</v>
      </c>
      <c r="CC35" t="s">
        <v>193</v>
      </c>
      <c r="CD35" t="s">
        <v>669</v>
      </c>
      <c r="CH35" t="s">
        <v>1180</v>
      </c>
      <c r="CI35" t="b">
        <v>0</v>
      </c>
      <c r="CJ35" t="s">
        <v>1104</v>
      </c>
      <c r="CK35" t="s">
        <v>193</v>
      </c>
      <c r="CL35" t="s">
        <v>1181</v>
      </c>
      <c r="CM35" t="s">
        <v>1182</v>
      </c>
      <c r="CN35" t="s">
        <v>48</v>
      </c>
      <c r="CO35" t="b">
        <v>1</v>
      </c>
      <c r="CT35" t="b">
        <v>0</v>
      </c>
      <c r="CU35" t="s">
        <v>1183</v>
      </c>
      <c r="CV35" t="s">
        <v>697</v>
      </c>
      <c r="CW35" t="s">
        <v>698</v>
      </c>
      <c r="CY35">
        <v>1591</v>
      </c>
      <c r="CZ35" t="s">
        <v>670</v>
      </c>
      <c r="DA35" t="s">
        <v>196</v>
      </c>
      <c r="DB35">
        <v>155789</v>
      </c>
      <c r="DC35">
        <v>5</v>
      </c>
      <c r="DD35" t="s">
        <v>699</v>
      </c>
      <c r="DE35" t="s">
        <v>669</v>
      </c>
      <c r="DF35">
        <v>41393805</v>
      </c>
      <c r="DG35" t="s">
        <v>1184</v>
      </c>
      <c r="DH35" t="s">
        <v>669</v>
      </c>
      <c r="DI35">
        <v>-1</v>
      </c>
      <c r="DJ35">
        <v>-1</v>
      </c>
      <c r="DK35" t="s">
        <v>1185</v>
      </c>
    </row>
    <row r="36" spans="1:115">
      <c r="A36" t="s">
        <v>49</v>
      </c>
      <c r="B36" t="s">
        <v>667</v>
      </c>
      <c r="C36" t="b">
        <v>1</v>
      </c>
      <c r="D36" t="b">
        <v>1</v>
      </c>
      <c r="E36" t="b">
        <v>0</v>
      </c>
      <c r="H36" t="b">
        <v>0</v>
      </c>
      <c r="I36" t="b">
        <v>0</v>
      </c>
      <c r="J36" t="b">
        <v>1</v>
      </c>
      <c r="K36" t="s">
        <v>1186</v>
      </c>
      <c r="Q36" t="b">
        <v>0</v>
      </c>
      <c r="R36" t="s">
        <v>1187</v>
      </c>
      <c r="S36" t="b">
        <v>0</v>
      </c>
      <c r="T36" t="b">
        <v>1</v>
      </c>
      <c r="U36">
        <v>1210</v>
      </c>
      <c r="W36" t="s">
        <v>668</v>
      </c>
      <c r="X36" t="s">
        <v>788</v>
      </c>
      <c r="Y36" t="s">
        <v>669</v>
      </c>
      <c r="Z36" t="s">
        <v>193</v>
      </c>
      <c r="AA36" t="s">
        <v>789</v>
      </c>
      <c r="AB36" t="b">
        <v>1</v>
      </c>
      <c r="AC36" t="s">
        <v>254</v>
      </c>
      <c r="AD36" t="s">
        <v>997</v>
      </c>
      <c r="AH36" t="s">
        <v>1188</v>
      </c>
      <c r="AI36" t="s">
        <v>357</v>
      </c>
      <c r="AJ36" t="s">
        <v>673</v>
      </c>
      <c r="AK36">
        <v>773825920170320</v>
      </c>
      <c r="AL36" t="s">
        <v>670</v>
      </c>
      <c r="AM36" t="s">
        <v>674</v>
      </c>
      <c r="AN36" t="s">
        <v>197</v>
      </c>
      <c r="AO36" t="s">
        <v>866</v>
      </c>
      <c r="AP36" t="s">
        <v>676</v>
      </c>
      <c r="AQ36" t="s">
        <v>677</v>
      </c>
      <c r="AR36" t="s">
        <v>678</v>
      </c>
      <c r="AS36" t="s">
        <v>268</v>
      </c>
      <c r="AT36">
        <v>1690</v>
      </c>
      <c r="AU36" t="s">
        <v>669</v>
      </c>
      <c r="AV36">
        <v>60000</v>
      </c>
      <c r="AW36">
        <v>36</v>
      </c>
      <c r="AY36">
        <v>100000</v>
      </c>
      <c r="AZ36">
        <v>60</v>
      </c>
      <c r="BA36" t="b">
        <v>0</v>
      </c>
      <c r="BB36" t="s">
        <v>1189</v>
      </c>
      <c r="BC36" t="b">
        <v>1</v>
      </c>
      <c r="BD36" t="b">
        <v>1</v>
      </c>
      <c r="BE36" t="s">
        <v>914</v>
      </c>
      <c r="BF36">
        <v>0</v>
      </c>
      <c r="BG36">
        <v>0</v>
      </c>
      <c r="BH36" t="s">
        <v>1078</v>
      </c>
      <c r="BI36" t="s">
        <v>682</v>
      </c>
      <c r="BJ36" t="b">
        <v>1</v>
      </c>
      <c r="BK36" t="b">
        <v>0</v>
      </c>
      <c r="BL36" t="s">
        <v>1190</v>
      </c>
      <c r="BM36" t="s">
        <v>50</v>
      </c>
      <c r="BN36" t="s">
        <v>684</v>
      </c>
      <c r="BP36" t="s">
        <v>1191</v>
      </c>
      <c r="BQ36" t="b">
        <v>0</v>
      </c>
      <c r="BR36">
        <v>41327819</v>
      </c>
      <c r="BS36" t="s">
        <v>1192</v>
      </c>
      <c r="BT36" t="s">
        <v>1193</v>
      </c>
      <c r="BU36" t="b">
        <v>0</v>
      </c>
      <c r="BV36" t="s">
        <v>1194</v>
      </c>
      <c r="BW36">
        <v>12</v>
      </c>
      <c r="BX36">
        <v>508</v>
      </c>
      <c r="BY36" t="b">
        <v>1</v>
      </c>
      <c r="BZ36" t="s">
        <v>1195</v>
      </c>
      <c r="CA36" t="s">
        <v>193</v>
      </c>
      <c r="CB36" t="s">
        <v>1196</v>
      </c>
      <c r="CC36" t="s">
        <v>193</v>
      </c>
      <c r="CD36" t="s">
        <v>669</v>
      </c>
      <c r="CH36" t="s">
        <v>1197</v>
      </c>
      <c r="CI36" t="b">
        <v>0</v>
      </c>
      <c r="CJ36" t="s">
        <v>1087</v>
      </c>
      <c r="CK36" t="s">
        <v>193</v>
      </c>
      <c r="CL36" t="s">
        <v>1198</v>
      </c>
      <c r="CM36" t="s">
        <v>1199</v>
      </c>
      <c r="CN36" t="s">
        <v>50</v>
      </c>
      <c r="CO36" t="b">
        <v>1</v>
      </c>
      <c r="CT36" t="b">
        <v>0</v>
      </c>
      <c r="CU36" t="s">
        <v>1200</v>
      </c>
      <c r="CV36" t="s">
        <v>697</v>
      </c>
      <c r="CW36" t="s">
        <v>731</v>
      </c>
      <c r="CY36">
        <v>1591</v>
      </c>
      <c r="CZ36" t="s">
        <v>670</v>
      </c>
      <c r="DA36" t="s">
        <v>196</v>
      </c>
      <c r="DB36">
        <v>53833</v>
      </c>
      <c r="DC36">
        <v>5</v>
      </c>
      <c r="DD36" t="s">
        <v>699</v>
      </c>
      <c r="DE36" t="s">
        <v>669</v>
      </c>
      <c r="DF36">
        <v>41315606</v>
      </c>
      <c r="DG36" t="s">
        <v>1201</v>
      </c>
      <c r="DH36" t="s">
        <v>669</v>
      </c>
      <c r="DI36">
        <v>1</v>
      </c>
      <c r="DJ36">
        <v>-1</v>
      </c>
      <c r="DK36" t="s">
        <v>1202</v>
      </c>
    </row>
    <row r="37" spans="1:115">
      <c r="A37" t="s">
        <v>51</v>
      </c>
      <c r="B37" t="s">
        <v>667</v>
      </c>
      <c r="C37" t="b">
        <v>0</v>
      </c>
      <c r="D37" t="b">
        <v>1</v>
      </c>
      <c r="E37" t="b">
        <v>0</v>
      </c>
      <c r="H37" t="b">
        <v>0</v>
      </c>
      <c r="I37" t="b">
        <v>0</v>
      </c>
      <c r="J37" t="b">
        <v>0</v>
      </c>
      <c r="K37" t="s">
        <v>193</v>
      </c>
      <c r="Q37" t="b">
        <v>0</v>
      </c>
      <c r="S37" t="b">
        <v>0</v>
      </c>
      <c r="T37" t="b">
        <v>0</v>
      </c>
      <c r="U37">
        <v>2590</v>
      </c>
      <c r="W37" t="s">
        <v>668</v>
      </c>
      <c r="X37" t="s">
        <v>244</v>
      </c>
      <c r="Y37" t="s">
        <v>669</v>
      </c>
      <c r="Z37" t="s">
        <v>193</v>
      </c>
      <c r="AA37" t="s">
        <v>832</v>
      </c>
      <c r="AB37" t="b">
        <v>1</v>
      </c>
      <c r="AC37" t="s">
        <v>249</v>
      </c>
      <c r="AD37" t="s">
        <v>670</v>
      </c>
      <c r="AE37" t="s">
        <v>744</v>
      </c>
      <c r="AF37" t="s">
        <v>1203</v>
      </c>
      <c r="AG37" t="s">
        <v>360</v>
      </c>
      <c r="AH37" t="s">
        <v>300</v>
      </c>
      <c r="AI37" t="s">
        <v>300</v>
      </c>
      <c r="AJ37" t="s">
        <v>673</v>
      </c>
      <c r="AK37">
        <v>766182320220511</v>
      </c>
      <c r="AL37" t="s">
        <v>670</v>
      </c>
      <c r="AM37" t="s">
        <v>674</v>
      </c>
      <c r="AN37" t="s">
        <v>197</v>
      </c>
      <c r="AO37" t="s">
        <v>967</v>
      </c>
      <c r="AP37" t="s">
        <v>701</v>
      </c>
      <c r="AQ37" t="s">
        <v>721</v>
      </c>
      <c r="AR37" t="s">
        <v>722</v>
      </c>
      <c r="AS37" t="s">
        <v>303</v>
      </c>
      <c r="AT37">
        <v>3622</v>
      </c>
      <c r="AU37" t="s">
        <v>669</v>
      </c>
      <c r="AV37">
        <v>60000</v>
      </c>
      <c r="AW37">
        <v>36</v>
      </c>
      <c r="AY37">
        <v>100000</v>
      </c>
      <c r="AZ37">
        <v>60</v>
      </c>
      <c r="BA37" t="b">
        <v>0</v>
      </c>
      <c r="BB37" t="s">
        <v>1204</v>
      </c>
      <c r="BC37" t="b">
        <v>1</v>
      </c>
      <c r="BD37" t="b">
        <v>1</v>
      </c>
      <c r="BE37" t="s">
        <v>914</v>
      </c>
      <c r="BF37">
        <v>0</v>
      </c>
      <c r="BG37">
        <v>0</v>
      </c>
      <c r="BH37" t="s">
        <v>1205</v>
      </c>
      <c r="BI37" t="s">
        <v>682</v>
      </c>
      <c r="BJ37" t="b">
        <v>1</v>
      </c>
      <c r="BK37" t="b">
        <v>0</v>
      </c>
      <c r="BL37" t="s">
        <v>1206</v>
      </c>
      <c r="BM37" t="s">
        <v>52</v>
      </c>
      <c r="BN37" t="s">
        <v>684</v>
      </c>
      <c r="BP37" t="s">
        <v>1207</v>
      </c>
      <c r="BQ37" t="b">
        <v>0</v>
      </c>
      <c r="BS37" t="s">
        <v>1208</v>
      </c>
      <c r="BT37" t="s">
        <v>1209</v>
      </c>
      <c r="BU37" t="b">
        <v>0</v>
      </c>
      <c r="BV37" t="s">
        <v>1210</v>
      </c>
      <c r="BW37">
        <v>2</v>
      </c>
      <c r="BX37">
        <v>149</v>
      </c>
      <c r="BY37" t="b">
        <v>1</v>
      </c>
      <c r="BZ37" t="s">
        <v>1084</v>
      </c>
      <c r="CA37" t="s">
        <v>193</v>
      </c>
      <c r="CB37" t="s">
        <v>1211</v>
      </c>
      <c r="CC37" t="s">
        <v>193</v>
      </c>
      <c r="CD37" t="s">
        <v>669</v>
      </c>
      <c r="CH37" t="s">
        <v>1212</v>
      </c>
      <c r="CI37" t="b">
        <v>0</v>
      </c>
      <c r="CJ37" t="s">
        <v>1213</v>
      </c>
      <c r="CK37" t="s">
        <v>193</v>
      </c>
      <c r="CL37" t="s">
        <v>1214</v>
      </c>
      <c r="CM37" t="s">
        <v>1215</v>
      </c>
      <c r="CN37" t="s">
        <v>52</v>
      </c>
      <c r="CO37" t="b">
        <v>1</v>
      </c>
      <c r="CT37" t="b">
        <v>0</v>
      </c>
      <c r="CU37" t="s">
        <v>1216</v>
      </c>
      <c r="CV37" t="s">
        <v>730</v>
      </c>
      <c r="CW37" t="s">
        <v>819</v>
      </c>
      <c r="CY37">
        <v>2497</v>
      </c>
      <c r="CZ37" t="s">
        <v>670</v>
      </c>
      <c r="DA37" t="s">
        <v>196</v>
      </c>
      <c r="DB37">
        <v>70178</v>
      </c>
      <c r="DC37">
        <v>5</v>
      </c>
      <c r="DD37" t="s">
        <v>699</v>
      </c>
      <c r="DE37" t="s">
        <v>669</v>
      </c>
      <c r="DF37">
        <v>41313544</v>
      </c>
      <c r="DG37" t="s">
        <v>1217</v>
      </c>
      <c r="DH37" t="s">
        <v>669</v>
      </c>
      <c r="DI37">
        <v>0</v>
      </c>
      <c r="DJ37">
        <v>-1</v>
      </c>
      <c r="DK37" t="s">
        <v>1218</v>
      </c>
    </row>
    <row r="38" spans="1:115">
      <c r="A38" t="s">
        <v>53</v>
      </c>
      <c r="B38" t="s">
        <v>667</v>
      </c>
      <c r="C38" t="b">
        <v>0</v>
      </c>
      <c r="D38" t="b">
        <v>0</v>
      </c>
      <c r="E38" t="b">
        <v>0</v>
      </c>
      <c r="H38" t="b">
        <v>0</v>
      </c>
      <c r="I38" t="b">
        <v>0</v>
      </c>
      <c r="J38" t="b">
        <v>0</v>
      </c>
      <c r="K38" t="s">
        <v>1056</v>
      </c>
      <c r="Q38" t="b">
        <v>0</v>
      </c>
      <c r="R38" t="s">
        <v>1057</v>
      </c>
      <c r="S38" t="b">
        <v>0</v>
      </c>
      <c r="T38" t="b">
        <v>0</v>
      </c>
      <c r="U38">
        <v>450</v>
      </c>
      <c r="W38" t="s">
        <v>668</v>
      </c>
      <c r="X38" t="s">
        <v>193</v>
      </c>
      <c r="Y38" t="s">
        <v>669</v>
      </c>
      <c r="Z38" t="s">
        <v>193</v>
      </c>
      <c r="AB38" t="b">
        <v>1</v>
      </c>
      <c r="AC38" t="s">
        <v>364</v>
      </c>
      <c r="AD38" t="s">
        <v>759</v>
      </c>
      <c r="AH38" t="s">
        <v>1219</v>
      </c>
      <c r="AI38" t="s">
        <v>363</v>
      </c>
      <c r="AJ38" t="s">
        <v>673</v>
      </c>
      <c r="AK38">
        <v>65544720120913</v>
      </c>
      <c r="AL38" t="s">
        <v>670</v>
      </c>
      <c r="AM38" t="s">
        <v>674</v>
      </c>
      <c r="AN38" t="s">
        <v>197</v>
      </c>
      <c r="AO38" t="s">
        <v>1172</v>
      </c>
      <c r="AP38" t="s">
        <v>676</v>
      </c>
      <c r="AQ38" t="s">
        <v>677</v>
      </c>
      <c r="AR38" t="s">
        <v>678</v>
      </c>
      <c r="AS38" t="s">
        <v>354</v>
      </c>
      <c r="AT38">
        <v>1826</v>
      </c>
      <c r="AU38" t="s">
        <v>669</v>
      </c>
      <c r="AV38">
        <v>60000</v>
      </c>
      <c r="AW38">
        <v>36</v>
      </c>
      <c r="AY38">
        <v>100000</v>
      </c>
      <c r="AZ38">
        <v>60</v>
      </c>
      <c r="BA38" t="b">
        <v>0</v>
      </c>
      <c r="BB38" t="s">
        <v>1220</v>
      </c>
      <c r="BC38" t="b">
        <v>1</v>
      </c>
      <c r="BD38" t="b">
        <v>1</v>
      </c>
      <c r="BE38" t="s">
        <v>914</v>
      </c>
      <c r="BF38">
        <v>0</v>
      </c>
      <c r="BG38">
        <v>0</v>
      </c>
      <c r="BH38" t="s">
        <v>1221</v>
      </c>
      <c r="BI38" t="s">
        <v>682</v>
      </c>
      <c r="BJ38" t="b">
        <v>1</v>
      </c>
      <c r="BK38" t="b">
        <v>0</v>
      </c>
      <c r="BL38" t="s">
        <v>1222</v>
      </c>
      <c r="BM38" t="s">
        <v>54</v>
      </c>
      <c r="BN38" t="s">
        <v>684</v>
      </c>
      <c r="BP38" t="s">
        <v>1223</v>
      </c>
      <c r="BQ38" t="b">
        <v>0</v>
      </c>
      <c r="BS38" t="s">
        <v>1224</v>
      </c>
      <c r="BT38" t="s">
        <v>1225</v>
      </c>
      <c r="BU38" t="b">
        <v>0</v>
      </c>
      <c r="BV38" t="s">
        <v>1226</v>
      </c>
      <c r="BW38">
        <v>11</v>
      </c>
      <c r="BX38">
        <v>426</v>
      </c>
      <c r="BY38" t="b">
        <v>1</v>
      </c>
      <c r="BZ38" t="s">
        <v>1227</v>
      </c>
      <c r="CA38" t="s">
        <v>193</v>
      </c>
      <c r="CB38" t="s">
        <v>1228</v>
      </c>
      <c r="CC38" t="s">
        <v>193</v>
      </c>
      <c r="CD38" t="s">
        <v>669</v>
      </c>
      <c r="CH38" t="s">
        <v>1229</v>
      </c>
      <c r="CI38" t="b">
        <v>0</v>
      </c>
      <c r="CJ38" t="s">
        <v>803</v>
      </c>
      <c r="CK38" t="s">
        <v>193</v>
      </c>
      <c r="CL38" t="s">
        <v>1230</v>
      </c>
      <c r="CM38" t="s">
        <v>1231</v>
      </c>
      <c r="CN38" t="s">
        <v>54</v>
      </c>
      <c r="CO38" t="b">
        <v>1</v>
      </c>
      <c r="CT38" t="b">
        <v>0</v>
      </c>
      <c r="CU38" t="s">
        <v>1232</v>
      </c>
      <c r="CV38" t="s">
        <v>697</v>
      </c>
      <c r="CW38" t="s">
        <v>1233</v>
      </c>
      <c r="CY38">
        <v>1591</v>
      </c>
      <c r="CZ38" t="s">
        <v>670</v>
      </c>
      <c r="DA38" t="s">
        <v>196</v>
      </c>
      <c r="DB38">
        <v>128844</v>
      </c>
      <c r="DC38">
        <v>5</v>
      </c>
      <c r="DD38" t="s">
        <v>699</v>
      </c>
      <c r="DE38" t="s">
        <v>669</v>
      </c>
      <c r="DF38">
        <v>41135028</v>
      </c>
      <c r="DG38" t="s">
        <v>1234</v>
      </c>
      <c r="DH38" t="s">
        <v>669</v>
      </c>
      <c r="DI38">
        <v>-1</v>
      </c>
      <c r="DJ38">
        <v>-1</v>
      </c>
      <c r="DK38" t="s">
        <v>1235</v>
      </c>
    </row>
    <row r="39" spans="1:115">
      <c r="A39" t="s">
        <v>55</v>
      </c>
      <c r="B39" t="s">
        <v>667</v>
      </c>
      <c r="C39" t="b">
        <v>1</v>
      </c>
      <c r="D39" t="b">
        <v>1</v>
      </c>
      <c r="E39" t="b">
        <v>0</v>
      </c>
      <c r="H39" t="b">
        <v>0</v>
      </c>
      <c r="I39" t="b">
        <v>0</v>
      </c>
      <c r="J39" t="b">
        <v>1</v>
      </c>
      <c r="K39" t="s">
        <v>193</v>
      </c>
      <c r="Q39" t="b">
        <v>0</v>
      </c>
      <c r="S39" t="b">
        <v>0</v>
      </c>
      <c r="T39" t="b">
        <v>1</v>
      </c>
      <c r="U39">
        <v>1240</v>
      </c>
      <c r="W39" t="s">
        <v>668</v>
      </c>
      <c r="X39" t="s">
        <v>788</v>
      </c>
      <c r="Y39" t="s">
        <v>669</v>
      </c>
      <c r="Z39" t="s">
        <v>193</v>
      </c>
      <c r="AA39" t="s">
        <v>832</v>
      </c>
      <c r="AB39" t="b">
        <v>1</v>
      </c>
      <c r="AC39" t="s">
        <v>286</v>
      </c>
      <c r="AD39" t="s">
        <v>671</v>
      </c>
      <c r="AE39" t="s">
        <v>671</v>
      </c>
      <c r="AF39" t="s">
        <v>672</v>
      </c>
      <c r="AG39" t="s">
        <v>192</v>
      </c>
      <c r="AH39" t="s">
        <v>703</v>
      </c>
      <c r="AI39" t="s">
        <v>204</v>
      </c>
      <c r="AJ39" t="s">
        <v>673</v>
      </c>
      <c r="AK39">
        <v>791616620160704</v>
      </c>
      <c r="AL39" t="s">
        <v>670</v>
      </c>
      <c r="AM39" t="s">
        <v>674</v>
      </c>
      <c r="AN39" t="s">
        <v>197</v>
      </c>
      <c r="AO39" t="s">
        <v>952</v>
      </c>
      <c r="AP39" t="s">
        <v>932</v>
      </c>
      <c r="AQ39" t="s">
        <v>933</v>
      </c>
      <c r="AR39" t="s">
        <v>934</v>
      </c>
      <c r="AS39" t="s">
        <v>297</v>
      </c>
      <c r="AT39">
        <v>2695</v>
      </c>
      <c r="AU39" t="s">
        <v>669</v>
      </c>
      <c r="AV39">
        <v>60000</v>
      </c>
      <c r="AW39">
        <v>36</v>
      </c>
      <c r="AY39">
        <v>100000</v>
      </c>
      <c r="AZ39">
        <v>60</v>
      </c>
      <c r="BA39" t="b">
        <v>0</v>
      </c>
      <c r="BB39" t="s">
        <v>1236</v>
      </c>
      <c r="BC39" t="b">
        <v>1</v>
      </c>
      <c r="BD39" t="b">
        <v>1</v>
      </c>
      <c r="BE39" t="s">
        <v>914</v>
      </c>
      <c r="BF39">
        <v>0</v>
      </c>
      <c r="BG39">
        <v>0</v>
      </c>
      <c r="BH39" t="s">
        <v>1237</v>
      </c>
      <c r="BI39" t="s">
        <v>682</v>
      </c>
      <c r="BJ39" t="b">
        <v>1</v>
      </c>
      <c r="BK39" t="b">
        <v>0</v>
      </c>
      <c r="BL39" t="s">
        <v>1238</v>
      </c>
      <c r="BM39" t="s">
        <v>56</v>
      </c>
      <c r="BN39" t="s">
        <v>684</v>
      </c>
      <c r="BP39" t="s">
        <v>1239</v>
      </c>
      <c r="BQ39" t="b">
        <v>0</v>
      </c>
      <c r="BR39">
        <v>41394101</v>
      </c>
      <c r="BS39" t="s">
        <v>1240</v>
      </c>
      <c r="BT39" t="s">
        <v>1157</v>
      </c>
      <c r="BU39" t="b">
        <v>0</v>
      </c>
      <c r="BV39" t="s">
        <v>1241</v>
      </c>
      <c r="BW39">
        <v>2</v>
      </c>
      <c r="BX39">
        <v>54</v>
      </c>
      <c r="BY39" t="b">
        <v>1</v>
      </c>
      <c r="BZ39" t="s">
        <v>1242</v>
      </c>
      <c r="CA39" t="s">
        <v>193</v>
      </c>
      <c r="CB39" t="s">
        <v>1243</v>
      </c>
      <c r="CC39" t="s">
        <v>193</v>
      </c>
      <c r="CD39" t="s">
        <v>669</v>
      </c>
      <c r="CH39" t="s">
        <v>1244</v>
      </c>
      <c r="CI39" t="b">
        <v>0</v>
      </c>
      <c r="CJ39" t="s">
        <v>1245</v>
      </c>
      <c r="CK39" t="s">
        <v>193</v>
      </c>
      <c r="CL39" t="s">
        <v>1246</v>
      </c>
      <c r="CM39" t="s">
        <v>1247</v>
      </c>
      <c r="CN39" t="s">
        <v>56</v>
      </c>
      <c r="CO39" t="b">
        <v>1</v>
      </c>
      <c r="CT39" t="b">
        <v>0</v>
      </c>
      <c r="CU39" t="s">
        <v>1248</v>
      </c>
      <c r="CV39" t="s">
        <v>716</v>
      </c>
      <c r="CW39" t="s">
        <v>731</v>
      </c>
      <c r="CY39">
        <v>1995</v>
      </c>
      <c r="CZ39" t="s">
        <v>671</v>
      </c>
      <c r="DA39" t="s">
        <v>207</v>
      </c>
      <c r="DB39">
        <v>107390</v>
      </c>
      <c r="DC39">
        <v>5</v>
      </c>
      <c r="DD39" t="s">
        <v>699</v>
      </c>
      <c r="DE39" t="s">
        <v>669</v>
      </c>
      <c r="DF39">
        <v>41393779</v>
      </c>
      <c r="DG39" t="s">
        <v>1249</v>
      </c>
      <c r="DH39" t="s">
        <v>669</v>
      </c>
      <c r="DI39">
        <v>1</v>
      </c>
      <c r="DJ39">
        <v>-1</v>
      </c>
      <c r="DK39" t="s">
        <v>1250</v>
      </c>
    </row>
    <row r="40" spans="1:115">
      <c r="A40" t="s">
        <v>57</v>
      </c>
      <c r="B40" t="s">
        <v>667</v>
      </c>
      <c r="C40" t="b">
        <v>0</v>
      </c>
      <c r="D40" t="b">
        <v>1</v>
      </c>
      <c r="E40" t="b">
        <v>0</v>
      </c>
      <c r="H40" t="b">
        <v>0</v>
      </c>
      <c r="I40" t="b">
        <v>0</v>
      </c>
      <c r="J40" t="b">
        <v>0</v>
      </c>
      <c r="K40" t="s">
        <v>193</v>
      </c>
      <c r="Q40" t="b">
        <v>0</v>
      </c>
      <c r="S40" t="b">
        <v>0</v>
      </c>
      <c r="T40" t="b">
        <v>0</v>
      </c>
      <c r="U40">
        <v>1030</v>
      </c>
      <c r="W40" t="s">
        <v>668</v>
      </c>
      <c r="X40" t="s">
        <v>244</v>
      </c>
      <c r="Y40" t="s">
        <v>669</v>
      </c>
      <c r="Z40" t="s">
        <v>193</v>
      </c>
      <c r="AA40" t="s">
        <v>832</v>
      </c>
      <c r="AB40" t="b">
        <v>1</v>
      </c>
      <c r="AC40" t="s">
        <v>254</v>
      </c>
      <c r="AD40" t="s">
        <v>671</v>
      </c>
      <c r="AE40" t="s">
        <v>671</v>
      </c>
      <c r="AF40" t="s">
        <v>756</v>
      </c>
      <c r="AG40" t="s">
        <v>227</v>
      </c>
      <c r="AH40" t="s">
        <v>1023</v>
      </c>
      <c r="AI40" t="s">
        <v>318</v>
      </c>
      <c r="AJ40" t="s">
        <v>673</v>
      </c>
      <c r="AK40">
        <v>776390020170302</v>
      </c>
      <c r="AL40" t="s">
        <v>670</v>
      </c>
      <c r="AM40" t="s">
        <v>674</v>
      </c>
      <c r="AN40" t="s">
        <v>197</v>
      </c>
      <c r="AO40" t="s">
        <v>1024</v>
      </c>
      <c r="AP40" t="s">
        <v>701</v>
      </c>
      <c r="AQ40" t="s">
        <v>721</v>
      </c>
      <c r="AR40" t="s">
        <v>722</v>
      </c>
      <c r="AS40" t="s">
        <v>319</v>
      </c>
      <c r="AT40">
        <v>3375</v>
      </c>
      <c r="AU40" t="s">
        <v>669</v>
      </c>
      <c r="AV40">
        <v>60000</v>
      </c>
      <c r="AW40">
        <v>36</v>
      </c>
      <c r="AY40">
        <v>100000</v>
      </c>
      <c r="AZ40">
        <v>60</v>
      </c>
      <c r="BA40" t="b">
        <v>0</v>
      </c>
      <c r="BB40" t="s">
        <v>1251</v>
      </c>
      <c r="BC40" t="b">
        <v>1</v>
      </c>
      <c r="BD40" t="b">
        <v>1</v>
      </c>
      <c r="BE40" t="s">
        <v>914</v>
      </c>
      <c r="BF40">
        <v>0</v>
      </c>
      <c r="BG40">
        <v>0</v>
      </c>
      <c r="BH40" t="s">
        <v>1252</v>
      </c>
      <c r="BI40" t="s">
        <v>682</v>
      </c>
      <c r="BJ40" t="b">
        <v>1</v>
      </c>
      <c r="BK40" t="b">
        <v>0</v>
      </c>
      <c r="BL40" t="s">
        <v>1253</v>
      </c>
      <c r="BM40" t="s">
        <v>58</v>
      </c>
      <c r="BN40" t="s">
        <v>684</v>
      </c>
      <c r="BP40" t="s">
        <v>1254</v>
      </c>
      <c r="BQ40" t="b">
        <v>0</v>
      </c>
      <c r="BS40" t="s">
        <v>1255</v>
      </c>
      <c r="BT40" t="s">
        <v>1256</v>
      </c>
      <c r="BU40" t="b">
        <v>0</v>
      </c>
      <c r="BV40" t="s">
        <v>1257</v>
      </c>
      <c r="BW40">
        <v>0</v>
      </c>
      <c r="BX40">
        <v>37</v>
      </c>
      <c r="BY40" t="b">
        <v>1</v>
      </c>
      <c r="BZ40" t="s">
        <v>1258</v>
      </c>
      <c r="CA40" t="s">
        <v>193</v>
      </c>
      <c r="CB40" t="s">
        <v>1259</v>
      </c>
      <c r="CC40" t="s">
        <v>193</v>
      </c>
      <c r="CD40" t="s">
        <v>669</v>
      </c>
      <c r="CH40" t="s">
        <v>1260</v>
      </c>
      <c r="CI40" t="b">
        <v>0</v>
      </c>
      <c r="CJ40" t="s">
        <v>1069</v>
      </c>
      <c r="CK40" t="s">
        <v>193</v>
      </c>
      <c r="CL40" t="s">
        <v>1261</v>
      </c>
      <c r="CM40" t="s">
        <v>1262</v>
      </c>
      <c r="CN40" t="s">
        <v>58</v>
      </c>
      <c r="CO40" t="b">
        <v>1</v>
      </c>
      <c r="CT40" t="b">
        <v>0</v>
      </c>
      <c r="CU40" t="s">
        <v>1263</v>
      </c>
      <c r="CV40" t="s">
        <v>730</v>
      </c>
      <c r="CW40" t="s">
        <v>875</v>
      </c>
      <c r="CY40">
        <v>2359</v>
      </c>
      <c r="CZ40" t="s">
        <v>670</v>
      </c>
      <c r="DA40" t="s">
        <v>196</v>
      </c>
      <c r="DB40">
        <v>196646</v>
      </c>
      <c r="DC40">
        <v>5</v>
      </c>
      <c r="DD40" t="s">
        <v>699</v>
      </c>
      <c r="DE40" t="s">
        <v>669</v>
      </c>
      <c r="DF40">
        <v>41359860</v>
      </c>
      <c r="DG40" t="s">
        <v>1264</v>
      </c>
      <c r="DH40" t="s">
        <v>669</v>
      </c>
      <c r="DI40">
        <v>0</v>
      </c>
      <c r="DJ40">
        <v>-1</v>
      </c>
      <c r="DK40" t="s">
        <v>1265</v>
      </c>
    </row>
    <row r="41" spans="1:115">
      <c r="A41" t="s">
        <v>59</v>
      </c>
      <c r="B41" t="s">
        <v>1266</v>
      </c>
      <c r="C41" t="b">
        <v>0</v>
      </c>
      <c r="D41" t="b">
        <v>1</v>
      </c>
      <c r="E41" t="b">
        <v>0</v>
      </c>
      <c r="H41" t="b">
        <v>0</v>
      </c>
      <c r="I41" t="b">
        <v>0</v>
      </c>
      <c r="J41" t="b">
        <v>0</v>
      </c>
      <c r="K41" t="s">
        <v>193</v>
      </c>
      <c r="O41">
        <v>85</v>
      </c>
      <c r="P41">
        <v>38</v>
      </c>
      <c r="Q41" t="b">
        <v>0</v>
      </c>
      <c r="S41" t="b">
        <v>0</v>
      </c>
      <c r="T41" t="b">
        <v>0</v>
      </c>
      <c r="U41">
        <v>3130</v>
      </c>
      <c r="W41" t="s">
        <v>668</v>
      </c>
      <c r="X41" t="s">
        <v>244</v>
      </c>
      <c r="Y41" t="s">
        <v>669</v>
      </c>
      <c r="Z41" t="s">
        <v>193</v>
      </c>
      <c r="AA41" t="s">
        <v>832</v>
      </c>
      <c r="AB41" t="b">
        <v>1</v>
      </c>
      <c r="AC41" t="s">
        <v>372</v>
      </c>
      <c r="AD41" t="s">
        <v>671</v>
      </c>
      <c r="AE41" t="s">
        <v>822</v>
      </c>
      <c r="AF41" t="s">
        <v>966</v>
      </c>
      <c r="AG41" t="s">
        <v>301</v>
      </c>
      <c r="AH41" t="s">
        <v>1267</v>
      </c>
      <c r="AI41" t="s">
        <v>371</v>
      </c>
      <c r="AJ41" t="s">
        <v>673</v>
      </c>
      <c r="AK41">
        <v>7.9973502023081411E+18</v>
      </c>
      <c r="AL41" t="s">
        <v>670</v>
      </c>
      <c r="AM41" t="s">
        <v>674</v>
      </c>
      <c r="AN41" t="s">
        <v>197</v>
      </c>
      <c r="AO41" t="s">
        <v>1268</v>
      </c>
      <c r="AP41" t="s">
        <v>705</v>
      </c>
      <c r="AQ41" t="s">
        <v>706</v>
      </c>
      <c r="AR41" t="s">
        <v>707</v>
      </c>
      <c r="AS41" t="s">
        <v>373</v>
      </c>
      <c r="AT41">
        <v>4596</v>
      </c>
      <c r="AU41" t="s">
        <v>669</v>
      </c>
      <c r="AV41">
        <v>60000</v>
      </c>
      <c r="AW41">
        <v>36</v>
      </c>
      <c r="AY41">
        <v>100000</v>
      </c>
      <c r="AZ41">
        <v>60</v>
      </c>
      <c r="BA41" t="b">
        <v>0</v>
      </c>
      <c r="BB41" t="s">
        <v>1269</v>
      </c>
      <c r="BC41" t="b">
        <v>1</v>
      </c>
      <c r="BD41" t="b">
        <v>1</v>
      </c>
      <c r="BE41" t="s">
        <v>914</v>
      </c>
      <c r="BF41">
        <v>0</v>
      </c>
      <c r="BG41">
        <v>0</v>
      </c>
      <c r="BH41" t="s">
        <v>1026</v>
      </c>
      <c r="BI41" t="s">
        <v>682</v>
      </c>
      <c r="BJ41" t="b">
        <v>1</v>
      </c>
      <c r="BK41" t="b">
        <v>0</v>
      </c>
      <c r="BL41" t="s">
        <v>1270</v>
      </c>
      <c r="BM41" t="s">
        <v>60</v>
      </c>
      <c r="BN41" t="s">
        <v>684</v>
      </c>
      <c r="BP41" t="s">
        <v>1271</v>
      </c>
      <c r="BQ41" t="b">
        <v>0</v>
      </c>
      <c r="BS41" t="s">
        <v>1272</v>
      </c>
      <c r="BT41" t="s">
        <v>1272</v>
      </c>
      <c r="BU41" t="b">
        <v>1</v>
      </c>
      <c r="BV41" t="s">
        <v>1273</v>
      </c>
      <c r="BW41">
        <v>0</v>
      </c>
      <c r="BX41">
        <v>55</v>
      </c>
      <c r="BY41" t="b">
        <v>1</v>
      </c>
      <c r="BZ41" t="s">
        <v>1274</v>
      </c>
      <c r="CA41" t="s">
        <v>193</v>
      </c>
      <c r="CB41" t="s">
        <v>1275</v>
      </c>
      <c r="CC41" t="s">
        <v>193</v>
      </c>
      <c r="CD41" t="s">
        <v>669</v>
      </c>
      <c r="CH41" t="s">
        <v>1276</v>
      </c>
      <c r="CI41" t="b">
        <v>0</v>
      </c>
      <c r="CJ41" t="s">
        <v>1035</v>
      </c>
      <c r="CK41" t="s">
        <v>193</v>
      </c>
      <c r="CL41" t="s">
        <v>1261</v>
      </c>
      <c r="CM41" t="s">
        <v>1277</v>
      </c>
      <c r="CN41" t="s">
        <v>60</v>
      </c>
      <c r="CO41" t="b">
        <v>1</v>
      </c>
      <c r="CT41" t="b">
        <v>0</v>
      </c>
      <c r="CU41" t="s">
        <v>1278</v>
      </c>
      <c r="CV41" t="s">
        <v>716</v>
      </c>
      <c r="CW41" t="s">
        <v>698</v>
      </c>
      <c r="CY41">
        <v>2497</v>
      </c>
      <c r="CZ41" t="s">
        <v>670</v>
      </c>
      <c r="DA41" t="s">
        <v>196</v>
      </c>
      <c r="DB41">
        <v>11379</v>
      </c>
      <c r="DC41">
        <v>5</v>
      </c>
      <c r="DD41" t="s">
        <v>699</v>
      </c>
      <c r="DE41" t="s">
        <v>669</v>
      </c>
      <c r="DF41">
        <v>39193215</v>
      </c>
      <c r="DG41" t="s">
        <v>1279</v>
      </c>
      <c r="DH41" t="s">
        <v>669</v>
      </c>
      <c r="DI41">
        <v>0</v>
      </c>
      <c r="DJ41">
        <v>-1</v>
      </c>
      <c r="DK41" t="s">
        <v>1280</v>
      </c>
    </row>
    <row r="42" spans="1:115">
      <c r="A42" t="s">
        <v>61</v>
      </c>
      <c r="B42" t="s">
        <v>667</v>
      </c>
      <c r="C42" t="b">
        <v>0</v>
      </c>
      <c r="D42" t="b">
        <v>0</v>
      </c>
      <c r="E42" t="b">
        <v>0</v>
      </c>
      <c r="H42" t="b">
        <v>0</v>
      </c>
      <c r="I42" t="b">
        <v>0</v>
      </c>
      <c r="J42" t="b">
        <v>0</v>
      </c>
      <c r="K42" t="s">
        <v>193</v>
      </c>
      <c r="Q42" t="b">
        <v>0</v>
      </c>
      <c r="S42" t="b">
        <v>0</v>
      </c>
      <c r="T42" t="b">
        <v>0</v>
      </c>
      <c r="U42">
        <v>559</v>
      </c>
      <c r="W42" t="s">
        <v>668</v>
      </c>
      <c r="X42" t="s">
        <v>193</v>
      </c>
      <c r="Y42" t="s">
        <v>669</v>
      </c>
      <c r="Z42" t="s">
        <v>193</v>
      </c>
      <c r="AB42" t="b">
        <v>1</v>
      </c>
      <c r="AC42" t="s">
        <v>364</v>
      </c>
      <c r="AD42" t="s">
        <v>670</v>
      </c>
      <c r="AE42" t="s">
        <v>772</v>
      </c>
      <c r="AF42" t="s">
        <v>672</v>
      </c>
      <c r="AG42" t="s">
        <v>192</v>
      </c>
      <c r="AH42" t="s">
        <v>376</v>
      </c>
      <c r="AI42" t="s">
        <v>376</v>
      </c>
      <c r="AJ42" t="s">
        <v>673</v>
      </c>
      <c r="AK42">
        <v>715202820130101</v>
      </c>
      <c r="AL42" t="s">
        <v>670</v>
      </c>
      <c r="AM42" t="s">
        <v>674</v>
      </c>
      <c r="AN42" t="s">
        <v>197</v>
      </c>
      <c r="AO42" t="s">
        <v>1281</v>
      </c>
      <c r="AP42" t="s">
        <v>1282</v>
      </c>
      <c r="AQ42" t="s">
        <v>1283</v>
      </c>
      <c r="AR42" t="s">
        <v>1284</v>
      </c>
      <c r="AS42" t="s">
        <v>377</v>
      </c>
      <c r="AT42">
        <v>6880</v>
      </c>
      <c r="AU42" t="s">
        <v>669</v>
      </c>
      <c r="AV42">
        <v>120000</v>
      </c>
      <c r="AW42">
        <v>60</v>
      </c>
      <c r="AY42">
        <v>120000</v>
      </c>
      <c r="AZ42">
        <v>60</v>
      </c>
      <c r="BA42" t="b">
        <v>0</v>
      </c>
      <c r="BB42" t="s">
        <v>1285</v>
      </c>
      <c r="BC42" t="b">
        <v>1</v>
      </c>
      <c r="BD42" t="b">
        <v>1</v>
      </c>
      <c r="BE42" t="s">
        <v>914</v>
      </c>
      <c r="BF42">
        <v>0</v>
      </c>
      <c r="BG42">
        <v>0</v>
      </c>
      <c r="BH42" t="s">
        <v>1286</v>
      </c>
      <c r="BI42" t="s">
        <v>682</v>
      </c>
      <c r="BJ42" t="b">
        <v>0</v>
      </c>
      <c r="BK42" t="b">
        <v>0</v>
      </c>
      <c r="BL42" t="s">
        <v>1287</v>
      </c>
      <c r="BM42" t="s">
        <v>62</v>
      </c>
      <c r="BN42" t="s">
        <v>684</v>
      </c>
      <c r="BP42" t="s">
        <v>1288</v>
      </c>
      <c r="BQ42" t="b">
        <v>0</v>
      </c>
      <c r="BS42" t="s">
        <v>1289</v>
      </c>
      <c r="BT42" t="s">
        <v>1290</v>
      </c>
      <c r="BU42" t="b">
        <v>0</v>
      </c>
      <c r="BV42" t="s">
        <v>1291</v>
      </c>
      <c r="BW42">
        <v>2</v>
      </c>
      <c r="BX42">
        <v>328</v>
      </c>
      <c r="BY42" t="b">
        <v>0</v>
      </c>
      <c r="BZ42" t="s">
        <v>193</v>
      </c>
      <c r="CA42" t="s">
        <v>193</v>
      </c>
      <c r="CB42" t="s">
        <v>1292</v>
      </c>
      <c r="CC42" t="s">
        <v>691</v>
      </c>
      <c r="CD42" t="s">
        <v>669</v>
      </c>
      <c r="CO42" t="b">
        <v>0</v>
      </c>
      <c r="CT42" t="b">
        <v>0</v>
      </c>
      <c r="CU42" t="s">
        <v>1293</v>
      </c>
      <c r="CV42" t="s">
        <v>730</v>
      </c>
      <c r="CW42" t="s">
        <v>819</v>
      </c>
      <c r="CY42">
        <v>3778</v>
      </c>
      <c r="CZ42" t="s">
        <v>670</v>
      </c>
      <c r="DA42" t="s">
        <v>196</v>
      </c>
      <c r="DB42">
        <v>190000</v>
      </c>
      <c r="DC42">
        <v>5</v>
      </c>
      <c r="DD42" t="s">
        <v>699</v>
      </c>
      <c r="DE42" t="s">
        <v>669</v>
      </c>
      <c r="DF42">
        <v>39854943</v>
      </c>
      <c r="DG42" t="s">
        <v>1294</v>
      </c>
      <c r="DH42" t="s">
        <v>669</v>
      </c>
      <c r="DI42">
        <v>-1</v>
      </c>
      <c r="DJ42">
        <v>-1</v>
      </c>
    </row>
    <row r="43" spans="1:115">
      <c r="A43" t="s">
        <v>63</v>
      </c>
      <c r="B43" t="s">
        <v>667</v>
      </c>
      <c r="C43" t="b">
        <v>1</v>
      </c>
      <c r="D43" t="b">
        <v>1</v>
      </c>
      <c r="E43" t="b">
        <v>0</v>
      </c>
      <c r="H43" t="b">
        <v>0</v>
      </c>
      <c r="I43" t="b">
        <v>0</v>
      </c>
      <c r="J43" t="b">
        <v>1</v>
      </c>
      <c r="K43" t="s">
        <v>193</v>
      </c>
      <c r="Q43" t="b">
        <v>0</v>
      </c>
      <c r="S43" t="b">
        <v>0</v>
      </c>
      <c r="T43" t="b">
        <v>1</v>
      </c>
      <c r="U43">
        <v>1660</v>
      </c>
      <c r="W43" t="s">
        <v>668</v>
      </c>
      <c r="X43" t="s">
        <v>788</v>
      </c>
      <c r="Y43" t="s">
        <v>669</v>
      </c>
      <c r="Z43" t="s">
        <v>193</v>
      </c>
      <c r="AA43" t="s">
        <v>832</v>
      </c>
      <c r="AB43" t="b">
        <v>1</v>
      </c>
      <c r="AC43" t="s">
        <v>254</v>
      </c>
      <c r="AD43" t="s">
        <v>822</v>
      </c>
      <c r="AH43" t="s">
        <v>1295</v>
      </c>
      <c r="AI43" t="s">
        <v>380</v>
      </c>
      <c r="AJ43" t="s">
        <v>673</v>
      </c>
      <c r="AK43">
        <v>754746820170308</v>
      </c>
      <c r="AL43" t="s">
        <v>670</v>
      </c>
      <c r="AM43" t="s">
        <v>674</v>
      </c>
      <c r="AN43" t="s">
        <v>197</v>
      </c>
      <c r="AO43" t="s">
        <v>834</v>
      </c>
      <c r="AP43" t="s">
        <v>759</v>
      </c>
      <c r="AQ43" t="s">
        <v>760</v>
      </c>
      <c r="AR43" t="s">
        <v>761</v>
      </c>
      <c r="AS43" t="s">
        <v>255</v>
      </c>
      <c r="AT43">
        <v>2705</v>
      </c>
      <c r="AU43" t="s">
        <v>669</v>
      </c>
      <c r="AV43">
        <v>60000</v>
      </c>
      <c r="AW43">
        <v>36</v>
      </c>
      <c r="AY43">
        <v>100000</v>
      </c>
      <c r="AZ43">
        <v>60</v>
      </c>
      <c r="BA43" t="b">
        <v>0</v>
      </c>
      <c r="BB43" t="s">
        <v>1189</v>
      </c>
      <c r="BC43" t="b">
        <v>1</v>
      </c>
      <c r="BD43" t="b">
        <v>1</v>
      </c>
      <c r="BE43" t="s">
        <v>914</v>
      </c>
      <c r="BF43">
        <v>0</v>
      </c>
      <c r="BG43">
        <v>0</v>
      </c>
      <c r="BH43" t="s">
        <v>1078</v>
      </c>
      <c r="BI43" t="s">
        <v>682</v>
      </c>
      <c r="BJ43" t="b">
        <v>1</v>
      </c>
      <c r="BK43" t="b">
        <v>0</v>
      </c>
      <c r="BL43" t="s">
        <v>1296</v>
      </c>
      <c r="BM43" t="s">
        <v>64</v>
      </c>
      <c r="BN43" t="s">
        <v>684</v>
      </c>
      <c r="BP43" t="s">
        <v>1297</v>
      </c>
      <c r="BQ43" t="b">
        <v>0</v>
      </c>
      <c r="BR43">
        <v>41198718</v>
      </c>
      <c r="BS43" t="s">
        <v>1298</v>
      </c>
      <c r="BT43" t="s">
        <v>1299</v>
      </c>
      <c r="BU43" t="b">
        <v>0</v>
      </c>
      <c r="BV43" t="s">
        <v>1300</v>
      </c>
      <c r="BW43">
        <v>2</v>
      </c>
      <c r="BX43">
        <v>685</v>
      </c>
      <c r="BY43" t="b">
        <v>1</v>
      </c>
      <c r="BZ43" t="s">
        <v>816</v>
      </c>
      <c r="CA43" t="s">
        <v>193</v>
      </c>
      <c r="CB43" t="s">
        <v>1301</v>
      </c>
      <c r="CC43" t="s">
        <v>193</v>
      </c>
      <c r="CD43" t="s">
        <v>669</v>
      </c>
      <c r="CH43" t="s">
        <v>1086</v>
      </c>
      <c r="CI43" t="b">
        <v>0</v>
      </c>
      <c r="CJ43" t="s">
        <v>1087</v>
      </c>
      <c r="CK43" t="s">
        <v>193</v>
      </c>
      <c r="CL43" t="s">
        <v>1088</v>
      </c>
      <c r="CM43" t="s">
        <v>1302</v>
      </c>
      <c r="CN43" t="s">
        <v>64</v>
      </c>
      <c r="CO43" t="b">
        <v>1</v>
      </c>
      <c r="CT43" t="b">
        <v>0</v>
      </c>
      <c r="CU43" t="s">
        <v>1303</v>
      </c>
      <c r="CV43" t="s">
        <v>769</v>
      </c>
      <c r="CW43" t="s">
        <v>698</v>
      </c>
      <c r="CY43">
        <v>1999</v>
      </c>
      <c r="CZ43" t="s">
        <v>670</v>
      </c>
      <c r="DA43" t="s">
        <v>196</v>
      </c>
      <c r="DB43">
        <v>36047</v>
      </c>
      <c r="DC43">
        <v>5</v>
      </c>
      <c r="DD43" t="s">
        <v>699</v>
      </c>
      <c r="DE43" t="s">
        <v>669</v>
      </c>
      <c r="DF43">
        <v>41189526</v>
      </c>
      <c r="DG43" t="s">
        <v>1304</v>
      </c>
      <c r="DH43" t="s">
        <v>669</v>
      </c>
      <c r="DI43">
        <v>1</v>
      </c>
      <c r="DJ43">
        <v>-1</v>
      </c>
      <c r="DK43" t="s">
        <v>1305</v>
      </c>
    </row>
    <row r="44" spans="1:115">
      <c r="A44" t="s">
        <v>65</v>
      </c>
      <c r="B44" t="s">
        <v>667</v>
      </c>
      <c r="C44" t="b">
        <v>0</v>
      </c>
      <c r="D44" t="b">
        <v>0</v>
      </c>
      <c r="E44" t="b">
        <v>0</v>
      </c>
      <c r="H44" t="b">
        <v>0</v>
      </c>
      <c r="I44" t="b">
        <v>0</v>
      </c>
      <c r="J44" t="b">
        <v>0</v>
      </c>
      <c r="K44" t="s">
        <v>1056</v>
      </c>
      <c r="Q44" t="b">
        <v>0</v>
      </c>
      <c r="R44" t="s">
        <v>1057</v>
      </c>
      <c r="S44" t="b">
        <v>0</v>
      </c>
      <c r="T44" t="b">
        <v>0</v>
      </c>
      <c r="U44">
        <v>2540</v>
      </c>
      <c r="W44" t="s">
        <v>668</v>
      </c>
      <c r="X44" t="s">
        <v>193</v>
      </c>
      <c r="Y44" t="s">
        <v>669</v>
      </c>
      <c r="Z44" t="s">
        <v>193</v>
      </c>
      <c r="AB44" t="b">
        <v>1</v>
      </c>
      <c r="AC44" t="s">
        <v>302</v>
      </c>
      <c r="AD44" t="s">
        <v>822</v>
      </c>
      <c r="AE44" t="s">
        <v>670</v>
      </c>
      <c r="AF44" t="s">
        <v>702</v>
      </c>
      <c r="AG44" t="s">
        <v>205</v>
      </c>
      <c r="AH44" t="s">
        <v>791</v>
      </c>
      <c r="AI44" t="s">
        <v>236</v>
      </c>
      <c r="AJ44" t="s">
        <v>673</v>
      </c>
      <c r="AK44">
        <v>806888020210801</v>
      </c>
      <c r="AL44" t="s">
        <v>670</v>
      </c>
      <c r="AM44" t="s">
        <v>674</v>
      </c>
      <c r="AN44" t="s">
        <v>197</v>
      </c>
      <c r="AO44" t="s">
        <v>902</v>
      </c>
      <c r="AP44" t="s">
        <v>903</v>
      </c>
      <c r="AQ44" t="s">
        <v>904</v>
      </c>
      <c r="AR44" t="s">
        <v>282</v>
      </c>
      <c r="AS44" t="s">
        <v>282</v>
      </c>
      <c r="AT44">
        <v>3756</v>
      </c>
      <c r="AU44" t="s">
        <v>669</v>
      </c>
      <c r="AV44">
        <v>60000</v>
      </c>
      <c r="AW44">
        <v>36</v>
      </c>
      <c r="AY44">
        <v>100000</v>
      </c>
      <c r="AZ44">
        <v>60</v>
      </c>
      <c r="BA44" t="b">
        <v>0</v>
      </c>
      <c r="BB44" t="s">
        <v>1306</v>
      </c>
      <c r="BC44" t="b">
        <v>1</v>
      </c>
      <c r="BD44" t="b">
        <v>1</v>
      </c>
      <c r="BE44" t="s">
        <v>914</v>
      </c>
      <c r="BF44">
        <v>0</v>
      </c>
      <c r="BG44">
        <v>0</v>
      </c>
      <c r="BH44" t="s">
        <v>1307</v>
      </c>
      <c r="BI44" t="s">
        <v>682</v>
      </c>
      <c r="BJ44" t="b">
        <v>1</v>
      </c>
      <c r="BK44" t="b">
        <v>0</v>
      </c>
      <c r="BL44" t="s">
        <v>1308</v>
      </c>
      <c r="BM44" t="s">
        <v>66</v>
      </c>
      <c r="BN44" t="s">
        <v>684</v>
      </c>
      <c r="BP44" t="s">
        <v>1309</v>
      </c>
      <c r="BQ44" t="b">
        <v>0</v>
      </c>
      <c r="BS44" t="s">
        <v>1310</v>
      </c>
      <c r="BT44" t="s">
        <v>1311</v>
      </c>
      <c r="BU44" t="b">
        <v>0</v>
      </c>
      <c r="BV44" t="s">
        <v>1312</v>
      </c>
      <c r="BW44">
        <v>0</v>
      </c>
      <c r="BX44">
        <v>819</v>
      </c>
      <c r="BY44" t="b">
        <v>1</v>
      </c>
      <c r="BZ44" t="s">
        <v>1313</v>
      </c>
      <c r="CA44" t="s">
        <v>193</v>
      </c>
      <c r="CB44" t="s">
        <v>1314</v>
      </c>
      <c r="CC44" t="s">
        <v>691</v>
      </c>
      <c r="CD44" t="s">
        <v>669</v>
      </c>
      <c r="CH44" t="s">
        <v>1315</v>
      </c>
      <c r="CI44" t="b">
        <v>0</v>
      </c>
      <c r="CJ44" t="s">
        <v>1051</v>
      </c>
      <c r="CK44" t="s">
        <v>193</v>
      </c>
      <c r="CL44" t="s">
        <v>1316</v>
      </c>
      <c r="CM44" t="s">
        <v>1317</v>
      </c>
      <c r="CN44" t="s">
        <v>66</v>
      </c>
      <c r="CO44" t="b">
        <v>1</v>
      </c>
      <c r="CT44" t="b">
        <v>0</v>
      </c>
      <c r="CU44" t="s">
        <v>1318</v>
      </c>
      <c r="CV44" t="s">
        <v>716</v>
      </c>
      <c r="CW44" t="s">
        <v>698</v>
      </c>
      <c r="CY44">
        <v>2199</v>
      </c>
      <c r="CZ44" t="s">
        <v>671</v>
      </c>
      <c r="DA44" t="s">
        <v>207</v>
      </c>
      <c r="DB44">
        <v>102407</v>
      </c>
      <c r="DC44">
        <v>7</v>
      </c>
      <c r="DD44" t="s">
        <v>699</v>
      </c>
      <c r="DE44" t="s">
        <v>669</v>
      </c>
      <c r="DF44">
        <v>41187820</v>
      </c>
      <c r="DG44" t="s">
        <v>1319</v>
      </c>
      <c r="DH44" t="s">
        <v>669</v>
      </c>
      <c r="DI44">
        <v>-1</v>
      </c>
      <c r="DJ44">
        <v>-1</v>
      </c>
      <c r="DK44" t="s">
        <v>1320</v>
      </c>
    </row>
    <row r="45" spans="1:115">
      <c r="A45" t="s">
        <v>67</v>
      </c>
      <c r="B45" t="s">
        <v>667</v>
      </c>
      <c r="C45" t="b">
        <v>1</v>
      </c>
      <c r="D45" t="b">
        <v>1</v>
      </c>
      <c r="E45" t="b">
        <v>0</v>
      </c>
      <c r="H45" t="b">
        <v>0</v>
      </c>
      <c r="I45" t="b">
        <v>0</v>
      </c>
      <c r="J45" t="b">
        <v>1</v>
      </c>
      <c r="K45" t="s">
        <v>193</v>
      </c>
      <c r="Q45" t="b">
        <v>0</v>
      </c>
      <c r="S45" t="b">
        <v>0</v>
      </c>
      <c r="T45" t="b">
        <v>1</v>
      </c>
      <c r="U45">
        <v>3490</v>
      </c>
      <c r="W45" t="s">
        <v>668</v>
      </c>
      <c r="X45" t="s">
        <v>788</v>
      </c>
      <c r="Y45" t="s">
        <v>669</v>
      </c>
      <c r="Z45" t="s">
        <v>193</v>
      </c>
      <c r="AA45" t="s">
        <v>789</v>
      </c>
      <c r="AB45" t="b">
        <v>1</v>
      </c>
      <c r="AC45" t="s">
        <v>249</v>
      </c>
      <c r="AD45" t="s">
        <v>671</v>
      </c>
      <c r="AE45" t="s">
        <v>670</v>
      </c>
      <c r="AF45" t="s">
        <v>672</v>
      </c>
      <c r="AG45" t="s">
        <v>192</v>
      </c>
      <c r="AH45" t="s">
        <v>1321</v>
      </c>
      <c r="AI45" t="s">
        <v>385</v>
      </c>
      <c r="AJ45" t="s">
        <v>673</v>
      </c>
      <c r="AK45">
        <v>8.2557152022081208E+18</v>
      </c>
      <c r="AL45" t="s">
        <v>670</v>
      </c>
      <c r="AM45" t="s">
        <v>674</v>
      </c>
      <c r="AN45" t="s">
        <v>197</v>
      </c>
      <c r="AO45" t="s">
        <v>888</v>
      </c>
      <c r="AP45" t="s">
        <v>889</v>
      </c>
      <c r="AQ45" t="s">
        <v>890</v>
      </c>
      <c r="AR45" t="s">
        <v>277</v>
      </c>
      <c r="AS45" t="s">
        <v>277</v>
      </c>
      <c r="AT45">
        <v>3364</v>
      </c>
      <c r="AU45" t="s">
        <v>669</v>
      </c>
      <c r="AV45">
        <v>40000</v>
      </c>
      <c r="AW45">
        <v>24</v>
      </c>
      <c r="AY45">
        <v>60000</v>
      </c>
      <c r="AZ45">
        <v>36</v>
      </c>
      <c r="BA45" t="b">
        <v>0</v>
      </c>
      <c r="BB45" t="s">
        <v>1322</v>
      </c>
      <c r="BC45" t="b">
        <v>1</v>
      </c>
      <c r="BD45" t="b">
        <v>1</v>
      </c>
      <c r="BE45" t="s">
        <v>914</v>
      </c>
      <c r="BF45">
        <v>0</v>
      </c>
      <c r="BG45">
        <v>0</v>
      </c>
      <c r="BH45" t="s">
        <v>1323</v>
      </c>
      <c r="BI45" t="s">
        <v>682</v>
      </c>
      <c r="BJ45" t="b">
        <v>1</v>
      </c>
      <c r="BK45" t="b">
        <v>0</v>
      </c>
      <c r="BL45" t="s">
        <v>1324</v>
      </c>
      <c r="BM45" t="s">
        <v>68</v>
      </c>
      <c r="BN45" t="s">
        <v>684</v>
      </c>
      <c r="BP45" t="s">
        <v>1325</v>
      </c>
      <c r="BQ45" t="b">
        <v>0</v>
      </c>
      <c r="BR45">
        <v>41196083</v>
      </c>
      <c r="BS45" t="s">
        <v>1326</v>
      </c>
      <c r="BT45" t="s">
        <v>1327</v>
      </c>
      <c r="BU45" t="b">
        <v>0</v>
      </c>
      <c r="BV45" t="s">
        <v>1328</v>
      </c>
      <c r="BW45">
        <v>3</v>
      </c>
      <c r="BX45">
        <v>230</v>
      </c>
      <c r="BY45" t="b">
        <v>1</v>
      </c>
      <c r="BZ45" t="s">
        <v>1329</v>
      </c>
      <c r="CA45" t="s">
        <v>193</v>
      </c>
      <c r="CB45" t="s">
        <v>1330</v>
      </c>
      <c r="CC45" t="s">
        <v>193</v>
      </c>
      <c r="CD45" t="s">
        <v>669</v>
      </c>
      <c r="CH45" t="s">
        <v>1331</v>
      </c>
      <c r="CI45" t="b">
        <v>0</v>
      </c>
      <c r="CJ45" t="s">
        <v>1332</v>
      </c>
      <c r="CK45" t="s">
        <v>193</v>
      </c>
      <c r="CL45" t="s">
        <v>1333</v>
      </c>
      <c r="CM45" t="s">
        <v>1334</v>
      </c>
      <c r="CN45" t="s">
        <v>68</v>
      </c>
      <c r="CO45" t="b">
        <v>1</v>
      </c>
      <c r="CT45" t="b">
        <v>0</v>
      </c>
      <c r="CU45" t="s">
        <v>1335</v>
      </c>
      <c r="CV45" t="s">
        <v>786</v>
      </c>
      <c r="CW45" t="s">
        <v>770</v>
      </c>
      <c r="CY45">
        <v>2199</v>
      </c>
      <c r="CZ45" t="s">
        <v>671</v>
      </c>
      <c r="DA45" t="s">
        <v>207</v>
      </c>
      <c r="DB45">
        <v>57682</v>
      </c>
      <c r="DC45">
        <v>9</v>
      </c>
      <c r="DD45" t="s">
        <v>699</v>
      </c>
      <c r="DE45" t="s">
        <v>669</v>
      </c>
      <c r="DF45">
        <v>41194026</v>
      </c>
      <c r="DG45" t="s">
        <v>1336</v>
      </c>
      <c r="DH45" t="s">
        <v>669</v>
      </c>
      <c r="DI45">
        <v>1</v>
      </c>
      <c r="DJ45">
        <v>-1</v>
      </c>
      <c r="DK45" t="s">
        <v>1337</v>
      </c>
    </row>
    <row r="46" spans="1:115">
      <c r="A46" t="s">
        <v>69</v>
      </c>
      <c r="B46" t="s">
        <v>667</v>
      </c>
      <c r="C46" t="b">
        <v>0</v>
      </c>
      <c r="D46" t="b">
        <v>1</v>
      </c>
      <c r="E46" t="b">
        <v>0</v>
      </c>
      <c r="H46" t="b">
        <v>0</v>
      </c>
      <c r="I46" t="b">
        <v>0</v>
      </c>
      <c r="J46" t="b">
        <v>1</v>
      </c>
      <c r="K46" t="s">
        <v>193</v>
      </c>
      <c r="Q46" t="b">
        <v>0</v>
      </c>
      <c r="S46" t="b">
        <v>0</v>
      </c>
      <c r="T46" t="b">
        <v>1</v>
      </c>
      <c r="U46">
        <v>940</v>
      </c>
      <c r="W46" t="s">
        <v>668</v>
      </c>
      <c r="X46" t="s">
        <v>788</v>
      </c>
      <c r="Y46" t="s">
        <v>669</v>
      </c>
      <c r="Z46" t="s">
        <v>193</v>
      </c>
      <c r="AA46" t="s">
        <v>832</v>
      </c>
      <c r="AB46" t="b">
        <v>1</v>
      </c>
      <c r="AC46" t="s">
        <v>254</v>
      </c>
      <c r="AD46" t="s">
        <v>670</v>
      </c>
      <c r="AE46" t="s">
        <v>701</v>
      </c>
      <c r="AF46" t="s">
        <v>845</v>
      </c>
      <c r="AG46" t="s">
        <v>259</v>
      </c>
      <c r="AH46" t="s">
        <v>1338</v>
      </c>
      <c r="AI46" t="s">
        <v>388</v>
      </c>
      <c r="AJ46" t="s">
        <v>673</v>
      </c>
      <c r="AK46">
        <v>773862320170420</v>
      </c>
      <c r="AL46" t="s">
        <v>670</v>
      </c>
      <c r="AM46" t="s">
        <v>674</v>
      </c>
      <c r="AN46" t="s">
        <v>197</v>
      </c>
      <c r="AO46" t="s">
        <v>1339</v>
      </c>
      <c r="AP46" t="s">
        <v>670</v>
      </c>
      <c r="AQ46" t="s">
        <v>747</v>
      </c>
      <c r="AR46" t="s">
        <v>747</v>
      </c>
      <c r="AS46" t="s">
        <v>389</v>
      </c>
      <c r="AT46">
        <v>2400</v>
      </c>
      <c r="AU46" t="s">
        <v>669</v>
      </c>
      <c r="AV46">
        <v>60000</v>
      </c>
      <c r="AW46">
        <v>36</v>
      </c>
      <c r="AY46">
        <v>100000</v>
      </c>
      <c r="AZ46">
        <v>60</v>
      </c>
      <c r="BA46" t="b">
        <v>0</v>
      </c>
      <c r="BB46" t="s">
        <v>1340</v>
      </c>
      <c r="BC46" t="b">
        <v>1</v>
      </c>
      <c r="BD46" t="b">
        <v>1</v>
      </c>
      <c r="BE46" t="s">
        <v>914</v>
      </c>
      <c r="BF46">
        <v>0</v>
      </c>
      <c r="BG46">
        <v>0</v>
      </c>
      <c r="BH46" t="s">
        <v>1307</v>
      </c>
      <c r="BI46" t="s">
        <v>682</v>
      </c>
      <c r="BJ46" t="b">
        <v>1</v>
      </c>
      <c r="BK46" t="b">
        <v>0</v>
      </c>
      <c r="BL46" t="s">
        <v>1341</v>
      </c>
      <c r="BM46" t="s">
        <v>70</v>
      </c>
      <c r="BN46" t="s">
        <v>684</v>
      </c>
      <c r="BP46" t="s">
        <v>1342</v>
      </c>
      <c r="BQ46" t="b">
        <v>0</v>
      </c>
      <c r="BR46">
        <v>41291469</v>
      </c>
      <c r="BS46" t="s">
        <v>1343</v>
      </c>
      <c r="BT46" t="s">
        <v>1344</v>
      </c>
      <c r="BU46" t="b">
        <v>0</v>
      </c>
      <c r="BV46" t="s">
        <v>1345</v>
      </c>
      <c r="BW46">
        <v>4</v>
      </c>
      <c r="BX46">
        <v>527</v>
      </c>
      <c r="BY46" t="b">
        <v>1</v>
      </c>
      <c r="BZ46" t="s">
        <v>882</v>
      </c>
      <c r="CA46" t="s">
        <v>193</v>
      </c>
      <c r="CB46" t="s">
        <v>1346</v>
      </c>
      <c r="CC46" t="s">
        <v>193</v>
      </c>
      <c r="CD46" t="s">
        <v>669</v>
      </c>
      <c r="CH46" t="s">
        <v>1347</v>
      </c>
      <c r="CI46" t="b">
        <v>0</v>
      </c>
      <c r="CJ46" t="s">
        <v>1051</v>
      </c>
      <c r="CK46" t="s">
        <v>193</v>
      </c>
      <c r="CL46" t="s">
        <v>1348</v>
      </c>
      <c r="CM46" t="s">
        <v>1349</v>
      </c>
      <c r="CN46" t="s">
        <v>70</v>
      </c>
      <c r="CO46" t="b">
        <v>1</v>
      </c>
      <c r="CT46" t="b">
        <v>0</v>
      </c>
      <c r="CU46" t="s">
        <v>1350</v>
      </c>
      <c r="CV46" t="s">
        <v>697</v>
      </c>
      <c r="CW46" t="s">
        <v>875</v>
      </c>
      <c r="CY46">
        <v>1353</v>
      </c>
      <c r="CZ46" t="s">
        <v>670</v>
      </c>
      <c r="DA46" t="s">
        <v>196</v>
      </c>
      <c r="DB46">
        <v>153214</v>
      </c>
      <c r="DC46">
        <v>5</v>
      </c>
      <c r="DD46" t="s">
        <v>699</v>
      </c>
      <c r="DE46" t="s">
        <v>669</v>
      </c>
      <c r="DF46">
        <v>41274924</v>
      </c>
      <c r="DG46" t="s">
        <v>1351</v>
      </c>
      <c r="DH46" t="s">
        <v>669</v>
      </c>
      <c r="DI46">
        <v>1</v>
      </c>
      <c r="DJ46">
        <v>-1</v>
      </c>
      <c r="DK46" t="s">
        <v>1352</v>
      </c>
    </row>
    <row r="47" spans="1:115">
      <c r="A47" t="s">
        <v>71</v>
      </c>
      <c r="B47" t="s">
        <v>667</v>
      </c>
      <c r="C47" t="b">
        <v>0</v>
      </c>
      <c r="D47" t="b">
        <v>1</v>
      </c>
      <c r="E47" t="b">
        <v>0</v>
      </c>
      <c r="H47" t="b">
        <v>0</v>
      </c>
      <c r="I47" t="b">
        <v>0</v>
      </c>
      <c r="J47" t="b">
        <v>0</v>
      </c>
      <c r="K47" t="s">
        <v>1056</v>
      </c>
      <c r="Q47" t="b">
        <v>0</v>
      </c>
      <c r="R47" t="s">
        <v>1057</v>
      </c>
      <c r="S47" t="b">
        <v>0</v>
      </c>
      <c r="T47" t="b">
        <v>0</v>
      </c>
      <c r="U47">
        <v>1590</v>
      </c>
      <c r="W47" t="s">
        <v>668</v>
      </c>
      <c r="X47" t="s">
        <v>244</v>
      </c>
      <c r="Y47" t="s">
        <v>669</v>
      </c>
      <c r="Z47" t="s">
        <v>193</v>
      </c>
      <c r="AA47" t="s">
        <v>832</v>
      </c>
      <c r="AB47" t="b">
        <v>1</v>
      </c>
      <c r="AC47" t="s">
        <v>217</v>
      </c>
      <c r="AD47" t="s">
        <v>670</v>
      </c>
      <c r="AE47" t="s">
        <v>701</v>
      </c>
      <c r="AF47" t="s">
        <v>1353</v>
      </c>
      <c r="AG47" t="s">
        <v>393</v>
      </c>
      <c r="AH47" t="s">
        <v>1354</v>
      </c>
      <c r="AI47" t="s">
        <v>392</v>
      </c>
      <c r="AJ47" t="s">
        <v>673</v>
      </c>
      <c r="AK47">
        <v>785640420190101</v>
      </c>
      <c r="AL47" t="s">
        <v>670</v>
      </c>
      <c r="AM47" t="s">
        <v>674</v>
      </c>
      <c r="AN47" t="s">
        <v>197</v>
      </c>
      <c r="AO47" t="s">
        <v>1355</v>
      </c>
      <c r="AP47" t="s">
        <v>1356</v>
      </c>
      <c r="AQ47" t="s">
        <v>1357</v>
      </c>
      <c r="AR47" t="s">
        <v>394</v>
      </c>
      <c r="AS47" t="s">
        <v>394</v>
      </c>
      <c r="AT47">
        <v>2184</v>
      </c>
      <c r="AU47" t="s">
        <v>669</v>
      </c>
      <c r="AV47">
        <v>60000</v>
      </c>
      <c r="AW47">
        <v>36</v>
      </c>
      <c r="AY47">
        <v>100000</v>
      </c>
      <c r="AZ47">
        <v>60</v>
      </c>
      <c r="BA47" t="b">
        <v>0</v>
      </c>
      <c r="BB47" t="s">
        <v>1358</v>
      </c>
      <c r="BC47" t="b">
        <v>1</v>
      </c>
      <c r="BD47" t="b">
        <v>1</v>
      </c>
      <c r="BE47" t="s">
        <v>914</v>
      </c>
      <c r="BF47">
        <v>0</v>
      </c>
      <c r="BG47">
        <v>0</v>
      </c>
      <c r="BH47" t="s">
        <v>1359</v>
      </c>
      <c r="BI47" t="s">
        <v>682</v>
      </c>
      <c r="BJ47" t="b">
        <v>1</v>
      </c>
      <c r="BK47" t="b">
        <v>0</v>
      </c>
      <c r="BL47" t="s">
        <v>1360</v>
      </c>
      <c r="BM47" t="s">
        <v>72</v>
      </c>
      <c r="BN47" t="s">
        <v>684</v>
      </c>
      <c r="BP47" t="s">
        <v>1361</v>
      </c>
      <c r="BQ47" t="b">
        <v>0</v>
      </c>
      <c r="BS47" t="s">
        <v>1362</v>
      </c>
      <c r="BT47" t="s">
        <v>1362</v>
      </c>
      <c r="BU47" t="b">
        <v>0</v>
      </c>
      <c r="BV47" t="s">
        <v>1363</v>
      </c>
      <c r="BW47">
        <v>2</v>
      </c>
      <c r="BX47">
        <v>203</v>
      </c>
      <c r="BY47" t="b">
        <v>1</v>
      </c>
      <c r="BZ47" t="s">
        <v>1364</v>
      </c>
      <c r="CA47" t="s">
        <v>193</v>
      </c>
      <c r="CB47" t="s">
        <v>1365</v>
      </c>
      <c r="CC47" t="s">
        <v>193</v>
      </c>
      <c r="CD47" t="s">
        <v>669</v>
      </c>
      <c r="CH47" t="s">
        <v>1366</v>
      </c>
      <c r="CI47" t="b">
        <v>0</v>
      </c>
      <c r="CJ47" t="s">
        <v>1367</v>
      </c>
      <c r="CK47" t="s">
        <v>193</v>
      </c>
      <c r="CL47" t="s">
        <v>1368</v>
      </c>
      <c r="CM47" t="s">
        <v>1369</v>
      </c>
      <c r="CN47" t="s">
        <v>72</v>
      </c>
      <c r="CO47" t="b">
        <v>1</v>
      </c>
      <c r="CT47" t="b">
        <v>0</v>
      </c>
      <c r="CU47" t="s">
        <v>1370</v>
      </c>
      <c r="CV47" t="s">
        <v>716</v>
      </c>
      <c r="CW47" t="s">
        <v>698</v>
      </c>
      <c r="CY47">
        <v>1591</v>
      </c>
      <c r="CZ47" t="s">
        <v>670</v>
      </c>
      <c r="DA47" t="s">
        <v>196</v>
      </c>
      <c r="DB47">
        <v>77903</v>
      </c>
      <c r="DC47">
        <v>5</v>
      </c>
      <c r="DD47" t="s">
        <v>699</v>
      </c>
      <c r="DE47" t="s">
        <v>669</v>
      </c>
      <c r="DF47">
        <v>41270430</v>
      </c>
      <c r="DG47" t="s">
        <v>1371</v>
      </c>
      <c r="DH47" t="s">
        <v>669</v>
      </c>
      <c r="DI47">
        <v>0</v>
      </c>
      <c r="DJ47">
        <v>-1</v>
      </c>
      <c r="DK47" t="s">
        <v>1372</v>
      </c>
    </row>
    <row r="48" spans="1:115">
      <c r="A48" t="s">
        <v>73</v>
      </c>
      <c r="B48" t="s">
        <v>667</v>
      </c>
      <c r="C48" t="b">
        <v>1</v>
      </c>
      <c r="D48" t="b">
        <v>1</v>
      </c>
      <c r="E48" t="b">
        <v>0</v>
      </c>
      <c r="H48" t="b">
        <v>0</v>
      </c>
      <c r="I48" t="b">
        <v>0</v>
      </c>
      <c r="J48" t="b">
        <v>1</v>
      </c>
      <c r="K48" t="s">
        <v>193</v>
      </c>
      <c r="Q48" t="b">
        <v>0</v>
      </c>
      <c r="S48" t="b">
        <v>0</v>
      </c>
      <c r="T48" t="b">
        <v>1</v>
      </c>
      <c r="U48">
        <v>1750</v>
      </c>
      <c r="W48" t="s">
        <v>668</v>
      </c>
      <c r="X48" t="s">
        <v>788</v>
      </c>
      <c r="Y48" t="s">
        <v>669</v>
      </c>
      <c r="Z48" t="s">
        <v>193</v>
      </c>
      <c r="AA48" t="s">
        <v>789</v>
      </c>
      <c r="AB48" t="b">
        <v>1</v>
      </c>
      <c r="AC48" t="s">
        <v>217</v>
      </c>
      <c r="AD48" t="s">
        <v>822</v>
      </c>
      <c r="AE48" t="s">
        <v>670</v>
      </c>
      <c r="AF48" t="s">
        <v>702</v>
      </c>
      <c r="AG48" t="s">
        <v>205</v>
      </c>
      <c r="AH48" t="s">
        <v>791</v>
      </c>
      <c r="AI48" t="s">
        <v>236</v>
      </c>
      <c r="AJ48" t="s">
        <v>673</v>
      </c>
      <c r="AK48">
        <v>795551720180221</v>
      </c>
      <c r="AL48" t="s">
        <v>670</v>
      </c>
      <c r="AM48" t="s">
        <v>674</v>
      </c>
      <c r="AN48" t="s">
        <v>197</v>
      </c>
      <c r="AO48" t="s">
        <v>1076</v>
      </c>
      <c r="AP48" t="s">
        <v>705</v>
      </c>
      <c r="AQ48" t="s">
        <v>706</v>
      </c>
      <c r="AR48" t="s">
        <v>707</v>
      </c>
      <c r="AS48" t="s">
        <v>332</v>
      </c>
      <c r="AT48">
        <v>3410</v>
      </c>
      <c r="AU48" t="s">
        <v>669</v>
      </c>
      <c r="AV48">
        <v>60000</v>
      </c>
      <c r="AW48">
        <v>36</v>
      </c>
      <c r="AY48">
        <v>100000</v>
      </c>
      <c r="AZ48">
        <v>60</v>
      </c>
      <c r="BA48" t="b">
        <v>0</v>
      </c>
      <c r="BB48" t="s">
        <v>1373</v>
      </c>
      <c r="BC48" t="b">
        <v>1</v>
      </c>
      <c r="BD48" t="b">
        <v>1</v>
      </c>
      <c r="BE48" t="s">
        <v>914</v>
      </c>
      <c r="BF48">
        <v>0</v>
      </c>
      <c r="BG48">
        <v>0</v>
      </c>
      <c r="BH48" t="s">
        <v>1026</v>
      </c>
      <c r="BI48" t="s">
        <v>682</v>
      </c>
      <c r="BJ48" t="b">
        <v>1</v>
      </c>
      <c r="BK48" t="b">
        <v>0</v>
      </c>
      <c r="BL48" t="s">
        <v>1374</v>
      </c>
      <c r="BM48" t="s">
        <v>74</v>
      </c>
      <c r="BN48" t="s">
        <v>684</v>
      </c>
      <c r="BP48" t="s">
        <v>1375</v>
      </c>
      <c r="BQ48" t="b">
        <v>0</v>
      </c>
      <c r="BR48">
        <v>41259617</v>
      </c>
      <c r="BS48" t="s">
        <v>1376</v>
      </c>
      <c r="BT48" t="s">
        <v>1377</v>
      </c>
      <c r="BU48" t="b">
        <v>0</v>
      </c>
      <c r="BV48" t="s">
        <v>1378</v>
      </c>
      <c r="BW48">
        <v>1</v>
      </c>
      <c r="BX48">
        <v>384</v>
      </c>
      <c r="BY48" t="b">
        <v>1</v>
      </c>
      <c r="BZ48" t="s">
        <v>1379</v>
      </c>
      <c r="CA48" t="s">
        <v>193</v>
      </c>
      <c r="CB48" t="s">
        <v>1380</v>
      </c>
      <c r="CC48" t="s">
        <v>193</v>
      </c>
      <c r="CD48" t="s">
        <v>669</v>
      </c>
      <c r="CH48" t="s">
        <v>1381</v>
      </c>
      <c r="CI48" t="b">
        <v>0</v>
      </c>
      <c r="CJ48" t="s">
        <v>1035</v>
      </c>
      <c r="CK48" t="s">
        <v>193</v>
      </c>
      <c r="CL48" t="s">
        <v>1382</v>
      </c>
      <c r="CM48" t="s">
        <v>1383</v>
      </c>
      <c r="CN48" t="s">
        <v>74</v>
      </c>
      <c r="CO48" t="b">
        <v>1</v>
      </c>
      <c r="CT48" t="b">
        <v>0</v>
      </c>
      <c r="CU48" t="s">
        <v>1384</v>
      </c>
      <c r="CV48" t="s">
        <v>716</v>
      </c>
      <c r="CW48" t="s">
        <v>731</v>
      </c>
      <c r="CY48">
        <v>2199</v>
      </c>
      <c r="CZ48" t="s">
        <v>671</v>
      </c>
      <c r="DA48" t="s">
        <v>207</v>
      </c>
      <c r="DB48">
        <v>146534</v>
      </c>
      <c r="DC48">
        <v>5</v>
      </c>
      <c r="DD48" t="s">
        <v>699</v>
      </c>
      <c r="DE48" t="s">
        <v>669</v>
      </c>
      <c r="DF48">
        <v>41259286</v>
      </c>
      <c r="DG48" t="s">
        <v>1385</v>
      </c>
      <c r="DH48" t="s">
        <v>669</v>
      </c>
      <c r="DI48">
        <v>1</v>
      </c>
      <c r="DJ48">
        <v>-1</v>
      </c>
      <c r="DK48" t="s">
        <v>1386</v>
      </c>
    </row>
    <row r="49" spans="1:115">
      <c r="A49" t="s">
        <v>75</v>
      </c>
      <c r="B49" t="s">
        <v>667</v>
      </c>
      <c r="C49" t="b">
        <v>0</v>
      </c>
      <c r="D49" t="b">
        <v>1</v>
      </c>
      <c r="E49" t="b">
        <v>0</v>
      </c>
      <c r="H49" t="b">
        <v>0</v>
      </c>
      <c r="I49" t="b">
        <v>0</v>
      </c>
      <c r="J49" t="b">
        <v>0</v>
      </c>
      <c r="K49" t="s">
        <v>193</v>
      </c>
      <c r="Q49" t="b">
        <v>0</v>
      </c>
      <c r="S49" t="b">
        <v>0</v>
      </c>
      <c r="T49" t="b">
        <v>0</v>
      </c>
      <c r="U49">
        <v>2050</v>
      </c>
      <c r="W49" t="s">
        <v>668</v>
      </c>
      <c r="X49" t="s">
        <v>244</v>
      </c>
      <c r="Y49" t="s">
        <v>669</v>
      </c>
      <c r="Z49" t="s">
        <v>193</v>
      </c>
      <c r="AA49" t="s">
        <v>832</v>
      </c>
      <c r="AB49" t="b">
        <v>1</v>
      </c>
      <c r="AC49" t="s">
        <v>195</v>
      </c>
      <c r="AD49" t="s">
        <v>822</v>
      </c>
      <c r="AH49" t="s">
        <v>886</v>
      </c>
      <c r="AI49" t="s">
        <v>275</v>
      </c>
      <c r="AJ49" t="s">
        <v>673</v>
      </c>
      <c r="AK49">
        <v>819870020200813</v>
      </c>
      <c r="AL49" t="s">
        <v>670</v>
      </c>
      <c r="AM49" t="s">
        <v>674</v>
      </c>
      <c r="AN49" t="s">
        <v>197</v>
      </c>
      <c r="AO49" t="s">
        <v>1387</v>
      </c>
      <c r="AP49" t="s">
        <v>676</v>
      </c>
      <c r="AQ49" t="s">
        <v>677</v>
      </c>
      <c r="AR49" t="s">
        <v>678</v>
      </c>
      <c r="AS49" t="s">
        <v>399</v>
      </c>
      <c r="AT49">
        <v>2942</v>
      </c>
      <c r="AU49" t="s">
        <v>669</v>
      </c>
      <c r="AV49">
        <v>60000</v>
      </c>
      <c r="AW49">
        <v>36</v>
      </c>
      <c r="AY49">
        <v>100000</v>
      </c>
      <c r="AZ49">
        <v>60</v>
      </c>
      <c r="BA49" t="b">
        <v>0</v>
      </c>
      <c r="BB49" t="s">
        <v>679</v>
      </c>
      <c r="BC49" t="b">
        <v>1</v>
      </c>
      <c r="BD49" t="b">
        <v>1</v>
      </c>
      <c r="BE49" t="s">
        <v>680</v>
      </c>
      <c r="BF49">
        <v>0</v>
      </c>
      <c r="BG49">
        <v>0</v>
      </c>
      <c r="BH49" t="s">
        <v>1388</v>
      </c>
      <c r="BI49" t="s">
        <v>682</v>
      </c>
      <c r="BJ49" t="b">
        <v>1</v>
      </c>
      <c r="BK49" t="b">
        <v>0</v>
      </c>
      <c r="BL49" t="s">
        <v>1389</v>
      </c>
      <c r="BM49" t="s">
        <v>76</v>
      </c>
      <c r="BN49" t="s">
        <v>684</v>
      </c>
      <c r="BP49" t="s">
        <v>1390</v>
      </c>
      <c r="BQ49" t="b">
        <v>0</v>
      </c>
      <c r="BS49" t="s">
        <v>1391</v>
      </c>
      <c r="BT49" t="s">
        <v>1392</v>
      </c>
      <c r="BU49" t="b">
        <v>0</v>
      </c>
      <c r="BV49" t="s">
        <v>1393</v>
      </c>
      <c r="BW49">
        <v>4</v>
      </c>
      <c r="BX49">
        <v>220</v>
      </c>
      <c r="BY49" t="b">
        <v>1</v>
      </c>
      <c r="BZ49" t="s">
        <v>1394</v>
      </c>
      <c r="CA49" t="s">
        <v>193</v>
      </c>
      <c r="CB49" t="s">
        <v>1395</v>
      </c>
      <c r="CC49" t="s">
        <v>193</v>
      </c>
      <c r="CD49" t="s">
        <v>669</v>
      </c>
      <c r="CH49" t="s">
        <v>1396</v>
      </c>
      <c r="CI49" t="b">
        <v>0</v>
      </c>
      <c r="CJ49" t="s">
        <v>1397</v>
      </c>
      <c r="CK49" t="s">
        <v>193</v>
      </c>
      <c r="CL49" t="s">
        <v>1398</v>
      </c>
      <c r="CM49" t="s">
        <v>1399</v>
      </c>
      <c r="CN49" t="s">
        <v>76</v>
      </c>
      <c r="CO49" t="b">
        <v>1</v>
      </c>
      <c r="CT49" t="b">
        <v>0</v>
      </c>
      <c r="CU49" t="s">
        <v>1400</v>
      </c>
      <c r="CV49" t="s">
        <v>697</v>
      </c>
      <c r="CW49" t="s">
        <v>819</v>
      </c>
      <c r="CY49">
        <v>1580</v>
      </c>
      <c r="CZ49" t="s">
        <v>809</v>
      </c>
      <c r="DA49" t="s">
        <v>336</v>
      </c>
      <c r="DB49">
        <v>83705</v>
      </c>
      <c r="DC49">
        <v>5</v>
      </c>
      <c r="DD49" t="s">
        <v>699</v>
      </c>
      <c r="DE49" t="s">
        <v>669</v>
      </c>
      <c r="DF49">
        <v>41254301</v>
      </c>
      <c r="DG49" t="s">
        <v>1401</v>
      </c>
      <c r="DH49" t="s">
        <v>669</v>
      </c>
      <c r="DI49">
        <v>0</v>
      </c>
      <c r="DJ49">
        <v>-1</v>
      </c>
      <c r="DK49" t="s">
        <v>1402</v>
      </c>
    </row>
    <row r="50" spans="1:115">
      <c r="A50" t="s">
        <v>77</v>
      </c>
      <c r="B50" t="s">
        <v>667</v>
      </c>
      <c r="C50" t="b">
        <v>0</v>
      </c>
      <c r="D50" t="b">
        <v>1</v>
      </c>
      <c r="E50" t="b">
        <v>0</v>
      </c>
      <c r="H50" t="b">
        <v>0</v>
      </c>
      <c r="I50" t="b">
        <v>0</v>
      </c>
      <c r="J50" t="b">
        <v>0</v>
      </c>
      <c r="K50" t="s">
        <v>193</v>
      </c>
      <c r="Q50" t="b">
        <v>0</v>
      </c>
      <c r="S50" t="b">
        <v>0</v>
      </c>
      <c r="T50" t="b">
        <v>0</v>
      </c>
      <c r="U50">
        <v>1790</v>
      </c>
      <c r="W50" t="s">
        <v>668</v>
      </c>
      <c r="X50" t="s">
        <v>244</v>
      </c>
      <c r="Y50" t="s">
        <v>669</v>
      </c>
      <c r="Z50" t="s">
        <v>193</v>
      </c>
      <c r="AA50" t="s">
        <v>832</v>
      </c>
      <c r="AB50" t="b">
        <v>1</v>
      </c>
      <c r="AC50" t="s">
        <v>302</v>
      </c>
      <c r="AD50" t="s">
        <v>701</v>
      </c>
      <c r="AE50" t="s">
        <v>671</v>
      </c>
      <c r="AF50" t="s">
        <v>845</v>
      </c>
      <c r="AG50" t="s">
        <v>259</v>
      </c>
      <c r="AH50" t="s">
        <v>1403</v>
      </c>
      <c r="AI50" t="s">
        <v>402</v>
      </c>
      <c r="AJ50" t="s">
        <v>673</v>
      </c>
      <c r="AK50">
        <v>787733420210511</v>
      </c>
      <c r="AL50" t="s">
        <v>670</v>
      </c>
      <c r="AM50" t="s">
        <v>674</v>
      </c>
      <c r="AN50" t="s">
        <v>197</v>
      </c>
      <c r="AO50" t="s">
        <v>967</v>
      </c>
      <c r="AP50" t="s">
        <v>701</v>
      </c>
      <c r="AQ50" t="s">
        <v>721</v>
      </c>
      <c r="AR50" t="s">
        <v>722</v>
      </c>
      <c r="AS50" t="s">
        <v>303</v>
      </c>
      <c r="AT50">
        <v>3193</v>
      </c>
      <c r="AU50" t="s">
        <v>669</v>
      </c>
      <c r="AV50">
        <v>60000</v>
      </c>
      <c r="AW50">
        <v>36</v>
      </c>
      <c r="AY50">
        <v>100000</v>
      </c>
      <c r="AZ50">
        <v>60</v>
      </c>
      <c r="BA50" t="b">
        <v>0</v>
      </c>
      <c r="BB50" t="s">
        <v>1404</v>
      </c>
      <c r="BC50" t="b">
        <v>1</v>
      </c>
      <c r="BD50" t="b">
        <v>1</v>
      </c>
      <c r="BE50" t="s">
        <v>914</v>
      </c>
      <c r="BF50">
        <v>0</v>
      </c>
      <c r="BG50">
        <v>0</v>
      </c>
      <c r="BH50" t="s">
        <v>1205</v>
      </c>
      <c r="BI50" t="s">
        <v>682</v>
      </c>
      <c r="BJ50" t="b">
        <v>1</v>
      </c>
      <c r="BK50" t="b">
        <v>0</v>
      </c>
      <c r="BL50" t="s">
        <v>1405</v>
      </c>
      <c r="BM50" t="s">
        <v>52</v>
      </c>
      <c r="BN50" t="s">
        <v>684</v>
      </c>
      <c r="BP50" t="s">
        <v>1406</v>
      </c>
      <c r="BQ50" t="b">
        <v>0</v>
      </c>
      <c r="BS50" t="s">
        <v>1407</v>
      </c>
      <c r="BT50" t="s">
        <v>1408</v>
      </c>
      <c r="BU50" t="b">
        <v>0</v>
      </c>
      <c r="BV50" t="s">
        <v>1409</v>
      </c>
      <c r="BW50">
        <v>19</v>
      </c>
      <c r="BX50">
        <v>1095</v>
      </c>
      <c r="BY50" t="b">
        <v>1</v>
      </c>
      <c r="BZ50" t="s">
        <v>1410</v>
      </c>
      <c r="CA50" t="s">
        <v>193</v>
      </c>
      <c r="CB50" t="s">
        <v>1411</v>
      </c>
      <c r="CC50" t="s">
        <v>193</v>
      </c>
      <c r="CD50" t="s">
        <v>669</v>
      </c>
      <c r="CH50" t="s">
        <v>1212</v>
      </c>
      <c r="CI50" t="b">
        <v>0</v>
      </c>
      <c r="CJ50" t="s">
        <v>1213</v>
      </c>
      <c r="CK50" t="s">
        <v>193</v>
      </c>
      <c r="CL50" t="s">
        <v>1214</v>
      </c>
      <c r="CM50" t="s">
        <v>1215</v>
      </c>
      <c r="CN50" t="s">
        <v>52</v>
      </c>
      <c r="CO50" t="b">
        <v>1</v>
      </c>
      <c r="CT50" t="b">
        <v>0</v>
      </c>
      <c r="CU50" t="s">
        <v>1412</v>
      </c>
      <c r="CV50" t="s">
        <v>730</v>
      </c>
      <c r="CW50" t="s">
        <v>698</v>
      </c>
      <c r="CY50">
        <v>2999</v>
      </c>
      <c r="CZ50" t="s">
        <v>822</v>
      </c>
      <c r="DA50" t="s">
        <v>250</v>
      </c>
      <c r="DB50">
        <v>123003</v>
      </c>
      <c r="DC50">
        <v>5</v>
      </c>
      <c r="DD50" t="s">
        <v>699</v>
      </c>
      <c r="DE50" t="s">
        <v>669</v>
      </c>
      <c r="DF50">
        <v>41247540</v>
      </c>
      <c r="DG50" t="s">
        <v>1413</v>
      </c>
      <c r="DH50" t="s">
        <v>669</v>
      </c>
      <c r="DI50">
        <v>0</v>
      </c>
      <c r="DJ50">
        <v>-1</v>
      </c>
      <c r="DK50" t="s">
        <v>1414</v>
      </c>
    </row>
    <row r="51" spans="1:115">
      <c r="A51" t="s">
        <v>78</v>
      </c>
      <c r="B51" t="s">
        <v>667</v>
      </c>
      <c r="C51" t="b">
        <v>1</v>
      </c>
      <c r="D51" t="b">
        <v>1</v>
      </c>
      <c r="E51" t="b">
        <v>0</v>
      </c>
      <c r="H51" t="b">
        <v>0</v>
      </c>
      <c r="I51" t="b">
        <v>0</v>
      </c>
      <c r="J51" t="b">
        <v>1</v>
      </c>
      <c r="K51" t="s">
        <v>193</v>
      </c>
      <c r="Q51" t="b">
        <v>0</v>
      </c>
      <c r="S51" t="b">
        <v>0</v>
      </c>
      <c r="T51" t="b">
        <v>1</v>
      </c>
      <c r="U51">
        <v>2699</v>
      </c>
      <c r="W51" t="s">
        <v>668</v>
      </c>
      <c r="X51" t="s">
        <v>788</v>
      </c>
      <c r="Y51" t="s">
        <v>669</v>
      </c>
      <c r="Z51" t="s">
        <v>193</v>
      </c>
      <c r="AA51" t="s">
        <v>832</v>
      </c>
      <c r="AB51" t="b">
        <v>1</v>
      </c>
      <c r="AC51" t="s">
        <v>249</v>
      </c>
      <c r="AD51" t="s">
        <v>670</v>
      </c>
      <c r="AE51" t="s">
        <v>744</v>
      </c>
      <c r="AF51" t="s">
        <v>1203</v>
      </c>
      <c r="AG51" t="s">
        <v>360</v>
      </c>
      <c r="AH51" t="s">
        <v>300</v>
      </c>
      <c r="AI51" t="s">
        <v>300</v>
      </c>
      <c r="AJ51" t="s">
        <v>673</v>
      </c>
      <c r="AK51">
        <v>766182320220511</v>
      </c>
      <c r="AL51" t="s">
        <v>670</v>
      </c>
      <c r="AM51" t="s">
        <v>674</v>
      </c>
      <c r="AN51" t="s">
        <v>197</v>
      </c>
      <c r="AO51" t="s">
        <v>967</v>
      </c>
      <c r="AP51" t="s">
        <v>701</v>
      </c>
      <c r="AQ51" t="s">
        <v>721</v>
      </c>
      <c r="AR51" t="s">
        <v>722</v>
      </c>
      <c r="AS51" t="s">
        <v>303</v>
      </c>
      <c r="AT51">
        <v>3622</v>
      </c>
      <c r="AU51" t="s">
        <v>669</v>
      </c>
      <c r="AV51">
        <v>60000</v>
      </c>
      <c r="AW51">
        <v>36</v>
      </c>
      <c r="AY51">
        <v>100000</v>
      </c>
      <c r="AZ51">
        <v>60</v>
      </c>
      <c r="BA51" t="b">
        <v>0</v>
      </c>
      <c r="BB51" t="s">
        <v>1415</v>
      </c>
      <c r="BC51" t="b">
        <v>1</v>
      </c>
      <c r="BD51" t="b">
        <v>1</v>
      </c>
      <c r="BE51" t="s">
        <v>914</v>
      </c>
      <c r="BF51">
        <v>0</v>
      </c>
      <c r="BG51">
        <v>0</v>
      </c>
      <c r="BH51" t="s">
        <v>1026</v>
      </c>
      <c r="BI51" t="s">
        <v>682</v>
      </c>
      <c r="BJ51" t="b">
        <v>1</v>
      </c>
      <c r="BK51" t="b">
        <v>0</v>
      </c>
      <c r="BL51" t="s">
        <v>1416</v>
      </c>
      <c r="BM51" t="s">
        <v>79</v>
      </c>
      <c r="BN51" t="s">
        <v>684</v>
      </c>
      <c r="BP51" t="s">
        <v>1417</v>
      </c>
      <c r="BQ51" t="b">
        <v>0</v>
      </c>
      <c r="BR51">
        <v>41248133</v>
      </c>
      <c r="BS51" t="s">
        <v>1418</v>
      </c>
      <c r="BT51" t="s">
        <v>1419</v>
      </c>
      <c r="BU51" t="b">
        <v>0</v>
      </c>
      <c r="BV51" t="s">
        <v>1420</v>
      </c>
      <c r="BW51">
        <v>3</v>
      </c>
      <c r="BX51">
        <v>482</v>
      </c>
      <c r="BY51" t="b">
        <v>1</v>
      </c>
      <c r="BZ51" t="s">
        <v>193</v>
      </c>
      <c r="CA51" t="s">
        <v>193</v>
      </c>
      <c r="CB51" t="s">
        <v>1421</v>
      </c>
      <c r="CC51" t="s">
        <v>193</v>
      </c>
      <c r="CD51" t="s">
        <v>669</v>
      </c>
      <c r="CH51" t="s">
        <v>1422</v>
      </c>
      <c r="CI51" t="b">
        <v>0</v>
      </c>
      <c r="CJ51" t="s">
        <v>1423</v>
      </c>
      <c r="CK51" t="s">
        <v>193</v>
      </c>
      <c r="CL51" t="s">
        <v>1424</v>
      </c>
      <c r="CM51" t="s">
        <v>1425</v>
      </c>
      <c r="CN51" t="s">
        <v>79</v>
      </c>
      <c r="CO51" t="b">
        <v>1</v>
      </c>
      <c r="CT51" t="b">
        <v>0</v>
      </c>
      <c r="CU51" t="s">
        <v>1426</v>
      </c>
      <c r="CV51" t="s">
        <v>730</v>
      </c>
      <c r="CW51" t="s">
        <v>819</v>
      </c>
      <c r="CY51">
        <v>2497</v>
      </c>
      <c r="CZ51" t="s">
        <v>670</v>
      </c>
      <c r="DA51" t="s">
        <v>196</v>
      </c>
      <c r="DB51">
        <v>60183</v>
      </c>
      <c r="DC51">
        <v>5</v>
      </c>
      <c r="DD51" t="s">
        <v>699</v>
      </c>
      <c r="DE51" t="s">
        <v>669</v>
      </c>
      <c r="DF51">
        <v>41238114</v>
      </c>
      <c r="DG51" t="s">
        <v>1427</v>
      </c>
      <c r="DH51" t="s">
        <v>669</v>
      </c>
      <c r="DI51">
        <v>1</v>
      </c>
      <c r="DJ51">
        <v>-1</v>
      </c>
      <c r="DK51" t="s">
        <v>1428</v>
      </c>
    </row>
    <row r="52" spans="1:115">
      <c r="A52" t="s">
        <v>80</v>
      </c>
      <c r="B52" t="s">
        <v>667</v>
      </c>
      <c r="C52" t="b">
        <v>0</v>
      </c>
      <c r="D52" t="b">
        <v>1</v>
      </c>
      <c r="E52" t="b">
        <v>0</v>
      </c>
      <c r="H52" t="b">
        <v>0</v>
      </c>
      <c r="I52" t="b">
        <v>0</v>
      </c>
      <c r="J52" t="b">
        <v>1</v>
      </c>
      <c r="K52" t="s">
        <v>193</v>
      </c>
      <c r="Q52" t="b">
        <v>0</v>
      </c>
      <c r="S52" t="b">
        <v>0</v>
      </c>
      <c r="T52" t="b">
        <v>1</v>
      </c>
      <c r="U52">
        <v>590</v>
      </c>
      <c r="W52" t="s">
        <v>668</v>
      </c>
      <c r="X52" t="s">
        <v>788</v>
      </c>
      <c r="Y52" t="s">
        <v>669</v>
      </c>
      <c r="Z52" t="s">
        <v>193</v>
      </c>
      <c r="AA52" t="s">
        <v>789</v>
      </c>
      <c r="AB52" t="b">
        <v>1</v>
      </c>
      <c r="AC52" t="s">
        <v>222</v>
      </c>
      <c r="AD52" t="s">
        <v>670</v>
      </c>
      <c r="AE52" t="s">
        <v>671</v>
      </c>
      <c r="AF52" t="s">
        <v>1429</v>
      </c>
      <c r="AG52" t="s">
        <v>407</v>
      </c>
      <c r="AH52" t="s">
        <v>258</v>
      </c>
      <c r="AI52" t="s">
        <v>258</v>
      </c>
      <c r="AJ52" t="s">
        <v>673</v>
      </c>
      <c r="AK52">
        <v>701359120120913</v>
      </c>
      <c r="AL52" t="s">
        <v>670</v>
      </c>
      <c r="AM52" t="s">
        <v>674</v>
      </c>
      <c r="AN52" t="s">
        <v>197</v>
      </c>
      <c r="AO52" t="s">
        <v>1430</v>
      </c>
      <c r="AP52" t="s">
        <v>759</v>
      </c>
      <c r="AQ52" t="s">
        <v>760</v>
      </c>
      <c r="AR52" t="s">
        <v>761</v>
      </c>
      <c r="AS52" t="s">
        <v>408</v>
      </c>
      <c r="AT52">
        <v>3375</v>
      </c>
      <c r="AU52" t="s">
        <v>669</v>
      </c>
      <c r="AV52">
        <v>60000</v>
      </c>
      <c r="AW52">
        <v>36</v>
      </c>
      <c r="AY52">
        <v>100000</v>
      </c>
      <c r="AZ52">
        <v>60</v>
      </c>
      <c r="BA52" t="b">
        <v>0</v>
      </c>
      <c r="BB52" t="s">
        <v>748</v>
      </c>
      <c r="BC52" t="b">
        <v>1</v>
      </c>
      <c r="BD52" t="b">
        <v>1</v>
      </c>
      <c r="BE52" t="s">
        <v>914</v>
      </c>
      <c r="BF52">
        <v>0</v>
      </c>
      <c r="BG52">
        <v>0</v>
      </c>
      <c r="BH52" t="s">
        <v>1026</v>
      </c>
      <c r="BI52" t="s">
        <v>682</v>
      </c>
      <c r="BJ52" t="b">
        <v>1</v>
      </c>
      <c r="BK52" t="b">
        <v>0</v>
      </c>
      <c r="BL52" t="s">
        <v>1431</v>
      </c>
      <c r="BM52" t="s">
        <v>81</v>
      </c>
      <c r="BN52" t="s">
        <v>684</v>
      </c>
      <c r="BP52" t="s">
        <v>1432</v>
      </c>
      <c r="BQ52" t="b">
        <v>0</v>
      </c>
      <c r="BR52">
        <v>41143101</v>
      </c>
      <c r="BS52" t="s">
        <v>1433</v>
      </c>
      <c r="BT52" t="s">
        <v>1434</v>
      </c>
      <c r="BU52" t="b">
        <v>0</v>
      </c>
      <c r="BV52" t="s">
        <v>1435</v>
      </c>
      <c r="BW52">
        <v>9</v>
      </c>
      <c r="BX52">
        <v>399</v>
      </c>
      <c r="BY52" t="b">
        <v>1</v>
      </c>
      <c r="BZ52" t="s">
        <v>1436</v>
      </c>
      <c r="CA52" t="s">
        <v>193</v>
      </c>
      <c r="CB52" t="s">
        <v>1437</v>
      </c>
      <c r="CC52" t="s">
        <v>193</v>
      </c>
      <c r="CD52" t="s">
        <v>669</v>
      </c>
      <c r="CH52" t="s">
        <v>1438</v>
      </c>
      <c r="CI52" t="b">
        <v>0</v>
      </c>
      <c r="CJ52" t="s">
        <v>1423</v>
      </c>
      <c r="CK52" t="s">
        <v>193</v>
      </c>
      <c r="CL52" t="s">
        <v>1439</v>
      </c>
      <c r="CM52" t="s">
        <v>1440</v>
      </c>
      <c r="CN52" t="s">
        <v>81</v>
      </c>
      <c r="CO52" t="b">
        <v>1</v>
      </c>
      <c r="CT52" t="b">
        <v>0</v>
      </c>
      <c r="CU52" t="s">
        <v>1441</v>
      </c>
      <c r="CV52" t="s">
        <v>769</v>
      </c>
      <c r="CW52" t="s">
        <v>770</v>
      </c>
      <c r="CY52">
        <v>1999</v>
      </c>
      <c r="CZ52" t="s">
        <v>809</v>
      </c>
      <c r="DA52" t="s">
        <v>336</v>
      </c>
      <c r="DB52">
        <v>102635</v>
      </c>
      <c r="DC52">
        <v>5</v>
      </c>
      <c r="DD52" t="s">
        <v>699</v>
      </c>
      <c r="DE52" t="s">
        <v>669</v>
      </c>
      <c r="DF52">
        <v>41128990</v>
      </c>
      <c r="DG52" t="s">
        <v>1442</v>
      </c>
      <c r="DH52" t="s">
        <v>669</v>
      </c>
      <c r="DI52">
        <v>1</v>
      </c>
      <c r="DJ52">
        <v>-1</v>
      </c>
      <c r="DK52" t="s">
        <v>1443</v>
      </c>
    </row>
    <row r="53" spans="1:115">
      <c r="A53" t="s">
        <v>82</v>
      </c>
      <c r="B53" t="s">
        <v>667</v>
      </c>
      <c r="C53" t="b">
        <v>0</v>
      </c>
      <c r="D53" t="b">
        <v>1</v>
      </c>
      <c r="E53" t="b">
        <v>0</v>
      </c>
      <c r="H53" t="b">
        <v>0</v>
      </c>
      <c r="I53" t="b">
        <v>0</v>
      </c>
      <c r="J53" t="b">
        <v>0</v>
      </c>
      <c r="K53" t="s">
        <v>193</v>
      </c>
      <c r="Q53" t="b">
        <v>0</v>
      </c>
      <c r="S53" t="b">
        <v>0</v>
      </c>
      <c r="T53" t="b">
        <v>0</v>
      </c>
      <c r="U53">
        <v>830</v>
      </c>
      <c r="W53" t="s">
        <v>668</v>
      </c>
      <c r="X53" t="s">
        <v>244</v>
      </c>
      <c r="Y53" t="s">
        <v>669</v>
      </c>
      <c r="Z53" t="s">
        <v>193</v>
      </c>
      <c r="AA53" t="s">
        <v>789</v>
      </c>
      <c r="AB53" t="b">
        <v>1</v>
      </c>
      <c r="AC53" t="s">
        <v>326</v>
      </c>
      <c r="AD53" t="s">
        <v>671</v>
      </c>
      <c r="AE53" t="s">
        <v>670</v>
      </c>
      <c r="AH53" t="s">
        <v>757</v>
      </c>
      <c r="AI53" t="s">
        <v>226</v>
      </c>
      <c r="AJ53" t="s">
        <v>673</v>
      </c>
      <c r="AK53">
        <v>768311820140324</v>
      </c>
      <c r="AL53" t="s">
        <v>670</v>
      </c>
      <c r="AM53" t="s">
        <v>674</v>
      </c>
      <c r="AN53" t="s">
        <v>197</v>
      </c>
      <c r="AO53" t="s">
        <v>758</v>
      </c>
      <c r="AP53" t="s">
        <v>759</v>
      </c>
      <c r="AQ53" t="s">
        <v>760</v>
      </c>
      <c r="AR53" t="s">
        <v>761</v>
      </c>
      <c r="AS53" t="s">
        <v>228</v>
      </c>
      <c r="AT53">
        <v>2545</v>
      </c>
      <c r="AU53" t="s">
        <v>669</v>
      </c>
      <c r="AV53">
        <v>60000</v>
      </c>
      <c r="AW53">
        <v>36</v>
      </c>
      <c r="AY53">
        <v>100000</v>
      </c>
      <c r="AZ53">
        <v>60</v>
      </c>
      <c r="BA53" t="b">
        <v>0</v>
      </c>
      <c r="BB53" t="s">
        <v>708</v>
      </c>
      <c r="BC53" t="b">
        <v>1</v>
      </c>
      <c r="BD53" t="b">
        <v>1</v>
      </c>
      <c r="BE53" t="s">
        <v>914</v>
      </c>
      <c r="BF53">
        <v>0</v>
      </c>
      <c r="BG53">
        <v>0</v>
      </c>
      <c r="BH53" t="s">
        <v>1444</v>
      </c>
      <c r="BI53" t="s">
        <v>682</v>
      </c>
      <c r="BJ53" t="b">
        <v>1</v>
      </c>
      <c r="BK53" t="b">
        <v>0</v>
      </c>
      <c r="BL53" t="s">
        <v>1445</v>
      </c>
      <c r="BM53" t="s">
        <v>83</v>
      </c>
      <c r="BN53" t="s">
        <v>684</v>
      </c>
      <c r="BP53" t="s">
        <v>1446</v>
      </c>
      <c r="BQ53" t="b">
        <v>0</v>
      </c>
      <c r="BS53" t="s">
        <v>1447</v>
      </c>
      <c r="BT53" t="s">
        <v>1448</v>
      </c>
      <c r="BU53" t="b">
        <v>0</v>
      </c>
      <c r="BV53" t="s">
        <v>1449</v>
      </c>
      <c r="BW53">
        <v>4</v>
      </c>
      <c r="BX53">
        <v>581</v>
      </c>
      <c r="BY53" t="b">
        <v>1</v>
      </c>
      <c r="BZ53" t="s">
        <v>1450</v>
      </c>
      <c r="CA53" t="s">
        <v>193</v>
      </c>
      <c r="CB53" t="s">
        <v>1451</v>
      </c>
      <c r="CC53" t="s">
        <v>193</v>
      </c>
      <c r="CD53" t="s">
        <v>669</v>
      </c>
      <c r="CH53" t="s">
        <v>1452</v>
      </c>
      <c r="CI53" t="b">
        <v>0</v>
      </c>
      <c r="CJ53" t="s">
        <v>1453</v>
      </c>
      <c r="CK53" t="s">
        <v>193</v>
      </c>
      <c r="CL53" t="s">
        <v>1454</v>
      </c>
      <c r="CM53" t="s">
        <v>1455</v>
      </c>
      <c r="CN53" t="s">
        <v>83</v>
      </c>
      <c r="CO53" t="b">
        <v>1</v>
      </c>
      <c r="CT53" t="b">
        <v>0</v>
      </c>
      <c r="CU53" t="s">
        <v>1456</v>
      </c>
      <c r="CV53" t="s">
        <v>769</v>
      </c>
      <c r="CW53" t="s">
        <v>731</v>
      </c>
      <c r="CY53">
        <v>1999</v>
      </c>
      <c r="CZ53" t="s">
        <v>670</v>
      </c>
      <c r="DA53" t="s">
        <v>196</v>
      </c>
      <c r="DB53">
        <v>125276</v>
      </c>
      <c r="DC53">
        <v>5</v>
      </c>
      <c r="DD53" t="s">
        <v>699</v>
      </c>
      <c r="DE53" t="s">
        <v>669</v>
      </c>
      <c r="DF53">
        <v>41120507</v>
      </c>
      <c r="DG53" t="s">
        <v>1457</v>
      </c>
      <c r="DH53" t="s">
        <v>669</v>
      </c>
      <c r="DI53">
        <v>0</v>
      </c>
      <c r="DJ53">
        <v>-1</v>
      </c>
      <c r="DK53" t="s">
        <v>1458</v>
      </c>
    </row>
    <row r="54" spans="1:115">
      <c r="A54" t="s">
        <v>84</v>
      </c>
      <c r="B54" t="s">
        <v>667</v>
      </c>
      <c r="C54" t="b">
        <v>1</v>
      </c>
      <c r="D54" t="b">
        <v>1</v>
      </c>
      <c r="E54" t="b">
        <v>0</v>
      </c>
      <c r="H54" t="b">
        <v>0</v>
      </c>
      <c r="I54" t="b">
        <v>0</v>
      </c>
      <c r="J54" t="b">
        <v>1</v>
      </c>
      <c r="K54" t="s">
        <v>193</v>
      </c>
      <c r="Q54" t="b">
        <v>0</v>
      </c>
      <c r="S54" t="b">
        <v>0</v>
      </c>
      <c r="T54" t="b">
        <v>1</v>
      </c>
      <c r="U54">
        <v>2949</v>
      </c>
      <c r="W54" t="s">
        <v>668</v>
      </c>
      <c r="X54" t="s">
        <v>788</v>
      </c>
      <c r="Y54" t="s">
        <v>669</v>
      </c>
      <c r="Z54" t="s">
        <v>193</v>
      </c>
      <c r="AA54" t="s">
        <v>832</v>
      </c>
      <c r="AB54" t="b">
        <v>1</v>
      </c>
      <c r="AC54" t="s">
        <v>302</v>
      </c>
      <c r="AD54" t="s">
        <v>670</v>
      </c>
      <c r="AE54" t="s">
        <v>701</v>
      </c>
      <c r="AF54" t="s">
        <v>966</v>
      </c>
      <c r="AG54" t="s">
        <v>301</v>
      </c>
      <c r="AH54" t="s">
        <v>300</v>
      </c>
      <c r="AI54" t="s">
        <v>300</v>
      </c>
      <c r="AJ54" t="s">
        <v>673</v>
      </c>
      <c r="AK54">
        <v>814554120210511</v>
      </c>
      <c r="AL54" t="s">
        <v>670</v>
      </c>
      <c r="AM54" t="s">
        <v>674</v>
      </c>
      <c r="AN54" t="s">
        <v>197</v>
      </c>
      <c r="AO54" t="s">
        <v>967</v>
      </c>
      <c r="AP54" t="s">
        <v>701</v>
      </c>
      <c r="AQ54" t="s">
        <v>721</v>
      </c>
      <c r="AR54" t="s">
        <v>722</v>
      </c>
      <c r="AS54" t="s">
        <v>303</v>
      </c>
      <c r="AT54">
        <v>4133</v>
      </c>
      <c r="AU54" t="s">
        <v>669</v>
      </c>
      <c r="AV54">
        <v>60000</v>
      </c>
      <c r="AW54">
        <v>36</v>
      </c>
      <c r="AY54">
        <v>100000</v>
      </c>
      <c r="AZ54">
        <v>60</v>
      </c>
      <c r="BA54" t="b">
        <v>0</v>
      </c>
      <c r="BB54" t="s">
        <v>1459</v>
      </c>
      <c r="BC54" t="b">
        <v>1</v>
      </c>
      <c r="BD54" t="b">
        <v>1</v>
      </c>
      <c r="BE54" t="s">
        <v>914</v>
      </c>
      <c r="BF54">
        <v>0</v>
      </c>
      <c r="BG54">
        <v>0</v>
      </c>
      <c r="BH54" t="s">
        <v>1460</v>
      </c>
      <c r="BI54" t="s">
        <v>682</v>
      </c>
      <c r="BJ54" t="b">
        <v>1</v>
      </c>
      <c r="BK54" t="b">
        <v>0</v>
      </c>
      <c r="BL54" t="s">
        <v>1461</v>
      </c>
      <c r="BM54" t="s">
        <v>85</v>
      </c>
      <c r="BN54" t="s">
        <v>684</v>
      </c>
      <c r="BP54" t="s">
        <v>1462</v>
      </c>
      <c r="BQ54" t="b">
        <v>0</v>
      </c>
      <c r="BR54">
        <v>41229159</v>
      </c>
      <c r="BS54" t="s">
        <v>1463</v>
      </c>
      <c r="BT54" t="s">
        <v>1464</v>
      </c>
      <c r="BU54" t="b">
        <v>0</v>
      </c>
      <c r="BV54" t="s">
        <v>1465</v>
      </c>
      <c r="BW54">
        <v>8</v>
      </c>
      <c r="BX54">
        <v>1604</v>
      </c>
      <c r="BY54" t="b">
        <v>1</v>
      </c>
      <c r="BZ54" t="s">
        <v>1466</v>
      </c>
      <c r="CA54" t="s">
        <v>193</v>
      </c>
      <c r="CB54" t="s">
        <v>1467</v>
      </c>
      <c r="CC54" t="s">
        <v>193</v>
      </c>
      <c r="CD54" t="s">
        <v>669</v>
      </c>
      <c r="CH54" t="s">
        <v>1468</v>
      </c>
      <c r="CI54" t="b">
        <v>0</v>
      </c>
      <c r="CJ54" t="s">
        <v>1469</v>
      </c>
      <c r="CK54" t="s">
        <v>193</v>
      </c>
      <c r="CL54" t="s">
        <v>1470</v>
      </c>
      <c r="CM54" t="s">
        <v>1471</v>
      </c>
      <c r="CN54" t="s">
        <v>85</v>
      </c>
      <c r="CO54" t="b">
        <v>1</v>
      </c>
      <c r="CT54" t="b">
        <v>0</v>
      </c>
      <c r="CU54" t="s">
        <v>1472</v>
      </c>
      <c r="CV54" t="s">
        <v>730</v>
      </c>
      <c r="CW54" t="s">
        <v>731</v>
      </c>
      <c r="CY54">
        <v>2497</v>
      </c>
      <c r="CZ54" t="s">
        <v>670</v>
      </c>
      <c r="DA54" t="s">
        <v>196</v>
      </c>
      <c r="DB54">
        <v>67804</v>
      </c>
      <c r="DC54">
        <v>5</v>
      </c>
      <c r="DD54" t="s">
        <v>699</v>
      </c>
      <c r="DE54" t="s">
        <v>669</v>
      </c>
      <c r="DF54">
        <v>41228721</v>
      </c>
      <c r="DG54" t="s">
        <v>1473</v>
      </c>
      <c r="DH54" t="s">
        <v>669</v>
      </c>
      <c r="DI54">
        <v>1</v>
      </c>
      <c r="DJ54">
        <v>-1</v>
      </c>
      <c r="DK54" t="s">
        <v>1474</v>
      </c>
    </row>
    <row r="55" spans="1:115">
      <c r="A55" t="s">
        <v>86</v>
      </c>
      <c r="B55" t="s">
        <v>667</v>
      </c>
      <c r="C55" t="b">
        <v>0</v>
      </c>
      <c r="D55" t="b">
        <v>1</v>
      </c>
      <c r="E55" t="b">
        <v>0</v>
      </c>
      <c r="H55" t="b">
        <v>0</v>
      </c>
      <c r="I55" t="b">
        <v>0</v>
      </c>
      <c r="J55" t="b">
        <v>0</v>
      </c>
      <c r="K55" t="s">
        <v>193</v>
      </c>
      <c r="Q55" t="b">
        <v>0</v>
      </c>
      <c r="S55" t="b">
        <v>0</v>
      </c>
      <c r="T55" t="b">
        <v>0</v>
      </c>
      <c r="U55">
        <v>1750</v>
      </c>
      <c r="W55" t="s">
        <v>668</v>
      </c>
      <c r="X55" t="s">
        <v>244</v>
      </c>
      <c r="Y55" t="s">
        <v>669</v>
      </c>
      <c r="Z55" t="s">
        <v>193</v>
      </c>
      <c r="AA55" t="s">
        <v>832</v>
      </c>
      <c r="AB55" t="b">
        <v>1</v>
      </c>
      <c r="AC55" t="s">
        <v>260</v>
      </c>
      <c r="AD55" t="s">
        <v>670</v>
      </c>
      <c r="AE55" t="s">
        <v>671</v>
      </c>
      <c r="AF55" t="s">
        <v>845</v>
      </c>
      <c r="AG55" t="s">
        <v>259</v>
      </c>
      <c r="AH55" t="s">
        <v>703</v>
      </c>
      <c r="AI55" t="s">
        <v>204</v>
      </c>
      <c r="AJ55" t="s">
        <v>673</v>
      </c>
      <c r="AK55">
        <v>742407020190515</v>
      </c>
      <c r="AL55" t="s">
        <v>670</v>
      </c>
      <c r="AM55" t="s">
        <v>674</v>
      </c>
      <c r="AN55" t="s">
        <v>197</v>
      </c>
      <c r="AO55" t="s">
        <v>1076</v>
      </c>
      <c r="AP55" t="s">
        <v>705</v>
      </c>
      <c r="AQ55" t="s">
        <v>706</v>
      </c>
      <c r="AR55" t="s">
        <v>707</v>
      </c>
      <c r="AS55" t="s">
        <v>332</v>
      </c>
      <c r="AT55">
        <v>2950</v>
      </c>
      <c r="AU55" t="s">
        <v>669</v>
      </c>
      <c r="AV55">
        <v>60000</v>
      </c>
      <c r="AW55">
        <v>36</v>
      </c>
      <c r="AY55">
        <v>100000</v>
      </c>
      <c r="AZ55">
        <v>60</v>
      </c>
      <c r="BA55" t="b">
        <v>0</v>
      </c>
      <c r="BB55" t="s">
        <v>953</v>
      </c>
      <c r="BC55" t="b">
        <v>1</v>
      </c>
      <c r="BD55" t="b">
        <v>1</v>
      </c>
      <c r="BE55" t="s">
        <v>914</v>
      </c>
      <c r="BF55">
        <v>0</v>
      </c>
      <c r="BG55">
        <v>0</v>
      </c>
      <c r="BH55" t="s">
        <v>1475</v>
      </c>
      <c r="BI55" t="s">
        <v>682</v>
      </c>
      <c r="BJ55" t="b">
        <v>1</v>
      </c>
      <c r="BK55" t="b">
        <v>0</v>
      </c>
      <c r="BL55" t="s">
        <v>1476</v>
      </c>
      <c r="BM55" t="s">
        <v>87</v>
      </c>
      <c r="BN55" t="s">
        <v>684</v>
      </c>
      <c r="BP55" t="s">
        <v>1477</v>
      </c>
      <c r="BQ55" t="b">
        <v>0</v>
      </c>
      <c r="BS55" t="s">
        <v>1478</v>
      </c>
      <c r="BT55" t="s">
        <v>1479</v>
      </c>
      <c r="BU55" t="b">
        <v>0</v>
      </c>
      <c r="BV55" t="s">
        <v>1480</v>
      </c>
      <c r="BW55">
        <v>10</v>
      </c>
      <c r="BX55">
        <v>1105</v>
      </c>
      <c r="BY55" t="b">
        <v>1</v>
      </c>
      <c r="BZ55" t="s">
        <v>1159</v>
      </c>
      <c r="CA55" t="s">
        <v>193</v>
      </c>
      <c r="CB55" t="s">
        <v>1481</v>
      </c>
      <c r="CC55" t="s">
        <v>193</v>
      </c>
      <c r="CD55" t="s">
        <v>669</v>
      </c>
      <c r="CH55" t="s">
        <v>1482</v>
      </c>
      <c r="CI55" t="b">
        <v>0</v>
      </c>
      <c r="CJ55" t="s">
        <v>1483</v>
      </c>
      <c r="CK55" t="s">
        <v>193</v>
      </c>
      <c r="CL55" t="s">
        <v>1484</v>
      </c>
      <c r="CM55" t="s">
        <v>1485</v>
      </c>
      <c r="CN55" t="s">
        <v>87</v>
      </c>
      <c r="CO55" t="b">
        <v>1</v>
      </c>
      <c r="CT55" t="b">
        <v>0</v>
      </c>
      <c r="CU55" t="s">
        <v>1486</v>
      </c>
      <c r="CV55" t="s">
        <v>716</v>
      </c>
      <c r="CW55" t="s">
        <v>698</v>
      </c>
      <c r="CY55">
        <v>1995</v>
      </c>
      <c r="CZ55" t="s">
        <v>671</v>
      </c>
      <c r="DA55" t="s">
        <v>207</v>
      </c>
      <c r="DB55">
        <v>83675</v>
      </c>
      <c r="DC55">
        <v>5</v>
      </c>
      <c r="DD55" t="s">
        <v>699</v>
      </c>
      <c r="DE55" t="s">
        <v>669</v>
      </c>
      <c r="DF55">
        <v>41222823</v>
      </c>
      <c r="DG55" t="s">
        <v>1487</v>
      </c>
      <c r="DH55" t="s">
        <v>669</v>
      </c>
      <c r="DI55">
        <v>0</v>
      </c>
      <c r="DJ55">
        <v>-1</v>
      </c>
      <c r="DK55" t="s">
        <v>1488</v>
      </c>
    </row>
    <row r="56" spans="1:115">
      <c r="A56" t="s">
        <v>88</v>
      </c>
      <c r="B56" t="s">
        <v>667</v>
      </c>
      <c r="C56" t="b">
        <v>0</v>
      </c>
      <c r="D56" t="b">
        <v>1</v>
      </c>
      <c r="E56" t="b">
        <v>0</v>
      </c>
      <c r="H56" t="b">
        <v>0</v>
      </c>
      <c r="I56" t="b">
        <v>0</v>
      </c>
      <c r="J56" t="b">
        <v>0</v>
      </c>
      <c r="K56" t="s">
        <v>193</v>
      </c>
      <c r="Q56" t="b">
        <v>0</v>
      </c>
      <c r="S56" t="b">
        <v>0</v>
      </c>
      <c r="T56" t="b">
        <v>0</v>
      </c>
      <c r="U56">
        <v>2699</v>
      </c>
      <c r="W56" t="s">
        <v>668</v>
      </c>
      <c r="X56" t="s">
        <v>244</v>
      </c>
      <c r="Y56" t="s">
        <v>669</v>
      </c>
      <c r="Z56" t="s">
        <v>193</v>
      </c>
      <c r="AA56" t="s">
        <v>832</v>
      </c>
      <c r="AB56" t="b">
        <v>1</v>
      </c>
      <c r="AC56" t="s">
        <v>195</v>
      </c>
      <c r="AD56" t="s">
        <v>822</v>
      </c>
      <c r="AH56" t="s">
        <v>1489</v>
      </c>
      <c r="AI56" t="s">
        <v>418</v>
      </c>
      <c r="AJ56" t="s">
        <v>673</v>
      </c>
      <c r="AK56">
        <v>821006220200928</v>
      </c>
      <c r="AL56" t="s">
        <v>670</v>
      </c>
      <c r="AM56" t="s">
        <v>674</v>
      </c>
      <c r="AN56" t="s">
        <v>197</v>
      </c>
      <c r="AO56" t="s">
        <v>1490</v>
      </c>
      <c r="AP56" t="s">
        <v>932</v>
      </c>
      <c r="AQ56" t="s">
        <v>933</v>
      </c>
      <c r="AR56" t="s">
        <v>934</v>
      </c>
      <c r="AS56" t="s">
        <v>419</v>
      </c>
      <c r="AT56">
        <v>3610</v>
      </c>
      <c r="AU56" t="s">
        <v>669</v>
      </c>
      <c r="AV56">
        <v>60000</v>
      </c>
      <c r="AW56">
        <v>36</v>
      </c>
      <c r="AY56">
        <v>100000</v>
      </c>
      <c r="AZ56">
        <v>60</v>
      </c>
      <c r="BA56" t="b">
        <v>0</v>
      </c>
      <c r="BB56" t="s">
        <v>679</v>
      </c>
      <c r="BC56" t="b">
        <v>1</v>
      </c>
      <c r="BD56" t="b">
        <v>1</v>
      </c>
      <c r="BE56" t="s">
        <v>914</v>
      </c>
      <c r="BH56" t="s">
        <v>1286</v>
      </c>
      <c r="BI56" t="s">
        <v>682</v>
      </c>
      <c r="BJ56" t="b">
        <v>1</v>
      </c>
      <c r="BK56" t="b">
        <v>0</v>
      </c>
      <c r="BL56" t="s">
        <v>1491</v>
      </c>
      <c r="BM56" t="s">
        <v>89</v>
      </c>
      <c r="BN56" t="s">
        <v>684</v>
      </c>
      <c r="BQ56" t="b">
        <v>0</v>
      </c>
      <c r="BS56" t="s">
        <v>1492</v>
      </c>
      <c r="BT56" t="s">
        <v>1493</v>
      </c>
      <c r="BU56" t="b">
        <v>0</v>
      </c>
      <c r="BV56" t="s">
        <v>1494</v>
      </c>
      <c r="BW56">
        <v>6</v>
      </c>
      <c r="BX56">
        <v>268</v>
      </c>
      <c r="BY56" t="b">
        <v>1</v>
      </c>
      <c r="BZ56" t="s">
        <v>1495</v>
      </c>
      <c r="CA56" t="s">
        <v>193</v>
      </c>
      <c r="CB56" t="s">
        <v>1496</v>
      </c>
      <c r="CC56" t="s">
        <v>193</v>
      </c>
      <c r="CD56" t="s">
        <v>669</v>
      </c>
      <c r="CH56" t="s">
        <v>1497</v>
      </c>
      <c r="CI56" t="b">
        <v>0</v>
      </c>
      <c r="CJ56" t="s">
        <v>1104</v>
      </c>
      <c r="CK56" t="s">
        <v>193</v>
      </c>
      <c r="CL56" t="s">
        <v>1498</v>
      </c>
      <c r="CM56" t="s">
        <v>1499</v>
      </c>
      <c r="CN56" t="s">
        <v>89</v>
      </c>
      <c r="CO56" t="b">
        <v>1</v>
      </c>
      <c r="CT56" t="b">
        <v>0</v>
      </c>
      <c r="CU56" t="s">
        <v>1500</v>
      </c>
      <c r="CV56" t="s">
        <v>716</v>
      </c>
      <c r="CW56" t="s">
        <v>698</v>
      </c>
      <c r="CY56">
        <v>1598</v>
      </c>
      <c r="CZ56" t="s">
        <v>809</v>
      </c>
      <c r="DA56" t="s">
        <v>336</v>
      </c>
      <c r="DB56">
        <v>91530</v>
      </c>
      <c r="DC56">
        <v>5</v>
      </c>
      <c r="DD56" t="s">
        <v>699</v>
      </c>
      <c r="DE56" t="s">
        <v>669</v>
      </c>
      <c r="DF56">
        <v>41203439</v>
      </c>
      <c r="DG56" t="s">
        <v>1501</v>
      </c>
      <c r="DH56" t="s">
        <v>669</v>
      </c>
      <c r="DI56">
        <v>0</v>
      </c>
      <c r="DJ56">
        <v>-1</v>
      </c>
      <c r="DK56" t="s">
        <v>1502</v>
      </c>
    </row>
    <row r="57" spans="1:115">
      <c r="A57" t="s">
        <v>90</v>
      </c>
      <c r="B57" t="s">
        <v>667</v>
      </c>
      <c r="C57" t="b">
        <v>0</v>
      </c>
      <c r="D57" t="b">
        <v>1</v>
      </c>
      <c r="E57" t="b">
        <v>0</v>
      </c>
      <c r="H57" t="b">
        <v>0</v>
      </c>
      <c r="I57" t="b">
        <v>0</v>
      </c>
      <c r="J57" t="b">
        <v>0</v>
      </c>
      <c r="K57" t="s">
        <v>193</v>
      </c>
      <c r="Q57" t="b">
        <v>0</v>
      </c>
      <c r="S57" t="b">
        <v>0</v>
      </c>
      <c r="T57" t="b">
        <v>0</v>
      </c>
      <c r="U57">
        <v>2000</v>
      </c>
      <c r="W57" t="s">
        <v>668</v>
      </c>
      <c r="X57" t="s">
        <v>244</v>
      </c>
      <c r="Y57" t="s">
        <v>669</v>
      </c>
      <c r="Z57" t="s">
        <v>193</v>
      </c>
      <c r="AA57" t="s">
        <v>832</v>
      </c>
      <c r="AB57" t="b">
        <v>1</v>
      </c>
      <c r="AC57" t="s">
        <v>260</v>
      </c>
      <c r="AD57" t="s">
        <v>670</v>
      </c>
      <c r="AE57" t="s">
        <v>671</v>
      </c>
      <c r="AF57" t="s">
        <v>845</v>
      </c>
      <c r="AG57" t="s">
        <v>259</v>
      </c>
      <c r="AH57" t="s">
        <v>703</v>
      </c>
      <c r="AI57" t="s">
        <v>204</v>
      </c>
      <c r="AJ57" t="s">
        <v>673</v>
      </c>
      <c r="AK57">
        <v>742407020200301</v>
      </c>
      <c r="AL57" t="s">
        <v>670</v>
      </c>
      <c r="AM57" t="s">
        <v>674</v>
      </c>
      <c r="AN57" t="s">
        <v>197</v>
      </c>
      <c r="AO57" t="s">
        <v>1076</v>
      </c>
      <c r="AP57" t="s">
        <v>705</v>
      </c>
      <c r="AQ57" t="s">
        <v>706</v>
      </c>
      <c r="AR57" t="s">
        <v>707</v>
      </c>
      <c r="AS57" t="s">
        <v>332</v>
      </c>
      <c r="AT57">
        <v>2888</v>
      </c>
      <c r="AU57" t="s">
        <v>669</v>
      </c>
      <c r="AV57">
        <v>60000</v>
      </c>
      <c r="AW57">
        <v>36</v>
      </c>
      <c r="AY57">
        <v>100000</v>
      </c>
      <c r="AZ57">
        <v>60</v>
      </c>
      <c r="BA57" t="b">
        <v>0</v>
      </c>
      <c r="BB57" t="s">
        <v>1503</v>
      </c>
      <c r="BC57" t="b">
        <v>1</v>
      </c>
      <c r="BD57" t="b">
        <v>1</v>
      </c>
      <c r="BE57" t="s">
        <v>914</v>
      </c>
      <c r="BF57">
        <v>1</v>
      </c>
      <c r="BG57">
        <v>0</v>
      </c>
      <c r="BH57" t="s">
        <v>1444</v>
      </c>
      <c r="BI57" t="s">
        <v>682</v>
      </c>
      <c r="BJ57" t="b">
        <v>1</v>
      </c>
      <c r="BK57" t="b">
        <v>0</v>
      </c>
      <c r="BL57" t="s">
        <v>1504</v>
      </c>
      <c r="BM57" t="s">
        <v>83</v>
      </c>
      <c r="BN57" t="s">
        <v>684</v>
      </c>
      <c r="BP57" t="s">
        <v>1505</v>
      </c>
      <c r="BQ57" t="b">
        <v>0</v>
      </c>
      <c r="BS57" t="s">
        <v>1506</v>
      </c>
      <c r="BT57" t="s">
        <v>1507</v>
      </c>
      <c r="BU57" t="b">
        <v>0</v>
      </c>
      <c r="BV57" t="s">
        <v>1508</v>
      </c>
      <c r="BW57">
        <v>0</v>
      </c>
      <c r="BX57">
        <v>175</v>
      </c>
      <c r="BY57" t="b">
        <v>1</v>
      </c>
      <c r="BZ57" t="s">
        <v>1466</v>
      </c>
      <c r="CA57" t="s">
        <v>193</v>
      </c>
      <c r="CB57" t="s">
        <v>1509</v>
      </c>
      <c r="CC57" t="s">
        <v>193</v>
      </c>
      <c r="CD57" t="s">
        <v>669</v>
      </c>
      <c r="CH57" t="s">
        <v>1452</v>
      </c>
      <c r="CI57" t="b">
        <v>0</v>
      </c>
      <c r="CJ57" t="s">
        <v>1453</v>
      </c>
      <c r="CK57" t="s">
        <v>193</v>
      </c>
      <c r="CL57" t="s">
        <v>1454</v>
      </c>
      <c r="CM57" t="s">
        <v>1455</v>
      </c>
      <c r="CN57" t="s">
        <v>83</v>
      </c>
      <c r="CO57" t="b">
        <v>1</v>
      </c>
      <c r="CT57" t="b">
        <v>0</v>
      </c>
      <c r="CU57" t="s">
        <v>1510</v>
      </c>
      <c r="CV57" t="s">
        <v>716</v>
      </c>
      <c r="CW57" t="s">
        <v>731</v>
      </c>
      <c r="CY57">
        <v>1995</v>
      </c>
      <c r="CZ57" t="s">
        <v>671</v>
      </c>
      <c r="DA57" t="s">
        <v>207</v>
      </c>
      <c r="DB57">
        <v>125154</v>
      </c>
      <c r="DC57">
        <v>5</v>
      </c>
      <c r="DD57" t="s">
        <v>699</v>
      </c>
      <c r="DE57" t="s">
        <v>669</v>
      </c>
      <c r="DF57">
        <v>41192737</v>
      </c>
      <c r="DG57" t="s">
        <v>1511</v>
      </c>
      <c r="DH57" t="s">
        <v>669</v>
      </c>
      <c r="DI57">
        <v>0</v>
      </c>
      <c r="DJ57">
        <v>-1</v>
      </c>
      <c r="DK57" t="s">
        <v>1512</v>
      </c>
    </row>
    <row r="58" spans="1:115">
      <c r="A58" t="s">
        <v>91</v>
      </c>
      <c r="B58" t="s">
        <v>667</v>
      </c>
      <c r="C58" t="b">
        <v>0</v>
      </c>
      <c r="D58" t="b">
        <v>1</v>
      </c>
      <c r="E58" t="b">
        <v>0</v>
      </c>
      <c r="H58" t="b">
        <v>0</v>
      </c>
      <c r="I58" t="b">
        <v>0</v>
      </c>
      <c r="J58" t="b">
        <v>0</v>
      </c>
      <c r="K58" t="s">
        <v>193</v>
      </c>
      <c r="Q58" t="b">
        <v>0</v>
      </c>
      <c r="S58" t="b">
        <v>0</v>
      </c>
      <c r="T58" t="b">
        <v>0</v>
      </c>
      <c r="U58">
        <v>1479</v>
      </c>
      <c r="W58" t="s">
        <v>668</v>
      </c>
      <c r="X58" t="s">
        <v>244</v>
      </c>
      <c r="Y58" t="s">
        <v>669</v>
      </c>
      <c r="Z58" t="s">
        <v>193</v>
      </c>
      <c r="AA58" t="s">
        <v>789</v>
      </c>
      <c r="AB58" t="b">
        <v>1</v>
      </c>
      <c r="AC58" t="s">
        <v>206</v>
      </c>
      <c r="AD58" t="s">
        <v>670</v>
      </c>
      <c r="AE58" t="s">
        <v>822</v>
      </c>
      <c r="AF58" t="s">
        <v>845</v>
      </c>
      <c r="AG58" t="s">
        <v>259</v>
      </c>
      <c r="AH58" t="s">
        <v>703</v>
      </c>
      <c r="AI58" t="s">
        <v>204</v>
      </c>
      <c r="AJ58" t="s">
        <v>673</v>
      </c>
      <c r="AK58">
        <v>742407020160704</v>
      </c>
      <c r="AL58" t="s">
        <v>670</v>
      </c>
      <c r="AM58" t="s">
        <v>674</v>
      </c>
      <c r="AN58" t="s">
        <v>197</v>
      </c>
      <c r="AO58" t="s">
        <v>704</v>
      </c>
      <c r="AP58" t="s">
        <v>705</v>
      </c>
      <c r="AQ58" t="s">
        <v>706</v>
      </c>
      <c r="AR58" t="s">
        <v>707</v>
      </c>
      <c r="AS58" t="s">
        <v>208</v>
      </c>
      <c r="AT58">
        <v>2985</v>
      </c>
      <c r="AU58" t="s">
        <v>669</v>
      </c>
      <c r="AV58">
        <v>60000</v>
      </c>
      <c r="AW58">
        <v>36</v>
      </c>
      <c r="AY58">
        <v>100000</v>
      </c>
      <c r="AZ58">
        <v>60</v>
      </c>
      <c r="BA58" t="b">
        <v>0</v>
      </c>
      <c r="BB58" t="s">
        <v>762</v>
      </c>
      <c r="BC58" t="b">
        <v>1</v>
      </c>
      <c r="BD58" t="b">
        <v>1</v>
      </c>
      <c r="BE58" t="s">
        <v>914</v>
      </c>
      <c r="BF58">
        <v>0</v>
      </c>
      <c r="BG58">
        <v>0</v>
      </c>
      <c r="BH58" t="s">
        <v>1513</v>
      </c>
      <c r="BI58" t="s">
        <v>682</v>
      </c>
      <c r="BJ58" t="b">
        <v>1</v>
      </c>
      <c r="BK58" t="b">
        <v>0</v>
      </c>
      <c r="BL58" t="s">
        <v>1514</v>
      </c>
      <c r="BM58" t="s">
        <v>92</v>
      </c>
      <c r="BN58" t="s">
        <v>684</v>
      </c>
      <c r="BP58" t="s">
        <v>1515</v>
      </c>
      <c r="BQ58" t="b">
        <v>0</v>
      </c>
      <c r="BS58" t="s">
        <v>1516</v>
      </c>
      <c r="BT58" t="s">
        <v>1517</v>
      </c>
      <c r="BU58" t="b">
        <v>0</v>
      </c>
      <c r="BV58" t="s">
        <v>1518</v>
      </c>
      <c r="BW58">
        <v>3</v>
      </c>
      <c r="BX58">
        <v>308</v>
      </c>
      <c r="BY58" t="b">
        <v>1</v>
      </c>
      <c r="BZ58" t="s">
        <v>1519</v>
      </c>
      <c r="CA58" t="s">
        <v>193</v>
      </c>
      <c r="CB58" t="s">
        <v>1520</v>
      </c>
      <c r="CC58" t="s">
        <v>193</v>
      </c>
      <c r="CD58" t="s">
        <v>669</v>
      </c>
      <c r="CH58" t="s">
        <v>1521</v>
      </c>
      <c r="CI58" t="b">
        <v>0</v>
      </c>
      <c r="CJ58" t="s">
        <v>1522</v>
      </c>
      <c r="CK58" t="s">
        <v>193</v>
      </c>
      <c r="CL58" t="s">
        <v>1523</v>
      </c>
      <c r="CM58" t="s">
        <v>1524</v>
      </c>
      <c r="CN58" t="s">
        <v>92</v>
      </c>
      <c r="CO58" t="b">
        <v>1</v>
      </c>
      <c r="CT58" t="b">
        <v>0</v>
      </c>
      <c r="CU58" t="s">
        <v>1525</v>
      </c>
      <c r="CV58" t="s">
        <v>716</v>
      </c>
      <c r="CW58" t="s">
        <v>770</v>
      </c>
      <c r="CY58">
        <v>1995</v>
      </c>
      <c r="CZ58" t="s">
        <v>671</v>
      </c>
      <c r="DA58" t="s">
        <v>207</v>
      </c>
      <c r="DB58">
        <v>49401</v>
      </c>
      <c r="DC58">
        <v>5</v>
      </c>
      <c r="DD58" t="s">
        <v>699</v>
      </c>
      <c r="DE58" t="s">
        <v>669</v>
      </c>
      <c r="DF58">
        <v>41189810</v>
      </c>
      <c r="DG58" t="s">
        <v>1526</v>
      </c>
      <c r="DH58" t="s">
        <v>669</v>
      </c>
      <c r="DI58">
        <v>0</v>
      </c>
      <c r="DJ58">
        <v>-1</v>
      </c>
      <c r="DK58" t="s">
        <v>1527</v>
      </c>
    </row>
    <row r="59" spans="1:115">
      <c r="A59" t="s">
        <v>93</v>
      </c>
      <c r="B59" t="s">
        <v>667</v>
      </c>
      <c r="C59" t="b">
        <v>1</v>
      </c>
      <c r="D59" t="b">
        <v>1</v>
      </c>
      <c r="E59" t="b">
        <v>0</v>
      </c>
      <c r="H59" t="b">
        <v>0</v>
      </c>
      <c r="I59" t="b">
        <v>0</v>
      </c>
      <c r="J59" t="b">
        <v>1</v>
      </c>
      <c r="K59" t="s">
        <v>1528</v>
      </c>
      <c r="Q59" t="b">
        <v>0</v>
      </c>
      <c r="R59" t="s">
        <v>1529</v>
      </c>
      <c r="S59" t="b">
        <v>0</v>
      </c>
      <c r="T59" t="b">
        <v>1</v>
      </c>
      <c r="U59">
        <v>1620</v>
      </c>
      <c r="W59" t="s">
        <v>668</v>
      </c>
      <c r="X59" t="s">
        <v>788</v>
      </c>
      <c r="Y59" t="s">
        <v>669</v>
      </c>
      <c r="Z59" t="s">
        <v>193</v>
      </c>
      <c r="AA59" t="s">
        <v>832</v>
      </c>
      <c r="AB59" t="b">
        <v>1</v>
      </c>
      <c r="AC59" t="s">
        <v>249</v>
      </c>
      <c r="AD59" t="s">
        <v>1530</v>
      </c>
      <c r="AH59" t="s">
        <v>1531</v>
      </c>
      <c r="AI59" t="s">
        <v>426</v>
      </c>
      <c r="AJ59" t="s">
        <v>673</v>
      </c>
      <c r="AK59">
        <v>834483420221006</v>
      </c>
      <c r="AL59" t="s">
        <v>670</v>
      </c>
      <c r="AM59" t="s">
        <v>674</v>
      </c>
      <c r="AN59" t="s">
        <v>197</v>
      </c>
      <c r="AO59" t="s">
        <v>1131</v>
      </c>
      <c r="AP59" t="s">
        <v>1132</v>
      </c>
      <c r="AQ59" t="s">
        <v>1133</v>
      </c>
      <c r="AR59" t="s">
        <v>346</v>
      </c>
      <c r="AS59" t="s">
        <v>346</v>
      </c>
      <c r="AT59">
        <v>1690</v>
      </c>
      <c r="AU59" t="s">
        <v>669</v>
      </c>
      <c r="AV59">
        <v>60000</v>
      </c>
      <c r="AW59">
        <v>36</v>
      </c>
      <c r="AY59">
        <v>100000</v>
      </c>
      <c r="AZ59">
        <v>60</v>
      </c>
      <c r="BA59" t="b">
        <v>0</v>
      </c>
      <c r="BB59" t="s">
        <v>1532</v>
      </c>
      <c r="BC59" t="b">
        <v>1</v>
      </c>
      <c r="BD59" t="b">
        <v>1</v>
      </c>
      <c r="BE59" t="s">
        <v>914</v>
      </c>
      <c r="BF59">
        <v>0</v>
      </c>
      <c r="BG59">
        <v>0</v>
      </c>
      <c r="BH59" t="s">
        <v>1533</v>
      </c>
      <c r="BI59" t="s">
        <v>682</v>
      </c>
      <c r="BJ59" t="b">
        <v>1</v>
      </c>
      <c r="BK59" t="b">
        <v>0</v>
      </c>
      <c r="BL59" t="s">
        <v>1534</v>
      </c>
      <c r="BM59" t="s">
        <v>94</v>
      </c>
      <c r="BN59" t="s">
        <v>684</v>
      </c>
      <c r="BP59" t="s">
        <v>1535</v>
      </c>
      <c r="BQ59" t="b">
        <v>0</v>
      </c>
      <c r="BR59">
        <v>41175915</v>
      </c>
      <c r="BS59" t="s">
        <v>1536</v>
      </c>
      <c r="BT59" t="s">
        <v>1537</v>
      </c>
      <c r="BU59" t="b">
        <v>0</v>
      </c>
      <c r="BV59" t="s">
        <v>1538</v>
      </c>
      <c r="BW59">
        <v>6</v>
      </c>
      <c r="BX59">
        <v>533</v>
      </c>
      <c r="BY59" t="b">
        <v>1</v>
      </c>
      <c r="BZ59" t="s">
        <v>1539</v>
      </c>
      <c r="CA59" t="s">
        <v>193</v>
      </c>
      <c r="CB59" t="s">
        <v>1540</v>
      </c>
      <c r="CC59" t="s">
        <v>193</v>
      </c>
      <c r="CD59" t="s">
        <v>669</v>
      </c>
      <c r="CH59" t="s">
        <v>1541</v>
      </c>
      <c r="CI59" t="b">
        <v>0</v>
      </c>
      <c r="CJ59" t="s">
        <v>1542</v>
      </c>
      <c r="CK59" t="s">
        <v>193</v>
      </c>
      <c r="CL59" t="s">
        <v>1543</v>
      </c>
      <c r="CM59" t="s">
        <v>1544</v>
      </c>
      <c r="CN59" t="s">
        <v>94</v>
      </c>
      <c r="CO59" t="b">
        <v>1</v>
      </c>
      <c r="CT59" t="b">
        <v>0</v>
      </c>
      <c r="CU59" t="s">
        <v>1545</v>
      </c>
      <c r="CV59" t="s">
        <v>1148</v>
      </c>
      <c r="CW59" t="s">
        <v>1546</v>
      </c>
      <c r="CX59" t="s">
        <v>1547</v>
      </c>
      <c r="CY59">
        <v>998</v>
      </c>
      <c r="CZ59" t="s">
        <v>670</v>
      </c>
      <c r="DA59" t="s">
        <v>196</v>
      </c>
      <c r="DB59">
        <v>20173</v>
      </c>
      <c r="DC59">
        <v>4</v>
      </c>
      <c r="DD59" t="s">
        <v>699</v>
      </c>
      <c r="DE59" t="s">
        <v>669</v>
      </c>
      <c r="DF59">
        <v>41169630</v>
      </c>
      <c r="DG59" t="s">
        <v>1548</v>
      </c>
      <c r="DH59" t="s">
        <v>669</v>
      </c>
      <c r="DI59">
        <v>1</v>
      </c>
      <c r="DJ59">
        <v>-1</v>
      </c>
      <c r="DK59" t="s">
        <v>1549</v>
      </c>
    </row>
    <row r="60" spans="1:115">
      <c r="A60" t="s">
        <v>95</v>
      </c>
      <c r="B60" t="s">
        <v>667</v>
      </c>
      <c r="C60" t="b">
        <v>0</v>
      </c>
      <c r="D60" t="b">
        <v>0</v>
      </c>
      <c r="E60" t="b">
        <v>0</v>
      </c>
      <c r="H60" t="b">
        <v>0</v>
      </c>
      <c r="I60" t="b">
        <v>0</v>
      </c>
      <c r="J60" t="b">
        <v>0</v>
      </c>
      <c r="K60" t="s">
        <v>1056</v>
      </c>
      <c r="Q60" t="b">
        <v>0</v>
      </c>
      <c r="R60" t="s">
        <v>1057</v>
      </c>
      <c r="S60" t="b">
        <v>0</v>
      </c>
      <c r="T60" t="b">
        <v>0</v>
      </c>
      <c r="U60">
        <v>1570</v>
      </c>
      <c r="W60" t="s">
        <v>668</v>
      </c>
      <c r="X60" t="s">
        <v>193</v>
      </c>
      <c r="Y60" t="s">
        <v>669</v>
      </c>
      <c r="Z60" t="s">
        <v>193</v>
      </c>
      <c r="AB60" t="b">
        <v>1</v>
      </c>
      <c r="AC60" t="s">
        <v>217</v>
      </c>
      <c r="AD60" t="s">
        <v>822</v>
      </c>
      <c r="AE60" t="s">
        <v>671</v>
      </c>
      <c r="AF60" t="s">
        <v>756</v>
      </c>
      <c r="AG60" t="s">
        <v>227</v>
      </c>
      <c r="AH60" t="s">
        <v>1550</v>
      </c>
      <c r="AI60" t="s">
        <v>429</v>
      </c>
      <c r="AJ60" t="s">
        <v>673</v>
      </c>
      <c r="AK60">
        <v>732820620180719</v>
      </c>
      <c r="AL60" t="s">
        <v>670</v>
      </c>
      <c r="AM60" t="s">
        <v>674</v>
      </c>
      <c r="AN60" t="s">
        <v>197</v>
      </c>
      <c r="AO60" t="s">
        <v>1024</v>
      </c>
      <c r="AP60" t="s">
        <v>701</v>
      </c>
      <c r="AQ60" t="s">
        <v>721</v>
      </c>
      <c r="AR60" t="s">
        <v>722</v>
      </c>
      <c r="AS60" t="s">
        <v>319</v>
      </c>
      <c r="AT60">
        <v>3829</v>
      </c>
      <c r="AU60" t="s">
        <v>669</v>
      </c>
      <c r="AV60">
        <v>60000</v>
      </c>
      <c r="AW60">
        <v>36</v>
      </c>
      <c r="AY60">
        <v>100000</v>
      </c>
      <c r="AZ60">
        <v>60</v>
      </c>
      <c r="BA60" t="b">
        <v>0</v>
      </c>
      <c r="BB60" t="s">
        <v>735</v>
      </c>
      <c r="BC60" t="b">
        <v>1</v>
      </c>
      <c r="BD60" t="b">
        <v>1</v>
      </c>
      <c r="BE60" t="s">
        <v>914</v>
      </c>
      <c r="BF60">
        <v>0</v>
      </c>
      <c r="BG60">
        <v>0</v>
      </c>
      <c r="BH60" t="s">
        <v>1551</v>
      </c>
      <c r="BI60" t="s">
        <v>682</v>
      </c>
      <c r="BJ60" t="b">
        <v>1</v>
      </c>
      <c r="BK60" t="b">
        <v>0</v>
      </c>
      <c r="BL60" t="s">
        <v>1552</v>
      </c>
      <c r="BM60" t="s">
        <v>96</v>
      </c>
      <c r="BN60" t="s">
        <v>684</v>
      </c>
      <c r="BP60" t="s">
        <v>1553</v>
      </c>
      <c r="BQ60" t="b">
        <v>0</v>
      </c>
      <c r="BS60" t="s">
        <v>1554</v>
      </c>
      <c r="BT60" t="s">
        <v>1555</v>
      </c>
      <c r="BU60" t="b">
        <v>0</v>
      </c>
      <c r="BV60" t="s">
        <v>1556</v>
      </c>
      <c r="BW60">
        <v>3</v>
      </c>
      <c r="BX60">
        <v>806</v>
      </c>
      <c r="BY60" t="b">
        <v>1</v>
      </c>
      <c r="BZ60" t="s">
        <v>1557</v>
      </c>
      <c r="CA60" t="s">
        <v>193</v>
      </c>
      <c r="CB60" t="s">
        <v>1558</v>
      </c>
      <c r="CC60" t="s">
        <v>193</v>
      </c>
      <c r="CD60" t="s">
        <v>669</v>
      </c>
      <c r="CH60" t="s">
        <v>1559</v>
      </c>
      <c r="CI60" t="b">
        <v>0</v>
      </c>
      <c r="CJ60" t="s">
        <v>1560</v>
      </c>
      <c r="CK60" t="s">
        <v>193</v>
      </c>
      <c r="CL60" t="s">
        <v>1561</v>
      </c>
      <c r="CM60" t="s">
        <v>1562</v>
      </c>
      <c r="CN60" t="s">
        <v>96</v>
      </c>
      <c r="CO60" t="b">
        <v>1</v>
      </c>
      <c r="CT60" t="b">
        <v>0</v>
      </c>
      <c r="CU60" t="s">
        <v>1563</v>
      </c>
      <c r="CV60" t="s">
        <v>730</v>
      </c>
      <c r="CW60" t="s">
        <v>819</v>
      </c>
      <c r="CY60">
        <v>2999</v>
      </c>
      <c r="CZ60" t="s">
        <v>670</v>
      </c>
      <c r="DA60" t="s">
        <v>196</v>
      </c>
      <c r="DB60">
        <v>113584</v>
      </c>
      <c r="DC60">
        <v>5</v>
      </c>
      <c r="DD60" t="s">
        <v>699</v>
      </c>
      <c r="DE60" t="s">
        <v>669</v>
      </c>
      <c r="DF60">
        <v>41179282</v>
      </c>
      <c r="DG60" t="s">
        <v>1564</v>
      </c>
      <c r="DH60" t="s">
        <v>669</v>
      </c>
      <c r="DI60">
        <v>-1</v>
      </c>
      <c r="DJ60">
        <v>-1</v>
      </c>
      <c r="DK60" t="s">
        <v>1565</v>
      </c>
    </row>
    <row r="61" spans="1:115">
      <c r="A61" t="s">
        <v>97</v>
      </c>
      <c r="B61" t="s">
        <v>667</v>
      </c>
      <c r="C61" t="b">
        <v>0</v>
      </c>
      <c r="D61" t="b">
        <v>1</v>
      </c>
      <c r="E61" t="b">
        <v>0</v>
      </c>
      <c r="H61" t="b">
        <v>0</v>
      </c>
      <c r="I61" t="b">
        <v>0</v>
      </c>
      <c r="J61" t="b">
        <v>0</v>
      </c>
      <c r="K61" t="s">
        <v>193</v>
      </c>
      <c r="Q61" t="b">
        <v>0</v>
      </c>
      <c r="S61" t="b">
        <v>0</v>
      </c>
      <c r="T61" t="b">
        <v>0</v>
      </c>
      <c r="U61">
        <v>2450</v>
      </c>
      <c r="W61" t="s">
        <v>668</v>
      </c>
      <c r="X61" t="s">
        <v>244</v>
      </c>
      <c r="Y61" t="s">
        <v>669</v>
      </c>
      <c r="Z61" t="s">
        <v>193</v>
      </c>
      <c r="AA61" t="s">
        <v>832</v>
      </c>
      <c r="AB61" t="b">
        <v>1</v>
      </c>
      <c r="AC61" t="s">
        <v>302</v>
      </c>
      <c r="AD61" t="s">
        <v>670</v>
      </c>
      <c r="AE61" t="s">
        <v>809</v>
      </c>
      <c r="AF61" t="s">
        <v>1566</v>
      </c>
      <c r="AG61" t="s">
        <v>433</v>
      </c>
      <c r="AH61" t="s">
        <v>258</v>
      </c>
      <c r="AI61" t="s">
        <v>258</v>
      </c>
      <c r="AJ61" t="s">
        <v>673</v>
      </c>
      <c r="AK61">
        <v>754746820210421</v>
      </c>
      <c r="AL61" t="s">
        <v>670</v>
      </c>
      <c r="AM61" t="s">
        <v>674</v>
      </c>
      <c r="AN61" t="s">
        <v>197</v>
      </c>
      <c r="AO61" t="s">
        <v>846</v>
      </c>
      <c r="AP61" t="s">
        <v>759</v>
      </c>
      <c r="AQ61" t="s">
        <v>760</v>
      </c>
      <c r="AR61" t="s">
        <v>761</v>
      </c>
      <c r="AS61" t="s">
        <v>261</v>
      </c>
      <c r="AT61">
        <v>2795</v>
      </c>
      <c r="AU61" t="s">
        <v>669</v>
      </c>
      <c r="AV61">
        <v>60000</v>
      </c>
      <c r="AW61">
        <v>36</v>
      </c>
      <c r="AY61">
        <v>100000</v>
      </c>
      <c r="AZ61">
        <v>60</v>
      </c>
      <c r="BA61" t="b">
        <v>0</v>
      </c>
      <c r="BB61" t="s">
        <v>1567</v>
      </c>
      <c r="BC61" t="b">
        <v>1</v>
      </c>
      <c r="BD61" t="b">
        <v>1</v>
      </c>
      <c r="BE61" t="s">
        <v>914</v>
      </c>
      <c r="BF61">
        <v>0</v>
      </c>
      <c r="BG61">
        <v>0</v>
      </c>
      <c r="BH61" t="s">
        <v>1568</v>
      </c>
      <c r="BI61" t="s">
        <v>682</v>
      </c>
      <c r="BJ61" t="b">
        <v>1</v>
      </c>
      <c r="BK61" t="b">
        <v>0</v>
      </c>
      <c r="BL61" t="s">
        <v>1569</v>
      </c>
      <c r="BM61" t="s">
        <v>98</v>
      </c>
      <c r="BN61" t="s">
        <v>684</v>
      </c>
      <c r="BP61" t="s">
        <v>1570</v>
      </c>
      <c r="BQ61" t="b">
        <v>0</v>
      </c>
      <c r="BS61" t="s">
        <v>1571</v>
      </c>
      <c r="BT61" t="s">
        <v>1572</v>
      </c>
      <c r="BU61" t="b">
        <v>0</v>
      </c>
      <c r="BV61" t="s">
        <v>1573</v>
      </c>
      <c r="BW61">
        <v>4</v>
      </c>
      <c r="BX61">
        <v>1350</v>
      </c>
      <c r="BY61" t="b">
        <v>1</v>
      </c>
      <c r="BZ61" t="s">
        <v>1574</v>
      </c>
      <c r="CA61" t="s">
        <v>193</v>
      </c>
      <c r="CB61" t="s">
        <v>1575</v>
      </c>
      <c r="CC61" t="s">
        <v>193</v>
      </c>
      <c r="CD61" t="s">
        <v>669</v>
      </c>
      <c r="CH61" t="s">
        <v>1576</v>
      </c>
      <c r="CI61" t="b">
        <v>0</v>
      </c>
      <c r="CJ61" t="s">
        <v>1577</v>
      </c>
      <c r="CK61" t="s">
        <v>193</v>
      </c>
      <c r="CL61" t="s">
        <v>1578</v>
      </c>
      <c r="CM61" t="s">
        <v>1579</v>
      </c>
      <c r="CN61" t="s">
        <v>98</v>
      </c>
      <c r="CO61" t="b">
        <v>1</v>
      </c>
      <c r="CT61" t="b">
        <v>0</v>
      </c>
      <c r="CU61" t="s">
        <v>1580</v>
      </c>
      <c r="CV61" t="s">
        <v>769</v>
      </c>
      <c r="CW61" t="s">
        <v>731</v>
      </c>
      <c r="CY61">
        <v>1999</v>
      </c>
      <c r="CZ61" t="s">
        <v>670</v>
      </c>
      <c r="DA61" t="s">
        <v>196</v>
      </c>
      <c r="DB61">
        <v>63138</v>
      </c>
      <c r="DC61">
        <v>5</v>
      </c>
      <c r="DD61" t="s">
        <v>699</v>
      </c>
      <c r="DE61" t="s">
        <v>669</v>
      </c>
      <c r="DF61">
        <v>41161416</v>
      </c>
      <c r="DG61" t="s">
        <v>1581</v>
      </c>
      <c r="DH61" t="s">
        <v>669</v>
      </c>
      <c r="DI61">
        <v>0</v>
      </c>
      <c r="DJ61">
        <v>-1</v>
      </c>
      <c r="DK61" t="s">
        <v>1582</v>
      </c>
    </row>
    <row r="62" spans="1:115">
      <c r="A62" t="s">
        <v>99</v>
      </c>
      <c r="B62" t="s">
        <v>667</v>
      </c>
      <c r="C62" t="b">
        <v>0</v>
      </c>
      <c r="D62" t="b">
        <v>0</v>
      </c>
      <c r="E62" t="b">
        <v>0</v>
      </c>
      <c r="H62" t="b">
        <v>0</v>
      </c>
      <c r="I62" t="b">
        <v>0</v>
      </c>
      <c r="J62" t="b">
        <v>0</v>
      </c>
      <c r="K62" t="s">
        <v>1583</v>
      </c>
      <c r="Q62" t="b">
        <v>0</v>
      </c>
      <c r="R62" t="s">
        <v>1584</v>
      </c>
      <c r="S62" t="b">
        <v>0</v>
      </c>
      <c r="T62" t="b">
        <v>0</v>
      </c>
      <c r="U62">
        <v>1480</v>
      </c>
      <c r="W62" t="s">
        <v>668</v>
      </c>
      <c r="X62" t="s">
        <v>193</v>
      </c>
      <c r="Y62" t="s">
        <v>669</v>
      </c>
      <c r="Z62" t="s">
        <v>193</v>
      </c>
      <c r="AB62" t="b">
        <v>1</v>
      </c>
      <c r="AC62" t="s">
        <v>302</v>
      </c>
      <c r="AD62" t="s">
        <v>670</v>
      </c>
      <c r="AE62" t="s">
        <v>670</v>
      </c>
      <c r="AF62" t="s">
        <v>733</v>
      </c>
      <c r="AG62" t="s">
        <v>216</v>
      </c>
      <c r="AH62" t="s">
        <v>191</v>
      </c>
      <c r="AI62" t="s">
        <v>191</v>
      </c>
      <c r="AJ62" t="s">
        <v>673</v>
      </c>
      <c r="AK62">
        <v>729113520210101</v>
      </c>
      <c r="AL62" t="s">
        <v>670</v>
      </c>
      <c r="AM62" t="s">
        <v>674</v>
      </c>
      <c r="AN62" t="s">
        <v>197</v>
      </c>
      <c r="AO62" t="s">
        <v>675</v>
      </c>
      <c r="AP62" t="s">
        <v>676</v>
      </c>
      <c r="AQ62" t="s">
        <v>677</v>
      </c>
      <c r="AR62" t="s">
        <v>678</v>
      </c>
      <c r="AS62" t="s">
        <v>198</v>
      </c>
      <c r="AT62">
        <v>1570</v>
      </c>
      <c r="AU62" t="s">
        <v>669</v>
      </c>
      <c r="AV62">
        <v>60000</v>
      </c>
      <c r="AW62">
        <v>36</v>
      </c>
      <c r="AY62">
        <v>100000</v>
      </c>
      <c r="AZ62">
        <v>60</v>
      </c>
      <c r="BA62" t="b">
        <v>0</v>
      </c>
      <c r="BB62" t="s">
        <v>1585</v>
      </c>
      <c r="BC62" t="b">
        <v>1</v>
      </c>
      <c r="BD62" t="b">
        <v>1</v>
      </c>
      <c r="BE62" t="s">
        <v>914</v>
      </c>
      <c r="BF62">
        <v>0</v>
      </c>
      <c r="BG62">
        <v>0</v>
      </c>
      <c r="BH62" t="s">
        <v>1205</v>
      </c>
      <c r="BI62" t="s">
        <v>682</v>
      </c>
      <c r="BJ62" t="b">
        <v>1</v>
      </c>
      <c r="BK62" t="b">
        <v>0</v>
      </c>
      <c r="BL62" t="s">
        <v>1586</v>
      </c>
      <c r="BM62" t="s">
        <v>52</v>
      </c>
      <c r="BN62" t="s">
        <v>684</v>
      </c>
      <c r="BP62" t="s">
        <v>1587</v>
      </c>
      <c r="BQ62" t="b">
        <v>0</v>
      </c>
      <c r="BS62" t="s">
        <v>1588</v>
      </c>
      <c r="BT62" t="s">
        <v>1408</v>
      </c>
      <c r="BU62" t="b">
        <v>0</v>
      </c>
      <c r="BV62" t="s">
        <v>1589</v>
      </c>
      <c r="BW62">
        <v>7</v>
      </c>
      <c r="BX62">
        <v>1172</v>
      </c>
      <c r="BY62" t="b">
        <v>1</v>
      </c>
      <c r="BZ62" t="s">
        <v>1590</v>
      </c>
      <c r="CA62" t="s">
        <v>193</v>
      </c>
      <c r="CB62" t="s">
        <v>1591</v>
      </c>
      <c r="CC62" t="s">
        <v>193</v>
      </c>
      <c r="CD62" t="s">
        <v>669</v>
      </c>
      <c r="CH62" t="s">
        <v>1212</v>
      </c>
      <c r="CI62" t="b">
        <v>0</v>
      </c>
      <c r="CJ62" t="s">
        <v>1213</v>
      </c>
      <c r="CK62" t="s">
        <v>193</v>
      </c>
      <c r="CL62" t="s">
        <v>1214</v>
      </c>
      <c r="CM62" t="s">
        <v>1215</v>
      </c>
      <c r="CN62" t="s">
        <v>52</v>
      </c>
      <c r="CO62" t="b">
        <v>1</v>
      </c>
      <c r="CT62" t="b">
        <v>0</v>
      </c>
      <c r="CU62" t="s">
        <v>1592</v>
      </c>
      <c r="CV62" t="s">
        <v>697</v>
      </c>
      <c r="CW62" t="s">
        <v>731</v>
      </c>
      <c r="CY62">
        <v>1598</v>
      </c>
      <c r="CZ62" t="s">
        <v>670</v>
      </c>
      <c r="DA62" t="s">
        <v>196</v>
      </c>
      <c r="DB62">
        <v>58364</v>
      </c>
      <c r="DC62">
        <v>5</v>
      </c>
      <c r="DD62" t="s">
        <v>699</v>
      </c>
      <c r="DE62" t="s">
        <v>669</v>
      </c>
      <c r="DF62">
        <v>41151139</v>
      </c>
      <c r="DG62" t="s">
        <v>1593</v>
      </c>
      <c r="DH62" t="s">
        <v>669</v>
      </c>
      <c r="DI62">
        <v>-1</v>
      </c>
      <c r="DJ62">
        <v>-1</v>
      </c>
      <c r="DK62" t="s">
        <v>1594</v>
      </c>
    </row>
    <row r="63" spans="1:115">
      <c r="A63" t="s">
        <v>100</v>
      </c>
      <c r="B63" t="s">
        <v>667</v>
      </c>
      <c r="C63" t="b">
        <v>0</v>
      </c>
      <c r="D63" t="b">
        <v>1</v>
      </c>
      <c r="E63" t="b">
        <v>0</v>
      </c>
      <c r="H63" t="b">
        <v>0</v>
      </c>
      <c r="I63" t="b">
        <v>0</v>
      </c>
      <c r="J63" t="b">
        <v>0</v>
      </c>
      <c r="K63" t="s">
        <v>193</v>
      </c>
      <c r="Q63" t="b">
        <v>0</v>
      </c>
      <c r="S63" t="b">
        <v>0</v>
      </c>
      <c r="T63" t="b">
        <v>0</v>
      </c>
      <c r="U63">
        <v>220</v>
      </c>
      <c r="W63" t="s">
        <v>668</v>
      </c>
      <c r="X63" t="s">
        <v>244</v>
      </c>
      <c r="Y63" t="s">
        <v>669</v>
      </c>
      <c r="Z63" t="s">
        <v>193</v>
      </c>
      <c r="AA63" t="s">
        <v>832</v>
      </c>
      <c r="AB63" t="b">
        <v>1</v>
      </c>
      <c r="AC63" t="s">
        <v>440</v>
      </c>
      <c r="AD63" t="s">
        <v>701</v>
      </c>
      <c r="AE63" t="s">
        <v>670</v>
      </c>
      <c r="AF63" t="s">
        <v>1595</v>
      </c>
      <c r="AG63" t="s">
        <v>439</v>
      </c>
      <c r="AH63" t="s">
        <v>1596</v>
      </c>
      <c r="AI63" t="s">
        <v>438</v>
      </c>
      <c r="AJ63" t="s">
        <v>673</v>
      </c>
      <c r="AK63">
        <v>71611820010509</v>
      </c>
      <c r="AL63" t="s">
        <v>670</v>
      </c>
      <c r="AM63" t="s">
        <v>674</v>
      </c>
      <c r="AN63" t="s">
        <v>197</v>
      </c>
      <c r="AO63" t="s">
        <v>1597</v>
      </c>
      <c r="AP63" t="s">
        <v>676</v>
      </c>
      <c r="AQ63" t="s">
        <v>677</v>
      </c>
      <c r="AR63" t="s">
        <v>678</v>
      </c>
      <c r="AS63" t="s">
        <v>441</v>
      </c>
      <c r="AT63">
        <v>1110</v>
      </c>
      <c r="AU63" t="s">
        <v>669</v>
      </c>
      <c r="AV63">
        <v>40000</v>
      </c>
      <c r="AW63">
        <v>24</v>
      </c>
      <c r="AY63">
        <v>60000</v>
      </c>
      <c r="AZ63">
        <v>36</v>
      </c>
      <c r="BA63" t="b">
        <v>0</v>
      </c>
      <c r="BB63" t="s">
        <v>1598</v>
      </c>
      <c r="BC63" t="b">
        <v>1</v>
      </c>
      <c r="BD63" t="b">
        <v>1</v>
      </c>
      <c r="BE63" t="s">
        <v>914</v>
      </c>
      <c r="BF63">
        <v>0</v>
      </c>
      <c r="BG63">
        <v>0</v>
      </c>
      <c r="BH63" t="s">
        <v>1286</v>
      </c>
      <c r="BI63" t="s">
        <v>682</v>
      </c>
      <c r="BJ63" t="b">
        <v>1</v>
      </c>
      <c r="BK63" t="b">
        <v>0</v>
      </c>
      <c r="BL63" t="s">
        <v>1599</v>
      </c>
      <c r="BM63" t="s">
        <v>101</v>
      </c>
      <c r="BN63" t="s">
        <v>684</v>
      </c>
      <c r="BP63" t="s">
        <v>1600</v>
      </c>
      <c r="BQ63" t="b">
        <v>0</v>
      </c>
      <c r="BS63" t="s">
        <v>1601</v>
      </c>
      <c r="BT63" t="s">
        <v>1601</v>
      </c>
      <c r="BU63" t="b">
        <v>0</v>
      </c>
      <c r="BV63" t="s">
        <v>1602</v>
      </c>
      <c r="BW63">
        <v>32</v>
      </c>
      <c r="BX63">
        <v>2663</v>
      </c>
      <c r="BY63" t="b">
        <v>1</v>
      </c>
      <c r="BZ63" t="s">
        <v>193</v>
      </c>
      <c r="CA63" t="s">
        <v>193</v>
      </c>
      <c r="CB63" t="s">
        <v>1603</v>
      </c>
      <c r="CC63" t="s">
        <v>193</v>
      </c>
      <c r="CD63" t="s">
        <v>669</v>
      </c>
      <c r="CH63" t="s">
        <v>1604</v>
      </c>
      <c r="CI63" t="b">
        <v>0</v>
      </c>
      <c r="CJ63" t="s">
        <v>1605</v>
      </c>
      <c r="CK63" t="s">
        <v>193</v>
      </c>
      <c r="CL63" t="s">
        <v>1606</v>
      </c>
      <c r="CM63" t="s">
        <v>1607</v>
      </c>
      <c r="CN63" t="s">
        <v>101</v>
      </c>
      <c r="CO63" t="b">
        <v>1</v>
      </c>
      <c r="CT63" t="b">
        <v>0</v>
      </c>
      <c r="CU63" t="s">
        <v>1608</v>
      </c>
      <c r="CV63" t="s">
        <v>697</v>
      </c>
      <c r="CW63" t="s">
        <v>731</v>
      </c>
      <c r="CY63">
        <v>1495</v>
      </c>
      <c r="CZ63" t="s">
        <v>670</v>
      </c>
      <c r="DA63" t="s">
        <v>196</v>
      </c>
      <c r="DB63">
        <v>72994</v>
      </c>
      <c r="DC63">
        <v>5</v>
      </c>
      <c r="DD63" t="s">
        <v>699</v>
      </c>
      <c r="DE63" t="s">
        <v>669</v>
      </c>
      <c r="DF63">
        <v>41149660</v>
      </c>
      <c r="DG63" t="s">
        <v>1609</v>
      </c>
      <c r="DH63" t="s">
        <v>669</v>
      </c>
      <c r="DI63">
        <v>0</v>
      </c>
      <c r="DJ63">
        <v>-1</v>
      </c>
      <c r="DK63" t="s">
        <v>1610</v>
      </c>
    </row>
    <row r="64" spans="1:115">
      <c r="A64" t="s">
        <v>102</v>
      </c>
      <c r="B64" t="s">
        <v>667</v>
      </c>
      <c r="C64" t="b">
        <v>0</v>
      </c>
      <c r="D64" t="b">
        <v>1</v>
      </c>
      <c r="E64" t="b">
        <v>0</v>
      </c>
      <c r="H64" t="b">
        <v>0</v>
      </c>
      <c r="I64" t="b">
        <v>0</v>
      </c>
      <c r="J64" t="b">
        <v>0</v>
      </c>
      <c r="K64" t="s">
        <v>193</v>
      </c>
      <c r="Q64" t="b">
        <v>0</v>
      </c>
      <c r="S64" t="b">
        <v>0</v>
      </c>
      <c r="T64" t="b">
        <v>0</v>
      </c>
      <c r="U64">
        <v>3180</v>
      </c>
      <c r="W64" t="s">
        <v>668</v>
      </c>
      <c r="X64" t="s">
        <v>244</v>
      </c>
      <c r="Y64" t="s">
        <v>669</v>
      </c>
      <c r="Z64" t="s">
        <v>193</v>
      </c>
      <c r="AA64" t="s">
        <v>832</v>
      </c>
      <c r="AB64" t="b">
        <v>1</v>
      </c>
      <c r="AC64" t="s">
        <v>195</v>
      </c>
      <c r="AD64" t="s">
        <v>822</v>
      </c>
      <c r="AE64" t="s">
        <v>701</v>
      </c>
      <c r="AF64" t="s">
        <v>966</v>
      </c>
      <c r="AG64" t="s">
        <v>301</v>
      </c>
      <c r="AH64" t="s">
        <v>1611</v>
      </c>
      <c r="AI64" t="s">
        <v>444</v>
      </c>
      <c r="AJ64" t="s">
        <v>673</v>
      </c>
      <c r="AK64">
        <v>799735020210101</v>
      </c>
      <c r="AL64" t="s">
        <v>670</v>
      </c>
      <c r="AM64" t="s">
        <v>674</v>
      </c>
      <c r="AN64" t="s">
        <v>197</v>
      </c>
      <c r="AO64" t="s">
        <v>792</v>
      </c>
      <c r="AP64" t="s">
        <v>705</v>
      </c>
      <c r="AQ64" t="s">
        <v>706</v>
      </c>
      <c r="AR64" t="s">
        <v>707</v>
      </c>
      <c r="AS64" t="s">
        <v>239</v>
      </c>
      <c r="AT64">
        <v>3838</v>
      </c>
      <c r="AU64" t="s">
        <v>669</v>
      </c>
      <c r="AV64">
        <v>60000</v>
      </c>
      <c r="AW64">
        <v>36</v>
      </c>
      <c r="AY64">
        <v>100000</v>
      </c>
      <c r="AZ64">
        <v>60</v>
      </c>
      <c r="BA64" t="b">
        <v>0</v>
      </c>
      <c r="BB64" t="s">
        <v>1612</v>
      </c>
      <c r="BC64" t="b">
        <v>1</v>
      </c>
      <c r="BD64" t="b">
        <v>1</v>
      </c>
      <c r="BE64" t="s">
        <v>680</v>
      </c>
      <c r="BF64">
        <v>0</v>
      </c>
      <c r="BG64">
        <v>0</v>
      </c>
      <c r="BH64" t="s">
        <v>1613</v>
      </c>
      <c r="BI64" t="s">
        <v>682</v>
      </c>
      <c r="BJ64" t="b">
        <v>1</v>
      </c>
      <c r="BK64" t="b">
        <v>0</v>
      </c>
      <c r="BL64" t="s">
        <v>1614</v>
      </c>
      <c r="BM64" t="s">
        <v>103</v>
      </c>
      <c r="BN64" t="s">
        <v>684</v>
      </c>
      <c r="BP64" t="s">
        <v>1615</v>
      </c>
      <c r="BQ64" t="b">
        <v>0</v>
      </c>
      <c r="BS64" t="s">
        <v>1616</v>
      </c>
      <c r="BT64" t="s">
        <v>1617</v>
      </c>
      <c r="BU64" t="b">
        <v>0</v>
      </c>
      <c r="BV64" t="s">
        <v>1618</v>
      </c>
      <c r="BW64">
        <v>9</v>
      </c>
      <c r="BX64">
        <v>463</v>
      </c>
      <c r="BY64" t="b">
        <v>1</v>
      </c>
      <c r="BZ64" t="s">
        <v>1619</v>
      </c>
      <c r="CA64" t="s">
        <v>193</v>
      </c>
      <c r="CB64" t="s">
        <v>1620</v>
      </c>
      <c r="CC64" t="s">
        <v>193</v>
      </c>
      <c r="CD64" t="s">
        <v>669</v>
      </c>
      <c r="CH64" t="s">
        <v>1621</v>
      </c>
      <c r="CI64" t="b">
        <v>0</v>
      </c>
      <c r="CJ64" t="s">
        <v>1622</v>
      </c>
      <c r="CK64" t="s">
        <v>193</v>
      </c>
      <c r="CL64" t="s">
        <v>1623</v>
      </c>
      <c r="CM64" t="s">
        <v>1624</v>
      </c>
      <c r="CN64" t="s">
        <v>103</v>
      </c>
      <c r="CO64" t="b">
        <v>1</v>
      </c>
      <c r="CT64" t="b">
        <v>0</v>
      </c>
      <c r="CU64" t="s">
        <v>1625</v>
      </c>
      <c r="CV64" t="s">
        <v>716</v>
      </c>
      <c r="CW64" t="s">
        <v>819</v>
      </c>
      <c r="CY64">
        <v>2497</v>
      </c>
      <c r="CZ64" t="s">
        <v>670</v>
      </c>
      <c r="DA64" t="s">
        <v>196</v>
      </c>
      <c r="DB64">
        <v>56571</v>
      </c>
      <c r="DC64">
        <v>5</v>
      </c>
      <c r="DD64" t="s">
        <v>699</v>
      </c>
      <c r="DE64" t="s">
        <v>669</v>
      </c>
      <c r="DF64">
        <v>41148444</v>
      </c>
      <c r="DG64" t="s">
        <v>1626</v>
      </c>
      <c r="DH64" t="s">
        <v>669</v>
      </c>
      <c r="DI64">
        <v>0</v>
      </c>
      <c r="DJ64">
        <v>-1</v>
      </c>
      <c r="DK64" t="s">
        <v>1627</v>
      </c>
    </row>
    <row r="65" spans="1:115">
      <c r="A65" t="s">
        <v>104</v>
      </c>
      <c r="B65" t="s">
        <v>667</v>
      </c>
      <c r="C65" t="b">
        <v>0</v>
      </c>
      <c r="D65" t="b">
        <v>1</v>
      </c>
      <c r="E65" t="b">
        <v>0</v>
      </c>
      <c r="H65" t="b">
        <v>0</v>
      </c>
      <c r="I65" t="b">
        <v>0</v>
      </c>
      <c r="J65" t="b">
        <v>0</v>
      </c>
      <c r="K65" t="s">
        <v>1628</v>
      </c>
      <c r="Q65" t="b">
        <v>0</v>
      </c>
      <c r="R65" t="s">
        <v>1629</v>
      </c>
      <c r="S65" t="b">
        <v>0</v>
      </c>
      <c r="T65" t="b">
        <v>0</v>
      </c>
      <c r="U65">
        <v>1290</v>
      </c>
      <c r="W65" t="s">
        <v>668</v>
      </c>
      <c r="X65" t="s">
        <v>244</v>
      </c>
      <c r="Y65" t="s">
        <v>669</v>
      </c>
      <c r="Z65" t="s">
        <v>193</v>
      </c>
      <c r="AA65" t="s">
        <v>789</v>
      </c>
      <c r="AB65" t="b">
        <v>1</v>
      </c>
      <c r="AC65" t="s">
        <v>254</v>
      </c>
      <c r="AD65" t="s">
        <v>822</v>
      </c>
      <c r="AE65" t="s">
        <v>671</v>
      </c>
      <c r="AF65" t="s">
        <v>756</v>
      </c>
      <c r="AG65" t="s">
        <v>227</v>
      </c>
      <c r="AH65" t="s">
        <v>1550</v>
      </c>
      <c r="AI65" t="s">
        <v>429</v>
      </c>
      <c r="AJ65" t="s">
        <v>673</v>
      </c>
      <c r="AK65">
        <v>732820620180101</v>
      </c>
      <c r="AL65" t="s">
        <v>670</v>
      </c>
      <c r="AM65" t="s">
        <v>674</v>
      </c>
      <c r="AN65" t="s">
        <v>197</v>
      </c>
      <c r="AO65" t="s">
        <v>1024</v>
      </c>
      <c r="AP65" t="s">
        <v>701</v>
      </c>
      <c r="AQ65" t="s">
        <v>721</v>
      </c>
      <c r="AR65" t="s">
        <v>722</v>
      </c>
      <c r="AS65" t="s">
        <v>319</v>
      </c>
      <c r="AT65">
        <v>3900</v>
      </c>
      <c r="AU65" t="s">
        <v>669</v>
      </c>
      <c r="AV65">
        <v>60000</v>
      </c>
      <c r="AW65">
        <v>36</v>
      </c>
      <c r="AY65">
        <v>100000</v>
      </c>
      <c r="AZ65">
        <v>60</v>
      </c>
      <c r="BA65" t="b">
        <v>0</v>
      </c>
      <c r="BB65" t="s">
        <v>1373</v>
      </c>
      <c r="BC65" t="b">
        <v>1</v>
      </c>
      <c r="BD65" t="b">
        <v>1</v>
      </c>
      <c r="BE65" t="s">
        <v>914</v>
      </c>
      <c r="BF65">
        <v>0</v>
      </c>
      <c r="BG65">
        <v>0</v>
      </c>
      <c r="BH65" t="s">
        <v>1630</v>
      </c>
      <c r="BI65" t="s">
        <v>682</v>
      </c>
      <c r="BJ65" t="b">
        <v>1</v>
      </c>
      <c r="BK65" t="b">
        <v>0</v>
      </c>
      <c r="BL65" t="s">
        <v>1631</v>
      </c>
      <c r="BM65" t="s">
        <v>105</v>
      </c>
      <c r="BN65" t="s">
        <v>684</v>
      </c>
      <c r="BP65" t="s">
        <v>1632</v>
      </c>
      <c r="BQ65" t="b">
        <v>0</v>
      </c>
      <c r="BS65" t="s">
        <v>1633</v>
      </c>
      <c r="BT65" t="s">
        <v>1634</v>
      </c>
      <c r="BU65" t="b">
        <v>0</v>
      </c>
      <c r="BV65" t="s">
        <v>1635</v>
      </c>
      <c r="BW65">
        <v>8</v>
      </c>
      <c r="BX65">
        <v>1473</v>
      </c>
      <c r="BY65" t="b">
        <v>1</v>
      </c>
      <c r="BZ65" t="s">
        <v>193</v>
      </c>
      <c r="CA65" t="s">
        <v>193</v>
      </c>
      <c r="CB65" t="s">
        <v>1636</v>
      </c>
      <c r="CC65" t="s">
        <v>193</v>
      </c>
      <c r="CD65" t="s">
        <v>669</v>
      </c>
      <c r="CH65" t="s">
        <v>1637</v>
      </c>
      <c r="CI65" t="b">
        <v>0</v>
      </c>
      <c r="CJ65" t="s">
        <v>1087</v>
      </c>
      <c r="CK65" t="s">
        <v>193</v>
      </c>
      <c r="CL65" t="s">
        <v>1638</v>
      </c>
      <c r="CM65" t="s">
        <v>1639</v>
      </c>
      <c r="CN65" t="s">
        <v>105</v>
      </c>
      <c r="CO65" t="b">
        <v>1</v>
      </c>
      <c r="CT65" t="b">
        <v>0</v>
      </c>
      <c r="CU65" t="s">
        <v>1640</v>
      </c>
      <c r="CV65" t="s">
        <v>730</v>
      </c>
      <c r="CW65" t="s">
        <v>819</v>
      </c>
      <c r="CY65">
        <v>2999</v>
      </c>
      <c r="CZ65" t="s">
        <v>670</v>
      </c>
      <c r="DA65" t="s">
        <v>196</v>
      </c>
      <c r="DB65">
        <v>155482</v>
      </c>
      <c r="DC65">
        <v>5</v>
      </c>
      <c r="DD65" t="s">
        <v>699</v>
      </c>
      <c r="DE65" t="s">
        <v>669</v>
      </c>
      <c r="DF65">
        <v>41146024</v>
      </c>
      <c r="DG65" t="s">
        <v>1641</v>
      </c>
      <c r="DH65" t="s">
        <v>669</v>
      </c>
      <c r="DI65">
        <v>0</v>
      </c>
      <c r="DJ65">
        <v>-1</v>
      </c>
      <c r="DK65" t="s">
        <v>1642</v>
      </c>
    </row>
    <row r="66" spans="1:115">
      <c r="A66" t="s">
        <v>106</v>
      </c>
      <c r="B66" t="s">
        <v>667</v>
      </c>
      <c r="C66" t="b">
        <v>0</v>
      </c>
      <c r="D66" t="b">
        <v>1</v>
      </c>
      <c r="E66" t="b">
        <v>0</v>
      </c>
      <c r="H66" t="b">
        <v>1</v>
      </c>
      <c r="I66" t="b">
        <v>0</v>
      </c>
      <c r="J66" t="b">
        <v>1</v>
      </c>
      <c r="K66" t="s">
        <v>193</v>
      </c>
      <c r="Q66" t="b">
        <v>0</v>
      </c>
      <c r="S66" t="b">
        <v>0</v>
      </c>
      <c r="T66" t="b">
        <v>1</v>
      </c>
      <c r="U66">
        <v>2550</v>
      </c>
      <c r="W66" t="s">
        <v>668</v>
      </c>
      <c r="X66" t="s">
        <v>1643</v>
      </c>
      <c r="Y66" t="s">
        <v>669</v>
      </c>
      <c r="Z66" t="s">
        <v>193</v>
      </c>
      <c r="AA66" t="s">
        <v>832</v>
      </c>
      <c r="AB66" t="b">
        <v>1</v>
      </c>
      <c r="AC66" t="s">
        <v>249</v>
      </c>
      <c r="AD66" t="s">
        <v>670</v>
      </c>
      <c r="AE66" t="s">
        <v>671</v>
      </c>
      <c r="AF66" t="s">
        <v>845</v>
      </c>
      <c r="AG66" t="s">
        <v>259</v>
      </c>
      <c r="AH66" t="s">
        <v>930</v>
      </c>
      <c r="AI66" t="s">
        <v>290</v>
      </c>
      <c r="AJ66" t="s">
        <v>673</v>
      </c>
      <c r="AK66">
        <v>813656620220713</v>
      </c>
      <c r="AL66" t="s">
        <v>670</v>
      </c>
      <c r="AM66" t="s">
        <v>674</v>
      </c>
      <c r="AN66" t="s">
        <v>197</v>
      </c>
      <c r="AO66" t="s">
        <v>931</v>
      </c>
      <c r="AP66" t="s">
        <v>932</v>
      </c>
      <c r="AQ66" t="s">
        <v>933</v>
      </c>
      <c r="AR66" t="s">
        <v>934</v>
      </c>
      <c r="AS66" t="s">
        <v>291</v>
      </c>
      <c r="AT66">
        <v>2872</v>
      </c>
      <c r="AU66" t="s">
        <v>669</v>
      </c>
      <c r="AV66">
        <v>60000</v>
      </c>
      <c r="AW66">
        <v>36</v>
      </c>
      <c r="AY66">
        <v>100000</v>
      </c>
      <c r="AZ66">
        <v>60</v>
      </c>
      <c r="BA66" t="b">
        <v>0</v>
      </c>
      <c r="BB66" t="s">
        <v>1644</v>
      </c>
      <c r="BC66" t="b">
        <v>1</v>
      </c>
      <c r="BD66" t="b">
        <v>1</v>
      </c>
      <c r="BE66" t="s">
        <v>914</v>
      </c>
      <c r="BF66">
        <v>0</v>
      </c>
      <c r="BG66">
        <v>0</v>
      </c>
      <c r="BH66" t="s">
        <v>1645</v>
      </c>
      <c r="BI66" t="s">
        <v>682</v>
      </c>
      <c r="BJ66" t="b">
        <v>1</v>
      </c>
      <c r="BK66" t="b">
        <v>0</v>
      </c>
      <c r="BL66" t="s">
        <v>1646</v>
      </c>
      <c r="BM66" t="s">
        <v>107</v>
      </c>
      <c r="BN66" t="s">
        <v>684</v>
      </c>
      <c r="BP66" t="s">
        <v>1647</v>
      </c>
      <c r="BQ66" t="b">
        <v>0</v>
      </c>
      <c r="BR66">
        <v>40404764</v>
      </c>
      <c r="BS66" t="s">
        <v>1648</v>
      </c>
      <c r="BT66" t="s">
        <v>1649</v>
      </c>
      <c r="BU66" t="b">
        <v>1</v>
      </c>
      <c r="BV66" t="s">
        <v>1650</v>
      </c>
      <c r="BW66">
        <v>1</v>
      </c>
      <c r="BX66">
        <v>354</v>
      </c>
      <c r="BY66" t="b">
        <v>1</v>
      </c>
      <c r="BZ66" t="s">
        <v>193</v>
      </c>
      <c r="CA66" t="s">
        <v>193</v>
      </c>
      <c r="CB66" t="s">
        <v>1651</v>
      </c>
      <c r="CC66" t="s">
        <v>193</v>
      </c>
      <c r="CD66" t="s">
        <v>669</v>
      </c>
      <c r="CH66" t="s">
        <v>1652</v>
      </c>
      <c r="CI66" t="b">
        <v>0</v>
      </c>
      <c r="CJ66" t="s">
        <v>1653</v>
      </c>
      <c r="CK66" t="s">
        <v>193</v>
      </c>
      <c r="CL66" t="s">
        <v>1654</v>
      </c>
      <c r="CM66" t="s">
        <v>1655</v>
      </c>
      <c r="CN66" t="s">
        <v>107</v>
      </c>
      <c r="CO66" t="b">
        <v>1</v>
      </c>
      <c r="CT66" t="b">
        <v>0</v>
      </c>
      <c r="CU66" t="s">
        <v>1656</v>
      </c>
      <c r="CV66" t="s">
        <v>716</v>
      </c>
      <c r="CW66" t="s">
        <v>819</v>
      </c>
      <c r="CY66">
        <v>1598</v>
      </c>
      <c r="CZ66" t="s">
        <v>670</v>
      </c>
      <c r="DA66" t="s">
        <v>196</v>
      </c>
      <c r="DB66">
        <v>58901</v>
      </c>
      <c r="DC66">
        <v>5</v>
      </c>
      <c r="DD66" t="s">
        <v>699</v>
      </c>
      <c r="DE66" t="s">
        <v>669</v>
      </c>
      <c r="DF66">
        <v>40403035</v>
      </c>
      <c r="DG66" t="s">
        <v>1657</v>
      </c>
      <c r="DH66" t="s">
        <v>669</v>
      </c>
      <c r="DI66">
        <v>1</v>
      </c>
      <c r="DJ66">
        <v>-1</v>
      </c>
      <c r="DK66" t="s">
        <v>1658</v>
      </c>
    </row>
    <row r="67" spans="1:115">
      <c r="A67" t="s">
        <v>108</v>
      </c>
      <c r="B67" t="s">
        <v>667</v>
      </c>
      <c r="C67" t="b">
        <v>0</v>
      </c>
      <c r="D67" t="b">
        <v>0</v>
      </c>
      <c r="E67" t="b">
        <v>0</v>
      </c>
      <c r="H67" t="b">
        <v>0</v>
      </c>
      <c r="I67" t="b">
        <v>0</v>
      </c>
      <c r="J67" t="b">
        <v>0</v>
      </c>
      <c r="K67" t="s">
        <v>1659</v>
      </c>
      <c r="Q67" t="b">
        <v>0</v>
      </c>
      <c r="R67" t="s">
        <v>1660</v>
      </c>
      <c r="S67" t="b">
        <v>0</v>
      </c>
      <c r="T67" t="b">
        <v>0</v>
      </c>
      <c r="U67">
        <v>3400</v>
      </c>
      <c r="W67" t="s">
        <v>668</v>
      </c>
      <c r="X67" t="s">
        <v>193</v>
      </c>
      <c r="Y67" t="s">
        <v>669</v>
      </c>
      <c r="Z67" t="s">
        <v>193</v>
      </c>
      <c r="AB67" t="b">
        <v>1</v>
      </c>
      <c r="AC67" t="s">
        <v>249</v>
      </c>
      <c r="AD67" t="s">
        <v>822</v>
      </c>
      <c r="AE67" t="s">
        <v>670</v>
      </c>
      <c r="AF67" t="s">
        <v>702</v>
      </c>
      <c r="AG67" t="s">
        <v>205</v>
      </c>
      <c r="AH67" t="s">
        <v>791</v>
      </c>
      <c r="AI67" t="s">
        <v>236</v>
      </c>
      <c r="AJ67" t="s">
        <v>673</v>
      </c>
      <c r="AK67">
        <v>806888020220908</v>
      </c>
      <c r="AL67" t="s">
        <v>670</v>
      </c>
      <c r="AM67" t="s">
        <v>674</v>
      </c>
      <c r="AN67" t="s">
        <v>197</v>
      </c>
      <c r="AO67" t="s">
        <v>1661</v>
      </c>
      <c r="AP67" t="s">
        <v>903</v>
      </c>
      <c r="AQ67" t="s">
        <v>904</v>
      </c>
      <c r="AR67" t="s">
        <v>282</v>
      </c>
      <c r="AS67" t="s">
        <v>451</v>
      </c>
      <c r="AT67">
        <v>4017</v>
      </c>
      <c r="AU67" t="s">
        <v>669</v>
      </c>
      <c r="AV67">
        <v>60000</v>
      </c>
      <c r="AW67">
        <v>36</v>
      </c>
      <c r="AY67">
        <v>100000</v>
      </c>
      <c r="AZ67">
        <v>60</v>
      </c>
      <c r="BA67" t="b">
        <v>0</v>
      </c>
      <c r="BB67" t="s">
        <v>1662</v>
      </c>
      <c r="BC67" t="b">
        <v>1</v>
      </c>
      <c r="BD67" t="b">
        <v>1</v>
      </c>
      <c r="BE67" t="s">
        <v>914</v>
      </c>
      <c r="BF67">
        <v>0</v>
      </c>
      <c r="BG67">
        <v>0</v>
      </c>
      <c r="BH67" t="s">
        <v>1135</v>
      </c>
      <c r="BI67" t="s">
        <v>682</v>
      </c>
      <c r="BJ67" t="b">
        <v>1</v>
      </c>
      <c r="BK67" t="b">
        <v>0</v>
      </c>
      <c r="BL67" t="s">
        <v>1663</v>
      </c>
      <c r="BM67" t="s">
        <v>109</v>
      </c>
      <c r="BN67" t="s">
        <v>684</v>
      </c>
      <c r="BP67" t="s">
        <v>1664</v>
      </c>
      <c r="BQ67" t="b">
        <v>0</v>
      </c>
      <c r="BS67" t="s">
        <v>1665</v>
      </c>
      <c r="BT67" t="s">
        <v>1666</v>
      </c>
      <c r="BU67" t="b">
        <v>1</v>
      </c>
      <c r="BV67" t="s">
        <v>1667</v>
      </c>
      <c r="BW67">
        <v>5</v>
      </c>
      <c r="BX67">
        <v>370</v>
      </c>
      <c r="BY67" t="b">
        <v>1</v>
      </c>
      <c r="BZ67" t="s">
        <v>1668</v>
      </c>
      <c r="CA67" t="s">
        <v>193</v>
      </c>
      <c r="CB67" t="s">
        <v>1669</v>
      </c>
      <c r="CC67" t="s">
        <v>193</v>
      </c>
      <c r="CD67" t="s">
        <v>669</v>
      </c>
      <c r="CH67" t="s">
        <v>1670</v>
      </c>
      <c r="CI67" t="b">
        <v>0</v>
      </c>
      <c r="CJ67" t="s">
        <v>1144</v>
      </c>
      <c r="CK67" t="s">
        <v>193</v>
      </c>
      <c r="CL67" t="s">
        <v>1671</v>
      </c>
      <c r="CM67" t="s">
        <v>1672</v>
      </c>
      <c r="CN67" t="s">
        <v>109</v>
      </c>
      <c r="CO67" t="b">
        <v>1</v>
      </c>
      <c r="CT67" t="b">
        <v>0</v>
      </c>
      <c r="CU67" t="s">
        <v>1673</v>
      </c>
      <c r="CV67" t="s">
        <v>716</v>
      </c>
      <c r="CW67" t="s">
        <v>698</v>
      </c>
      <c r="CY67">
        <v>2199</v>
      </c>
      <c r="CZ67" t="s">
        <v>671</v>
      </c>
      <c r="DA67" t="s">
        <v>207</v>
      </c>
      <c r="DB67">
        <v>77880</v>
      </c>
      <c r="DC67">
        <v>7</v>
      </c>
      <c r="DD67" t="s">
        <v>699</v>
      </c>
      <c r="DE67" t="s">
        <v>669</v>
      </c>
      <c r="DF67">
        <v>40788412</v>
      </c>
      <c r="DG67" t="s">
        <v>1674</v>
      </c>
      <c r="DH67" t="s">
        <v>669</v>
      </c>
      <c r="DI67">
        <v>-1</v>
      </c>
      <c r="DJ67">
        <v>-1</v>
      </c>
      <c r="DK67" t="s">
        <v>1675</v>
      </c>
    </row>
    <row r="68" spans="1:115">
      <c r="A68" t="s">
        <v>110</v>
      </c>
      <c r="B68" t="s">
        <v>667</v>
      </c>
      <c r="C68" t="b">
        <v>0</v>
      </c>
      <c r="D68" t="b">
        <v>1</v>
      </c>
      <c r="E68" t="b">
        <v>0</v>
      </c>
      <c r="H68" t="b">
        <v>1</v>
      </c>
      <c r="I68" t="b">
        <v>0</v>
      </c>
      <c r="J68" t="b">
        <v>0</v>
      </c>
      <c r="K68" t="s">
        <v>1583</v>
      </c>
      <c r="Q68" t="b">
        <v>0</v>
      </c>
      <c r="R68" t="s">
        <v>1057</v>
      </c>
      <c r="S68" t="b">
        <v>0</v>
      </c>
      <c r="T68" t="b">
        <v>0</v>
      </c>
      <c r="U68">
        <v>4299</v>
      </c>
      <c r="W68" t="s">
        <v>668</v>
      </c>
      <c r="X68" t="s">
        <v>1676</v>
      </c>
      <c r="Y68" t="s">
        <v>669</v>
      </c>
      <c r="Z68" t="s">
        <v>193</v>
      </c>
      <c r="AA68" t="s">
        <v>832</v>
      </c>
      <c r="AB68" t="b">
        <v>1</v>
      </c>
      <c r="AC68" t="s">
        <v>372</v>
      </c>
      <c r="AD68" t="s">
        <v>671</v>
      </c>
      <c r="AE68" t="s">
        <v>822</v>
      </c>
      <c r="AF68" t="s">
        <v>966</v>
      </c>
      <c r="AG68" t="s">
        <v>301</v>
      </c>
      <c r="AH68" t="s">
        <v>1267</v>
      </c>
      <c r="AI68" t="s">
        <v>371</v>
      </c>
      <c r="AJ68" t="s">
        <v>673</v>
      </c>
      <c r="AK68">
        <v>7.9973502023081411E+18</v>
      </c>
      <c r="AL68" t="s">
        <v>670</v>
      </c>
      <c r="AM68" t="s">
        <v>674</v>
      </c>
      <c r="AN68" t="s">
        <v>197</v>
      </c>
      <c r="AO68" t="s">
        <v>1268</v>
      </c>
      <c r="AP68" t="s">
        <v>705</v>
      </c>
      <c r="AQ68" t="s">
        <v>706</v>
      </c>
      <c r="AR68" t="s">
        <v>707</v>
      </c>
      <c r="AS68" t="s">
        <v>373</v>
      </c>
      <c r="AT68">
        <v>4596</v>
      </c>
      <c r="AU68" t="s">
        <v>669</v>
      </c>
      <c r="AV68">
        <v>60000</v>
      </c>
      <c r="AW68">
        <v>36</v>
      </c>
      <c r="AY68">
        <v>100000</v>
      </c>
      <c r="AZ68">
        <v>60</v>
      </c>
      <c r="BA68" t="b">
        <v>0</v>
      </c>
      <c r="BB68" t="s">
        <v>1677</v>
      </c>
      <c r="BC68" t="b">
        <v>1</v>
      </c>
      <c r="BD68" t="b">
        <v>1</v>
      </c>
      <c r="BE68" t="s">
        <v>914</v>
      </c>
      <c r="BF68">
        <v>0</v>
      </c>
      <c r="BG68">
        <v>0</v>
      </c>
      <c r="BH68" t="s">
        <v>1078</v>
      </c>
      <c r="BI68" t="s">
        <v>682</v>
      </c>
      <c r="BJ68" t="b">
        <v>1</v>
      </c>
      <c r="BK68" t="b">
        <v>0</v>
      </c>
      <c r="BL68" t="s">
        <v>1678</v>
      </c>
      <c r="BM68" t="s">
        <v>111</v>
      </c>
      <c r="BN68" t="s">
        <v>684</v>
      </c>
      <c r="BP68" t="s">
        <v>1679</v>
      </c>
      <c r="BQ68" t="b">
        <v>0</v>
      </c>
      <c r="BS68" t="s">
        <v>1680</v>
      </c>
      <c r="BT68" t="s">
        <v>1681</v>
      </c>
      <c r="BU68" t="b">
        <v>1</v>
      </c>
      <c r="BV68" t="s">
        <v>1682</v>
      </c>
      <c r="BW68">
        <v>1</v>
      </c>
      <c r="BX68">
        <v>897</v>
      </c>
      <c r="BY68" t="b">
        <v>1</v>
      </c>
      <c r="BZ68" t="s">
        <v>1683</v>
      </c>
      <c r="CA68" t="s">
        <v>193</v>
      </c>
      <c r="CB68" t="s">
        <v>1684</v>
      </c>
      <c r="CC68" t="s">
        <v>193</v>
      </c>
      <c r="CD68" t="s">
        <v>669</v>
      </c>
      <c r="CH68" t="s">
        <v>1685</v>
      </c>
      <c r="CI68" t="b">
        <v>0</v>
      </c>
      <c r="CJ68" t="s">
        <v>1087</v>
      </c>
      <c r="CK68" t="s">
        <v>193</v>
      </c>
      <c r="CL68" t="s">
        <v>1686</v>
      </c>
      <c r="CM68" t="s">
        <v>1687</v>
      </c>
      <c r="CN68" t="s">
        <v>111</v>
      </c>
      <c r="CO68" t="b">
        <v>1</v>
      </c>
      <c r="CT68" t="b">
        <v>0</v>
      </c>
      <c r="CU68" t="s">
        <v>1688</v>
      </c>
      <c r="CV68" t="s">
        <v>716</v>
      </c>
      <c r="CW68" t="s">
        <v>731</v>
      </c>
      <c r="CY68">
        <v>2497</v>
      </c>
      <c r="CZ68" t="s">
        <v>670</v>
      </c>
      <c r="DA68" t="s">
        <v>196</v>
      </c>
      <c r="DB68">
        <v>19480</v>
      </c>
      <c r="DC68">
        <v>6</v>
      </c>
      <c r="DD68" t="s">
        <v>699</v>
      </c>
      <c r="DE68" t="s">
        <v>669</v>
      </c>
      <c r="DF68">
        <v>40211340</v>
      </c>
      <c r="DG68" t="s">
        <v>1689</v>
      </c>
      <c r="DH68" t="s">
        <v>669</v>
      </c>
      <c r="DI68">
        <v>0</v>
      </c>
      <c r="DJ68">
        <v>-1</v>
      </c>
      <c r="DK68" t="s">
        <v>1690</v>
      </c>
    </row>
    <row r="69" spans="1:115">
      <c r="A69" t="s">
        <v>112</v>
      </c>
      <c r="B69" t="s">
        <v>667</v>
      </c>
      <c r="C69" t="b">
        <v>0</v>
      </c>
      <c r="D69" t="b">
        <v>0</v>
      </c>
      <c r="E69" t="b">
        <v>0</v>
      </c>
      <c r="H69" t="b">
        <v>0</v>
      </c>
      <c r="I69" t="b">
        <v>0</v>
      </c>
      <c r="J69" t="b">
        <v>0</v>
      </c>
      <c r="K69" t="s">
        <v>1691</v>
      </c>
      <c r="Q69" t="b">
        <v>0</v>
      </c>
      <c r="R69" t="s">
        <v>1692</v>
      </c>
      <c r="S69" t="b">
        <v>0</v>
      </c>
      <c r="T69" t="b">
        <v>0</v>
      </c>
      <c r="U69">
        <v>1860</v>
      </c>
      <c r="W69" t="s">
        <v>668</v>
      </c>
      <c r="X69" t="s">
        <v>193</v>
      </c>
      <c r="Y69" t="s">
        <v>669</v>
      </c>
      <c r="Z69" t="s">
        <v>193</v>
      </c>
      <c r="AB69" t="b">
        <v>1</v>
      </c>
      <c r="AC69" t="s">
        <v>260</v>
      </c>
      <c r="AD69" t="s">
        <v>670</v>
      </c>
      <c r="AE69" t="s">
        <v>671</v>
      </c>
      <c r="AF69" t="s">
        <v>790</v>
      </c>
      <c r="AG69" t="s">
        <v>237</v>
      </c>
      <c r="AH69" t="s">
        <v>300</v>
      </c>
      <c r="AI69" t="s">
        <v>300</v>
      </c>
      <c r="AJ69" t="s">
        <v>673</v>
      </c>
      <c r="AK69">
        <v>766182320200301</v>
      </c>
      <c r="AL69" t="s">
        <v>670</v>
      </c>
      <c r="AM69" t="s">
        <v>674</v>
      </c>
      <c r="AN69" t="s">
        <v>197</v>
      </c>
      <c r="AO69" t="s">
        <v>967</v>
      </c>
      <c r="AP69" t="s">
        <v>701</v>
      </c>
      <c r="AQ69" t="s">
        <v>721</v>
      </c>
      <c r="AR69" t="s">
        <v>722</v>
      </c>
      <c r="AS69" t="s">
        <v>303</v>
      </c>
      <c r="AT69">
        <v>3287</v>
      </c>
      <c r="AU69" t="s">
        <v>669</v>
      </c>
      <c r="AV69">
        <v>60000</v>
      </c>
      <c r="AW69">
        <v>36</v>
      </c>
      <c r="AY69">
        <v>100000</v>
      </c>
      <c r="AZ69">
        <v>60</v>
      </c>
      <c r="BA69" t="b">
        <v>0</v>
      </c>
      <c r="BB69" t="s">
        <v>1077</v>
      </c>
      <c r="BC69" t="b">
        <v>1</v>
      </c>
      <c r="BD69" t="b">
        <v>1</v>
      </c>
      <c r="BE69" t="s">
        <v>914</v>
      </c>
      <c r="BF69">
        <v>0</v>
      </c>
      <c r="BG69">
        <v>0</v>
      </c>
      <c r="BH69" t="s">
        <v>1693</v>
      </c>
      <c r="BI69" t="s">
        <v>682</v>
      </c>
      <c r="BJ69" t="b">
        <v>1</v>
      </c>
      <c r="BK69" t="b">
        <v>0</v>
      </c>
      <c r="BL69" t="s">
        <v>1694</v>
      </c>
      <c r="BM69" t="s">
        <v>113</v>
      </c>
      <c r="BN69" t="s">
        <v>684</v>
      </c>
      <c r="BP69" t="s">
        <v>1695</v>
      </c>
      <c r="BQ69" t="b">
        <v>0</v>
      </c>
      <c r="BS69" t="s">
        <v>1696</v>
      </c>
      <c r="BT69" t="s">
        <v>1697</v>
      </c>
      <c r="BU69" t="b">
        <v>1</v>
      </c>
      <c r="BV69" t="s">
        <v>1698</v>
      </c>
      <c r="BW69">
        <v>24</v>
      </c>
      <c r="BX69">
        <v>2395</v>
      </c>
      <c r="BY69" t="b">
        <v>1</v>
      </c>
      <c r="BZ69" t="s">
        <v>1699</v>
      </c>
      <c r="CA69" t="s">
        <v>193</v>
      </c>
      <c r="CB69" t="s">
        <v>1700</v>
      </c>
      <c r="CC69" t="s">
        <v>193</v>
      </c>
      <c r="CD69" t="s">
        <v>669</v>
      </c>
      <c r="CH69" t="s">
        <v>1701</v>
      </c>
      <c r="CI69" t="b">
        <v>0</v>
      </c>
      <c r="CJ69" t="s">
        <v>1702</v>
      </c>
      <c r="CK69" t="s">
        <v>193</v>
      </c>
      <c r="CL69" t="s">
        <v>1703</v>
      </c>
      <c r="CM69" t="s">
        <v>1704</v>
      </c>
      <c r="CN69" t="s">
        <v>113</v>
      </c>
      <c r="CO69" t="b">
        <v>1</v>
      </c>
      <c r="CT69" t="b">
        <v>0</v>
      </c>
      <c r="CU69" t="s">
        <v>1705</v>
      </c>
      <c r="CV69" t="s">
        <v>730</v>
      </c>
      <c r="CW69" t="s">
        <v>698</v>
      </c>
      <c r="CY69">
        <v>2497</v>
      </c>
      <c r="CZ69" t="s">
        <v>670</v>
      </c>
      <c r="DA69" t="s">
        <v>196</v>
      </c>
      <c r="DB69">
        <v>60089</v>
      </c>
      <c r="DC69">
        <v>5</v>
      </c>
      <c r="DD69" t="s">
        <v>699</v>
      </c>
      <c r="DE69" t="s">
        <v>669</v>
      </c>
      <c r="DF69">
        <v>40349454</v>
      </c>
      <c r="DG69" t="s">
        <v>1706</v>
      </c>
      <c r="DH69" t="s">
        <v>669</v>
      </c>
      <c r="DI69">
        <v>-1</v>
      </c>
      <c r="DJ69">
        <v>-1</v>
      </c>
      <c r="DK69" t="s">
        <v>1707</v>
      </c>
    </row>
    <row r="70" spans="1:115">
      <c r="A70" t="s">
        <v>114</v>
      </c>
      <c r="B70" t="s">
        <v>1708</v>
      </c>
      <c r="C70" t="b">
        <v>0</v>
      </c>
      <c r="D70" t="b">
        <v>0</v>
      </c>
      <c r="E70" t="b">
        <v>0</v>
      </c>
      <c r="H70" t="b">
        <v>0</v>
      </c>
      <c r="I70" t="b">
        <v>0</v>
      </c>
      <c r="J70" t="b">
        <v>0</v>
      </c>
      <c r="K70" t="s">
        <v>1583</v>
      </c>
      <c r="N70">
        <v>1</v>
      </c>
      <c r="O70">
        <v>65</v>
      </c>
      <c r="P70">
        <v>1</v>
      </c>
      <c r="Q70" t="b">
        <v>0</v>
      </c>
      <c r="R70" t="s">
        <v>1057</v>
      </c>
      <c r="S70" t="b">
        <v>0</v>
      </c>
      <c r="T70" t="b">
        <v>0</v>
      </c>
      <c r="U70">
        <v>2895</v>
      </c>
      <c r="W70" t="s">
        <v>668</v>
      </c>
      <c r="X70" t="s">
        <v>193</v>
      </c>
      <c r="Y70" t="s">
        <v>669</v>
      </c>
      <c r="Z70" t="s">
        <v>193</v>
      </c>
      <c r="AB70" t="b">
        <v>1</v>
      </c>
      <c r="AC70" t="s">
        <v>254</v>
      </c>
      <c r="AD70" t="s">
        <v>1129</v>
      </c>
      <c r="AH70" t="s">
        <v>1709</v>
      </c>
      <c r="AI70" t="s">
        <v>459</v>
      </c>
      <c r="AJ70" t="s">
        <v>673</v>
      </c>
      <c r="AK70">
        <v>787733420180101</v>
      </c>
      <c r="AL70" t="s">
        <v>670</v>
      </c>
      <c r="AM70" t="s">
        <v>674</v>
      </c>
      <c r="AN70" t="s">
        <v>197</v>
      </c>
      <c r="AO70" t="s">
        <v>1024</v>
      </c>
      <c r="AP70" t="s">
        <v>701</v>
      </c>
      <c r="AQ70" t="s">
        <v>721</v>
      </c>
      <c r="AR70" t="s">
        <v>722</v>
      </c>
      <c r="AS70" t="s">
        <v>319</v>
      </c>
      <c r="AT70">
        <v>2895</v>
      </c>
      <c r="AU70" t="s">
        <v>669</v>
      </c>
      <c r="AV70">
        <v>60000</v>
      </c>
      <c r="AW70">
        <v>36</v>
      </c>
      <c r="AY70">
        <v>100000</v>
      </c>
      <c r="AZ70">
        <v>60</v>
      </c>
      <c r="BA70" t="b">
        <v>0</v>
      </c>
      <c r="BB70" t="s">
        <v>1710</v>
      </c>
      <c r="BC70" t="b">
        <v>1</v>
      </c>
      <c r="BD70" t="b">
        <v>1</v>
      </c>
      <c r="BE70" t="s">
        <v>193</v>
      </c>
      <c r="BH70" t="s">
        <v>1026</v>
      </c>
      <c r="BI70" t="s">
        <v>682</v>
      </c>
      <c r="BJ70" t="b">
        <v>0</v>
      </c>
      <c r="BK70" t="b">
        <v>0</v>
      </c>
      <c r="BL70" t="s">
        <v>1711</v>
      </c>
      <c r="BM70" t="s">
        <v>115</v>
      </c>
      <c r="BN70" t="s">
        <v>1712</v>
      </c>
      <c r="BP70" t="s">
        <v>1713</v>
      </c>
      <c r="BQ70" t="b">
        <v>0</v>
      </c>
      <c r="BS70" t="s">
        <v>1714</v>
      </c>
      <c r="BT70" t="s">
        <v>1714</v>
      </c>
      <c r="BU70" t="b">
        <v>0</v>
      </c>
      <c r="BV70" t="s">
        <v>1715</v>
      </c>
      <c r="BW70">
        <v>0</v>
      </c>
      <c r="BX70">
        <v>65</v>
      </c>
      <c r="BY70" t="b">
        <v>0</v>
      </c>
      <c r="BZ70" t="s">
        <v>193</v>
      </c>
      <c r="CA70" t="s">
        <v>193</v>
      </c>
      <c r="CB70" t="s">
        <v>1716</v>
      </c>
      <c r="CC70" t="s">
        <v>193</v>
      </c>
      <c r="CD70" t="s">
        <v>669</v>
      </c>
      <c r="CO70" t="b">
        <v>0</v>
      </c>
      <c r="CR70">
        <v>71</v>
      </c>
      <c r="CS70">
        <v>54</v>
      </c>
      <c r="CT70" t="b">
        <v>0</v>
      </c>
      <c r="CU70" t="s">
        <v>1717</v>
      </c>
      <c r="CV70" t="s">
        <v>730</v>
      </c>
      <c r="CW70" t="s">
        <v>819</v>
      </c>
      <c r="CY70">
        <v>2999</v>
      </c>
      <c r="CZ70" t="s">
        <v>822</v>
      </c>
      <c r="DA70" t="s">
        <v>250</v>
      </c>
      <c r="DB70">
        <v>180599</v>
      </c>
      <c r="DD70" t="s">
        <v>699</v>
      </c>
      <c r="DE70" t="s">
        <v>669</v>
      </c>
      <c r="DF70">
        <v>40815620</v>
      </c>
      <c r="DG70" t="s">
        <v>1718</v>
      </c>
      <c r="DH70" t="s">
        <v>669</v>
      </c>
      <c r="DI70">
        <v>-1</v>
      </c>
      <c r="DJ70">
        <v>-1</v>
      </c>
    </row>
    <row r="71" spans="1:115">
      <c r="A71" t="s">
        <v>116</v>
      </c>
      <c r="B71" t="s">
        <v>1708</v>
      </c>
      <c r="C71" t="b">
        <v>0</v>
      </c>
      <c r="D71" t="b">
        <v>0</v>
      </c>
      <c r="E71" t="b">
        <v>0</v>
      </c>
      <c r="H71" t="b">
        <v>0</v>
      </c>
      <c r="I71" t="b">
        <v>0</v>
      </c>
      <c r="J71" t="b">
        <v>0</v>
      </c>
      <c r="K71" t="s">
        <v>1583</v>
      </c>
      <c r="N71">
        <v>1</v>
      </c>
      <c r="O71">
        <v>65</v>
      </c>
      <c r="P71">
        <v>1</v>
      </c>
      <c r="Q71" t="b">
        <v>0</v>
      </c>
      <c r="R71" t="s">
        <v>1057</v>
      </c>
      <c r="S71" t="b">
        <v>0</v>
      </c>
      <c r="T71" t="b">
        <v>0</v>
      </c>
      <c r="U71">
        <v>2905</v>
      </c>
      <c r="W71" t="s">
        <v>668</v>
      </c>
      <c r="X71" t="s">
        <v>193</v>
      </c>
      <c r="Y71" t="s">
        <v>669</v>
      </c>
      <c r="Z71" t="s">
        <v>193</v>
      </c>
      <c r="AB71" t="b">
        <v>1</v>
      </c>
      <c r="AC71" t="s">
        <v>217</v>
      </c>
      <c r="AD71" t="s">
        <v>701</v>
      </c>
      <c r="AE71" t="s">
        <v>670</v>
      </c>
      <c r="AF71" t="s">
        <v>672</v>
      </c>
      <c r="AG71" t="s">
        <v>192</v>
      </c>
      <c r="AH71" t="s">
        <v>1403</v>
      </c>
      <c r="AI71" t="s">
        <v>402</v>
      </c>
      <c r="AJ71" t="s">
        <v>673</v>
      </c>
      <c r="AL71" t="s">
        <v>670</v>
      </c>
      <c r="AM71" t="s">
        <v>674</v>
      </c>
      <c r="AN71" t="s">
        <v>197</v>
      </c>
      <c r="AO71" t="s">
        <v>967</v>
      </c>
      <c r="AP71" t="s">
        <v>701</v>
      </c>
      <c r="AQ71" t="s">
        <v>721</v>
      </c>
      <c r="AR71" t="s">
        <v>722</v>
      </c>
      <c r="AS71" t="s">
        <v>303</v>
      </c>
      <c r="AU71" t="s">
        <v>669</v>
      </c>
      <c r="AV71">
        <v>0</v>
      </c>
      <c r="AW71">
        <v>0</v>
      </c>
      <c r="AY71">
        <v>0</v>
      </c>
      <c r="AZ71">
        <v>0</v>
      </c>
      <c r="BA71" t="b">
        <v>0</v>
      </c>
      <c r="BB71" t="s">
        <v>1719</v>
      </c>
      <c r="BC71" t="b">
        <v>1</v>
      </c>
      <c r="BD71" t="b">
        <v>1</v>
      </c>
      <c r="BE71" t="s">
        <v>193</v>
      </c>
      <c r="BH71" t="s">
        <v>1026</v>
      </c>
      <c r="BI71" t="s">
        <v>682</v>
      </c>
      <c r="BJ71" t="b">
        <v>0</v>
      </c>
      <c r="BK71" t="b">
        <v>0</v>
      </c>
      <c r="BL71" t="s">
        <v>1720</v>
      </c>
      <c r="BM71" t="s">
        <v>115</v>
      </c>
      <c r="BN71" t="s">
        <v>1712</v>
      </c>
      <c r="BP71" t="s">
        <v>1721</v>
      </c>
      <c r="BQ71" t="b">
        <v>0</v>
      </c>
      <c r="BS71" t="s">
        <v>1714</v>
      </c>
      <c r="BT71" t="s">
        <v>1714</v>
      </c>
      <c r="BU71" t="b">
        <v>0</v>
      </c>
      <c r="BV71" t="s">
        <v>1722</v>
      </c>
      <c r="BW71">
        <v>0</v>
      </c>
      <c r="BX71">
        <v>81</v>
      </c>
      <c r="BY71" t="b">
        <v>0</v>
      </c>
      <c r="BZ71" t="s">
        <v>193</v>
      </c>
      <c r="CA71" t="s">
        <v>193</v>
      </c>
      <c r="CB71" t="s">
        <v>1723</v>
      </c>
      <c r="CC71" t="s">
        <v>193</v>
      </c>
      <c r="CD71" t="s">
        <v>669</v>
      </c>
      <c r="CO71" t="b">
        <v>0</v>
      </c>
      <c r="CR71">
        <v>71</v>
      </c>
      <c r="CS71">
        <v>54</v>
      </c>
      <c r="CT71" t="b">
        <v>0</v>
      </c>
      <c r="CU71" t="s">
        <v>1724</v>
      </c>
      <c r="CV71" t="s">
        <v>730</v>
      </c>
      <c r="CW71" t="s">
        <v>698</v>
      </c>
      <c r="CY71">
        <v>2999</v>
      </c>
      <c r="CZ71" t="s">
        <v>822</v>
      </c>
      <c r="DA71" t="s">
        <v>250</v>
      </c>
      <c r="DB71">
        <v>166185</v>
      </c>
      <c r="DD71" t="s">
        <v>699</v>
      </c>
      <c r="DE71" t="s">
        <v>669</v>
      </c>
      <c r="DF71">
        <v>40815862</v>
      </c>
      <c r="DG71" t="s">
        <v>1725</v>
      </c>
      <c r="DH71" t="s">
        <v>669</v>
      </c>
      <c r="DI71">
        <v>-1</v>
      </c>
      <c r="DJ71">
        <v>-1</v>
      </c>
    </row>
    <row r="72" spans="1:115">
      <c r="A72" t="s">
        <v>117</v>
      </c>
      <c r="B72" t="s">
        <v>667</v>
      </c>
      <c r="C72" t="b">
        <v>0</v>
      </c>
      <c r="D72" t="b">
        <v>1</v>
      </c>
      <c r="E72" t="b">
        <v>0</v>
      </c>
      <c r="H72" t="b">
        <v>0</v>
      </c>
      <c r="I72" t="b">
        <v>0</v>
      </c>
      <c r="J72" t="b">
        <v>0</v>
      </c>
      <c r="K72" t="s">
        <v>193</v>
      </c>
      <c r="Q72" t="b">
        <v>0</v>
      </c>
      <c r="S72" t="b">
        <v>0</v>
      </c>
      <c r="T72" t="b">
        <v>0</v>
      </c>
      <c r="U72">
        <v>1650</v>
      </c>
      <c r="W72" t="s">
        <v>668</v>
      </c>
      <c r="X72" t="s">
        <v>244</v>
      </c>
      <c r="Y72" t="s">
        <v>669</v>
      </c>
      <c r="Z72" t="s">
        <v>193</v>
      </c>
      <c r="AA72" t="s">
        <v>832</v>
      </c>
      <c r="AB72" t="b">
        <v>1</v>
      </c>
      <c r="AC72" t="s">
        <v>195</v>
      </c>
      <c r="AD72" t="s">
        <v>670</v>
      </c>
      <c r="AE72" t="s">
        <v>671</v>
      </c>
      <c r="AF72" t="s">
        <v>672</v>
      </c>
      <c r="AG72" t="s">
        <v>192</v>
      </c>
      <c r="AH72" t="s">
        <v>191</v>
      </c>
      <c r="AI72" t="s">
        <v>191</v>
      </c>
      <c r="AJ72" t="s">
        <v>673</v>
      </c>
      <c r="AK72">
        <v>65544620200701</v>
      </c>
      <c r="AL72" t="s">
        <v>670</v>
      </c>
      <c r="AM72" t="s">
        <v>674</v>
      </c>
      <c r="AN72" t="s">
        <v>197</v>
      </c>
      <c r="AO72" t="s">
        <v>675</v>
      </c>
      <c r="AP72" t="s">
        <v>676</v>
      </c>
      <c r="AQ72" t="s">
        <v>677</v>
      </c>
      <c r="AR72" t="s">
        <v>678</v>
      </c>
      <c r="AS72" t="s">
        <v>198</v>
      </c>
      <c r="AT72">
        <v>1948</v>
      </c>
      <c r="AU72" t="s">
        <v>669</v>
      </c>
      <c r="AV72">
        <v>60000</v>
      </c>
      <c r="AW72">
        <v>36</v>
      </c>
      <c r="AY72">
        <v>100000</v>
      </c>
      <c r="AZ72">
        <v>60</v>
      </c>
      <c r="BA72" t="b">
        <v>0</v>
      </c>
      <c r="BB72" t="s">
        <v>679</v>
      </c>
      <c r="BC72" t="b">
        <v>1</v>
      </c>
      <c r="BD72" t="b">
        <v>1</v>
      </c>
      <c r="BE72" t="s">
        <v>914</v>
      </c>
      <c r="BF72">
        <v>0</v>
      </c>
      <c r="BG72">
        <v>0</v>
      </c>
      <c r="BH72" t="s">
        <v>1726</v>
      </c>
      <c r="BI72" t="s">
        <v>682</v>
      </c>
      <c r="BJ72" t="b">
        <v>1</v>
      </c>
      <c r="BK72" t="b">
        <v>0</v>
      </c>
      <c r="BL72" t="s">
        <v>1727</v>
      </c>
      <c r="BM72" t="s">
        <v>118</v>
      </c>
      <c r="BN72" t="s">
        <v>684</v>
      </c>
      <c r="BP72" t="s">
        <v>1728</v>
      </c>
      <c r="BQ72" t="b">
        <v>0</v>
      </c>
      <c r="BS72" t="s">
        <v>1729</v>
      </c>
      <c r="BT72" t="s">
        <v>1517</v>
      </c>
      <c r="BU72" t="b">
        <v>1</v>
      </c>
      <c r="BV72" t="s">
        <v>1730</v>
      </c>
      <c r="BW72">
        <v>6</v>
      </c>
      <c r="BX72">
        <v>189</v>
      </c>
      <c r="BY72" t="b">
        <v>1</v>
      </c>
      <c r="BZ72" t="s">
        <v>1731</v>
      </c>
      <c r="CA72" t="s">
        <v>193</v>
      </c>
      <c r="CB72" t="s">
        <v>1732</v>
      </c>
      <c r="CC72" t="s">
        <v>193</v>
      </c>
      <c r="CD72" t="s">
        <v>669</v>
      </c>
      <c r="CH72" t="s">
        <v>1733</v>
      </c>
      <c r="CI72" t="b">
        <v>0</v>
      </c>
      <c r="CJ72" t="s">
        <v>1734</v>
      </c>
      <c r="CK72" t="s">
        <v>193</v>
      </c>
      <c r="CL72" t="s">
        <v>1735</v>
      </c>
      <c r="CM72" t="s">
        <v>1736</v>
      </c>
      <c r="CN72" t="s">
        <v>118</v>
      </c>
      <c r="CO72" t="b">
        <v>1</v>
      </c>
      <c r="CT72" t="b">
        <v>0</v>
      </c>
      <c r="CU72" t="s">
        <v>1737</v>
      </c>
      <c r="CV72" t="s">
        <v>697</v>
      </c>
      <c r="CW72" t="s">
        <v>731</v>
      </c>
      <c r="CY72">
        <v>1598</v>
      </c>
      <c r="CZ72" t="s">
        <v>670</v>
      </c>
      <c r="DA72" t="s">
        <v>196</v>
      </c>
      <c r="DB72">
        <v>58676</v>
      </c>
      <c r="DC72">
        <v>5</v>
      </c>
      <c r="DD72" t="s">
        <v>699</v>
      </c>
      <c r="DE72" t="s">
        <v>669</v>
      </c>
      <c r="DF72">
        <v>40941213</v>
      </c>
      <c r="DG72" t="s">
        <v>1738</v>
      </c>
      <c r="DH72" t="s">
        <v>669</v>
      </c>
      <c r="DI72">
        <v>0</v>
      </c>
      <c r="DJ72">
        <v>-1</v>
      </c>
      <c r="DK72" t="s">
        <v>1739</v>
      </c>
    </row>
    <row r="73" spans="1:115">
      <c r="A73" t="s">
        <v>119</v>
      </c>
      <c r="B73" t="s">
        <v>667</v>
      </c>
      <c r="C73" t="b">
        <v>1</v>
      </c>
      <c r="D73" t="b">
        <v>1</v>
      </c>
      <c r="E73" t="b">
        <v>0</v>
      </c>
      <c r="H73" t="b">
        <v>0</v>
      </c>
      <c r="I73" t="b">
        <v>0</v>
      </c>
      <c r="J73" t="b">
        <v>1</v>
      </c>
      <c r="K73" t="s">
        <v>193</v>
      </c>
      <c r="Q73" t="b">
        <v>0</v>
      </c>
      <c r="S73" t="b">
        <v>0</v>
      </c>
      <c r="T73" t="b">
        <v>1</v>
      </c>
      <c r="U73">
        <v>1200</v>
      </c>
      <c r="W73" t="s">
        <v>668</v>
      </c>
      <c r="X73" t="s">
        <v>788</v>
      </c>
      <c r="Y73" t="s">
        <v>669</v>
      </c>
      <c r="Z73" t="s">
        <v>193</v>
      </c>
      <c r="AA73" t="s">
        <v>832</v>
      </c>
      <c r="AB73" t="b">
        <v>1</v>
      </c>
      <c r="AC73" t="s">
        <v>217</v>
      </c>
      <c r="AD73" t="s">
        <v>1740</v>
      </c>
      <c r="AH73" t="s">
        <v>1741</v>
      </c>
      <c r="AI73" t="s">
        <v>468</v>
      </c>
      <c r="AJ73" t="s">
        <v>673</v>
      </c>
      <c r="AK73">
        <v>768311820180504</v>
      </c>
      <c r="AL73" t="s">
        <v>670</v>
      </c>
      <c r="AM73" t="s">
        <v>674</v>
      </c>
      <c r="AN73" t="s">
        <v>197</v>
      </c>
      <c r="AO73" t="s">
        <v>834</v>
      </c>
      <c r="AP73" t="s">
        <v>759</v>
      </c>
      <c r="AQ73" t="s">
        <v>760</v>
      </c>
      <c r="AR73" t="s">
        <v>761</v>
      </c>
      <c r="AS73" t="s">
        <v>255</v>
      </c>
      <c r="AT73">
        <v>2625</v>
      </c>
      <c r="AU73" t="s">
        <v>669</v>
      </c>
      <c r="AV73">
        <v>60000</v>
      </c>
      <c r="AW73">
        <v>36</v>
      </c>
      <c r="AY73">
        <v>100000</v>
      </c>
      <c r="AZ73">
        <v>60</v>
      </c>
      <c r="BA73" t="b">
        <v>0</v>
      </c>
      <c r="BB73" t="s">
        <v>1742</v>
      </c>
      <c r="BC73" t="b">
        <v>1</v>
      </c>
      <c r="BD73" t="b">
        <v>1</v>
      </c>
      <c r="BE73" t="s">
        <v>914</v>
      </c>
      <c r="BF73">
        <v>0</v>
      </c>
      <c r="BG73">
        <v>0</v>
      </c>
      <c r="BH73" t="s">
        <v>1307</v>
      </c>
      <c r="BI73" t="s">
        <v>682</v>
      </c>
      <c r="BJ73" t="b">
        <v>1</v>
      </c>
      <c r="BK73" t="b">
        <v>0</v>
      </c>
      <c r="BL73" t="s">
        <v>1743</v>
      </c>
      <c r="BM73" t="s">
        <v>120</v>
      </c>
      <c r="BN73" t="s">
        <v>684</v>
      </c>
      <c r="BP73" t="s">
        <v>1744</v>
      </c>
      <c r="BQ73" t="b">
        <v>0</v>
      </c>
      <c r="BR73">
        <v>40958425</v>
      </c>
      <c r="BS73" t="s">
        <v>1745</v>
      </c>
      <c r="BT73" t="s">
        <v>1746</v>
      </c>
      <c r="BU73" t="b">
        <v>1</v>
      </c>
      <c r="BV73" t="s">
        <v>1747</v>
      </c>
      <c r="BW73">
        <v>0</v>
      </c>
      <c r="BX73">
        <v>190</v>
      </c>
      <c r="BY73" t="b">
        <v>1</v>
      </c>
      <c r="BZ73" t="s">
        <v>1748</v>
      </c>
      <c r="CA73" t="s">
        <v>193</v>
      </c>
      <c r="CB73" t="s">
        <v>1749</v>
      </c>
      <c r="CC73" t="s">
        <v>193</v>
      </c>
      <c r="CD73" t="s">
        <v>669</v>
      </c>
      <c r="CH73" t="s">
        <v>1750</v>
      </c>
      <c r="CI73" t="b">
        <v>0</v>
      </c>
      <c r="CJ73" t="s">
        <v>1051</v>
      </c>
      <c r="CK73" t="s">
        <v>193</v>
      </c>
      <c r="CL73" t="s">
        <v>1751</v>
      </c>
      <c r="CM73" t="s">
        <v>1752</v>
      </c>
      <c r="CN73" t="s">
        <v>120</v>
      </c>
      <c r="CO73" t="b">
        <v>1</v>
      </c>
      <c r="CT73" t="b">
        <v>0</v>
      </c>
      <c r="CU73" t="s">
        <v>1753</v>
      </c>
      <c r="CV73" t="s">
        <v>769</v>
      </c>
      <c r="CW73" t="s">
        <v>731</v>
      </c>
      <c r="CY73">
        <v>1999</v>
      </c>
      <c r="CZ73" t="s">
        <v>670</v>
      </c>
      <c r="DA73" t="s">
        <v>196</v>
      </c>
      <c r="DB73">
        <v>106485</v>
      </c>
      <c r="DC73">
        <v>5</v>
      </c>
      <c r="DD73" t="s">
        <v>699</v>
      </c>
      <c r="DE73" t="s">
        <v>669</v>
      </c>
      <c r="DF73">
        <v>40943677</v>
      </c>
      <c r="DG73" t="s">
        <v>1754</v>
      </c>
      <c r="DH73" t="s">
        <v>669</v>
      </c>
      <c r="DI73">
        <v>1</v>
      </c>
      <c r="DJ73">
        <v>-1</v>
      </c>
      <c r="DK73" t="s">
        <v>1755</v>
      </c>
    </row>
    <row r="74" spans="1:115">
      <c r="A74" t="s">
        <v>121</v>
      </c>
      <c r="B74" t="s">
        <v>667</v>
      </c>
      <c r="C74" t="b">
        <v>0</v>
      </c>
      <c r="D74" t="b">
        <v>1</v>
      </c>
      <c r="E74" t="b">
        <v>0</v>
      </c>
      <c r="H74" t="b">
        <v>0</v>
      </c>
      <c r="I74" t="b">
        <v>0</v>
      </c>
      <c r="J74" t="b">
        <v>0</v>
      </c>
      <c r="K74" t="s">
        <v>193</v>
      </c>
      <c r="Q74" t="b">
        <v>0</v>
      </c>
      <c r="R74" t="s">
        <v>1057</v>
      </c>
      <c r="S74" t="b">
        <v>0</v>
      </c>
      <c r="T74" t="b">
        <v>0</v>
      </c>
      <c r="U74">
        <v>1410</v>
      </c>
      <c r="W74" t="s">
        <v>668</v>
      </c>
      <c r="X74" t="s">
        <v>244</v>
      </c>
      <c r="Y74" t="s">
        <v>669</v>
      </c>
      <c r="Z74" t="s">
        <v>193</v>
      </c>
      <c r="AA74" t="s">
        <v>832</v>
      </c>
      <c r="AB74" t="b">
        <v>1</v>
      </c>
      <c r="AC74" t="s">
        <v>249</v>
      </c>
      <c r="AD74" t="s">
        <v>809</v>
      </c>
      <c r="AH74" t="s">
        <v>1756</v>
      </c>
      <c r="AI74" t="s">
        <v>471</v>
      </c>
      <c r="AJ74" t="s">
        <v>673</v>
      </c>
      <c r="AK74">
        <v>828372720210929</v>
      </c>
      <c r="AL74" t="s">
        <v>670</v>
      </c>
      <c r="AM74" t="s">
        <v>674</v>
      </c>
      <c r="AN74" t="s">
        <v>197</v>
      </c>
      <c r="AO74" t="s">
        <v>1131</v>
      </c>
      <c r="AP74" t="s">
        <v>1132</v>
      </c>
      <c r="AQ74" t="s">
        <v>1133</v>
      </c>
      <c r="AR74" t="s">
        <v>346</v>
      </c>
      <c r="AS74" t="s">
        <v>346</v>
      </c>
      <c r="AT74">
        <v>1960</v>
      </c>
      <c r="AU74" t="s">
        <v>669</v>
      </c>
      <c r="AV74">
        <v>60000</v>
      </c>
      <c r="AW74">
        <v>36</v>
      </c>
      <c r="AY74">
        <v>100000</v>
      </c>
      <c r="AZ74">
        <v>60</v>
      </c>
      <c r="BA74" t="b">
        <v>0</v>
      </c>
      <c r="BB74" t="s">
        <v>1585</v>
      </c>
      <c r="BC74" t="b">
        <v>1</v>
      </c>
      <c r="BD74" t="b">
        <v>1</v>
      </c>
      <c r="BE74" t="s">
        <v>914</v>
      </c>
      <c r="BF74">
        <v>0</v>
      </c>
      <c r="BG74">
        <v>0</v>
      </c>
      <c r="BH74" t="s">
        <v>1757</v>
      </c>
      <c r="BI74" t="s">
        <v>682</v>
      </c>
      <c r="BJ74" t="b">
        <v>1</v>
      </c>
      <c r="BK74" t="b">
        <v>0</v>
      </c>
      <c r="BL74" t="s">
        <v>1758</v>
      </c>
      <c r="BM74" t="s">
        <v>122</v>
      </c>
      <c r="BN74" t="s">
        <v>684</v>
      </c>
      <c r="BP74" t="s">
        <v>1759</v>
      </c>
      <c r="BQ74" t="b">
        <v>0</v>
      </c>
      <c r="BS74" t="s">
        <v>1760</v>
      </c>
      <c r="BT74" t="s">
        <v>1761</v>
      </c>
      <c r="BU74" t="b">
        <v>1</v>
      </c>
      <c r="BV74" t="s">
        <v>1762</v>
      </c>
      <c r="BW74">
        <v>9</v>
      </c>
      <c r="BX74">
        <v>436</v>
      </c>
      <c r="BY74" t="b">
        <v>1</v>
      </c>
      <c r="BZ74" t="s">
        <v>1763</v>
      </c>
      <c r="CA74" t="s">
        <v>193</v>
      </c>
      <c r="CB74" t="s">
        <v>1764</v>
      </c>
      <c r="CC74" t="s">
        <v>193</v>
      </c>
      <c r="CD74" t="s">
        <v>669</v>
      </c>
      <c r="CH74" t="s">
        <v>1765</v>
      </c>
      <c r="CI74" t="b">
        <v>0</v>
      </c>
      <c r="CJ74" t="s">
        <v>1087</v>
      </c>
      <c r="CK74" t="s">
        <v>193</v>
      </c>
      <c r="CL74" t="s">
        <v>1766</v>
      </c>
      <c r="CM74" t="s">
        <v>1767</v>
      </c>
      <c r="CN74" t="s">
        <v>122</v>
      </c>
      <c r="CO74" t="b">
        <v>1</v>
      </c>
      <c r="CT74" t="b">
        <v>0</v>
      </c>
      <c r="CU74" t="s">
        <v>1768</v>
      </c>
      <c r="CV74" t="s">
        <v>1148</v>
      </c>
      <c r="CW74" t="s">
        <v>1769</v>
      </c>
      <c r="CY74">
        <v>998</v>
      </c>
      <c r="CZ74" t="s">
        <v>670</v>
      </c>
      <c r="DA74" t="s">
        <v>196</v>
      </c>
      <c r="DB74">
        <v>109945</v>
      </c>
      <c r="DC74">
        <v>4</v>
      </c>
      <c r="DD74" t="s">
        <v>699</v>
      </c>
      <c r="DE74" t="s">
        <v>669</v>
      </c>
      <c r="DF74">
        <v>40951140</v>
      </c>
      <c r="DG74" t="s">
        <v>1770</v>
      </c>
      <c r="DH74" t="s">
        <v>669</v>
      </c>
      <c r="DI74">
        <v>0</v>
      </c>
      <c r="DJ74">
        <v>-1</v>
      </c>
      <c r="DK74" t="s">
        <v>1771</v>
      </c>
    </row>
    <row r="75" spans="1:115">
      <c r="A75" t="s">
        <v>123</v>
      </c>
      <c r="B75" t="s">
        <v>667</v>
      </c>
      <c r="C75" t="b">
        <v>0</v>
      </c>
      <c r="D75" t="b">
        <v>0</v>
      </c>
      <c r="E75" t="b">
        <v>0</v>
      </c>
      <c r="H75" t="b">
        <v>0</v>
      </c>
      <c r="I75" t="b">
        <v>0</v>
      </c>
      <c r="J75" t="b">
        <v>0</v>
      </c>
      <c r="K75" t="s">
        <v>1772</v>
      </c>
      <c r="Q75" t="b">
        <v>0</v>
      </c>
      <c r="R75" t="s">
        <v>1773</v>
      </c>
      <c r="S75" t="b">
        <v>0</v>
      </c>
      <c r="T75" t="b">
        <v>0</v>
      </c>
      <c r="U75">
        <v>479</v>
      </c>
      <c r="W75" t="s">
        <v>668</v>
      </c>
      <c r="X75" t="s">
        <v>193</v>
      </c>
      <c r="Y75" t="s">
        <v>669</v>
      </c>
      <c r="Z75" t="s">
        <v>193</v>
      </c>
      <c r="AB75" t="b">
        <v>1</v>
      </c>
      <c r="AC75" t="s">
        <v>222</v>
      </c>
      <c r="AD75" t="s">
        <v>772</v>
      </c>
      <c r="AE75" t="s">
        <v>670</v>
      </c>
      <c r="AF75" t="s">
        <v>1595</v>
      </c>
      <c r="AG75" t="s">
        <v>439</v>
      </c>
      <c r="AH75" t="s">
        <v>1774</v>
      </c>
      <c r="AI75" t="s">
        <v>474</v>
      </c>
      <c r="AJ75" t="s">
        <v>673</v>
      </c>
      <c r="AK75">
        <v>750485120110401</v>
      </c>
      <c r="AL75" t="s">
        <v>670</v>
      </c>
      <c r="AM75" t="s">
        <v>674</v>
      </c>
      <c r="AN75" t="s">
        <v>197</v>
      </c>
      <c r="AO75" t="s">
        <v>1775</v>
      </c>
      <c r="AP75" t="s">
        <v>1776</v>
      </c>
      <c r="AQ75" t="s">
        <v>1777</v>
      </c>
      <c r="AR75" t="s">
        <v>475</v>
      </c>
      <c r="AS75" t="s">
        <v>475</v>
      </c>
      <c r="AT75">
        <v>4940</v>
      </c>
      <c r="AU75" t="s">
        <v>669</v>
      </c>
      <c r="AV75">
        <v>60000</v>
      </c>
      <c r="AW75">
        <v>36</v>
      </c>
      <c r="AY75">
        <v>100000</v>
      </c>
      <c r="AZ75">
        <v>60</v>
      </c>
      <c r="BA75" t="b">
        <v>0</v>
      </c>
      <c r="BB75" t="s">
        <v>1778</v>
      </c>
      <c r="BC75" t="b">
        <v>1</v>
      </c>
      <c r="BD75" t="b">
        <v>1</v>
      </c>
      <c r="BE75" t="s">
        <v>914</v>
      </c>
      <c r="BF75">
        <v>0</v>
      </c>
      <c r="BG75">
        <v>0</v>
      </c>
      <c r="BH75" t="s">
        <v>1779</v>
      </c>
      <c r="BI75" t="s">
        <v>682</v>
      </c>
      <c r="BJ75" t="b">
        <v>1</v>
      </c>
      <c r="BK75" t="b">
        <v>0</v>
      </c>
      <c r="BL75" t="s">
        <v>1780</v>
      </c>
      <c r="BM75" t="s">
        <v>124</v>
      </c>
      <c r="BN75" t="s">
        <v>684</v>
      </c>
      <c r="BP75" t="s">
        <v>1781</v>
      </c>
      <c r="BQ75" t="b">
        <v>0</v>
      </c>
      <c r="BS75" t="s">
        <v>1782</v>
      </c>
      <c r="BT75" t="s">
        <v>1783</v>
      </c>
      <c r="BU75" t="b">
        <v>0</v>
      </c>
      <c r="BV75" t="s">
        <v>1784</v>
      </c>
      <c r="BW75">
        <v>19</v>
      </c>
      <c r="BX75">
        <v>947</v>
      </c>
      <c r="BY75" t="b">
        <v>0</v>
      </c>
      <c r="BZ75" t="s">
        <v>1785</v>
      </c>
      <c r="CA75" t="s">
        <v>193</v>
      </c>
      <c r="CB75" t="s">
        <v>1786</v>
      </c>
      <c r="CC75" t="s">
        <v>691</v>
      </c>
      <c r="CD75" t="s">
        <v>669</v>
      </c>
      <c r="CH75" t="s">
        <v>1787</v>
      </c>
      <c r="CI75" t="b">
        <v>1</v>
      </c>
      <c r="CJ75" t="s">
        <v>1788</v>
      </c>
      <c r="CK75" t="s">
        <v>193</v>
      </c>
      <c r="CL75" t="s">
        <v>1789</v>
      </c>
      <c r="CM75" t="s">
        <v>1790</v>
      </c>
      <c r="CN75" t="s">
        <v>124</v>
      </c>
      <c r="CO75" t="b">
        <v>0</v>
      </c>
      <c r="CT75" t="b">
        <v>0</v>
      </c>
      <c r="CU75" t="s">
        <v>1791</v>
      </c>
      <c r="CV75" t="s">
        <v>730</v>
      </c>
      <c r="CW75" t="s">
        <v>819</v>
      </c>
      <c r="CY75">
        <v>3342</v>
      </c>
      <c r="CZ75" t="s">
        <v>670</v>
      </c>
      <c r="DA75" t="s">
        <v>196</v>
      </c>
      <c r="DB75">
        <v>125368</v>
      </c>
      <c r="DC75">
        <v>5</v>
      </c>
      <c r="DD75" t="s">
        <v>699</v>
      </c>
      <c r="DE75" t="s">
        <v>669</v>
      </c>
      <c r="DF75">
        <v>41289569</v>
      </c>
      <c r="DG75" t="s">
        <v>1792</v>
      </c>
      <c r="DH75" t="s">
        <v>669</v>
      </c>
      <c r="DI75">
        <v>-1</v>
      </c>
      <c r="DJ75">
        <v>-1</v>
      </c>
    </row>
    <row r="76" spans="1:115">
      <c r="A76" t="s">
        <v>125</v>
      </c>
      <c r="B76" t="s">
        <v>667</v>
      </c>
      <c r="C76" t="b">
        <v>0</v>
      </c>
      <c r="D76" t="b">
        <v>0</v>
      </c>
      <c r="E76" t="b">
        <v>0</v>
      </c>
      <c r="H76" t="b">
        <v>0</v>
      </c>
      <c r="I76" t="b">
        <v>0</v>
      </c>
      <c r="J76" t="b">
        <v>0</v>
      </c>
      <c r="K76" t="s">
        <v>1056</v>
      </c>
      <c r="Q76" t="b">
        <v>0</v>
      </c>
      <c r="R76" t="s">
        <v>1057</v>
      </c>
      <c r="S76" t="b">
        <v>0</v>
      </c>
      <c r="T76" t="b">
        <v>0</v>
      </c>
      <c r="U76">
        <v>879</v>
      </c>
      <c r="W76" t="s">
        <v>668</v>
      </c>
      <c r="X76" t="s">
        <v>193</v>
      </c>
      <c r="Y76" t="s">
        <v>669</v>
      </c>
      <c r="Z76" t="s">
        <v>193</v>
      </c>
      <c r="AB76" t="b">
        <v>1</v>
      </c>
      <c r="AC76" t="s">
        <v>212</v>
      </c>
      <c r="AD76" t="s">
        <v>1530</v>
      </c>
      <c r="AH76" t="s">
        <v>1793</v>
      </c>
      <c r="AI76" t="s">
        <v>478</v>
      </c>
      <c r="AJ76" t="s">
        <v>673</v>
      </c>
      <c r="AK76">
        <v>725513920140101</v>
      </c>
      <c r="AL76" t="s">
        <v>670</v>
      </c>
      <c r="AM76" t="s">
        <v>674</v>
      </c>
      <c r="AN76" t="s">
        <v>197</v>
      </c>
      <c r="AO76" t="s">
        <v>1794</v>
      </c>
      <c r="AP76" t="s">
        <v>1776</v>
      </c>
      <c r="AQ76" t="s">
        <v>1777</v>
      </c>
      <c r="AR76" t="s">
        <v>475</v>
      </c>
      <c r="AS76" t="s">
        <v>480</v>
      </c>
      <c r="AT76">
        <v>6380</v>
      </c>
      <c r="AU76" t="s">
        <v>669</v>
      </c>
      <c r="AV76">
        <v>60000</v>
      </c>
      <c r="AW76">
        <v>36</v>
      </c>
      <c r="AY76">
        <v>100000</v>
      </c>
      <c r="AZ76">
        <v>60</v>
      </c>
      <c r="BA76" t="b">
        <v>0</v>
      </c>
      <c r="BB76" t="s">
        <v>1795</v>
      </c>
      <c r="BC76" t="b">
        <v>1</v>
      </c>
      <c r="BD76" t="b">
        <v>1</v>
      </c>
      <c r="BE76" t="s">
        <v>193</v>
      </c>
      <c r="BF76">
        <v>0</v>
      </c>
      <c r="BG76">
        <v>0</v>
      </c>
      <c r="BH76" t="s">
        <v>1726</v>
      </c>
      <c r="BI76" t="s">
        <v>682</v>
      </c>
      <c r="BJ76" t="b">
        <v>1</v>
      </c>
      <c r="BK76" t="b">
        <v>0</v>
      </c>
      <c r="BL76" t="s">
        <v>1796</v>
      </c>
      <c r="BM76" t="s">
        <v>126</v>
      </c>
      <c r="BN76" t="s">
        <v>684</v>
      </c>
      <c r="BP76" t="s">
        <v>1797</v>
      </c>
      <c r="BQ76" t="b">
        <v>0</v>
      </c>
      <c r="BS76" t="s">
        <v>1798</v>
      </c>
      <c r="BT76" t="s">
        <v>1799</v>
      </c>
      <c r="BU76" t="b">
        <v>0</v>
      </c>
      <c r="BV76" t="s">
        <v>1800</v>
      </c>
      <c r="BW76">
        <v>8</v>
      </c>
      <c r="BX76">
        <v>737</v>
      </c>
      <c r="BY76" t="b">
        <v>1</v>
      </c>
      <c r="BZ76" t="s">
        <v>1801</v>
      </c>
      <c r="CA76" t="s">
        <v>193</v>
      </c>
      <c r="CB76" t="s">
        <v>1802</v>
      </c>
      <c r="CC76" t="s">
        <v>193</v>
      </c>
      <c r="CD76" t="s">
        <v>669</v>
      </c>
      <c r="CH76" t="s">
        <v>1803</v>
      </c>
      <c r="CI76" t="b">
        <v>0</v>
      </c>
      <c r="CJ76" t="s">
        <v>1734</v>
      </c>
      <c r="CK76" t="s">
        <v>193</v>
      </c>
      <c r="CL76" t="s">
        <v>1804</v>
      </c>
      <c r="CM76" t="s">
        <v>1805</v>
      </c>
      <c r="CN76" t="s">
        <v>126</v>
      </c>
      <c r="CO76" t="b">
        <v>1</v>
      </c>
      <c r="CT76" t="b">
        <v>0</v>
      </c>
      <c r="CU76" t="s">
        <v>1806</v>
      </c>
      <c r="CV76" t="s">
        <v>730</v>
      </c>
      <c r="CW76" t="s">
        <v>770</v>
      </c>
      <c r="CY76">
        <v>3778</v>
      </c>
      <c r="CZ76" t="s">
        <v>670</v>
      </c>
      <c r="DA76" t="s">
        <v>196</v>
      </c>
      <c r="DB76">
        <v>181453</v>
      </c>
      <c r="DC76">
        <v>5</v>
      </c>
      <c r="DD76" t="s">
        <v>699</v>
      </c>
      <c r="DE76" t="s">
        <v>669</v>
      </c>
      <c r="DF76">
        <v>41296449</v>
      </c>
      <c r="DG76" t="s">
        <v>1807</v>
      </c>
      <c r="DH76" t="s">
        <v>669</v>
      </c>
      <c r="DI76">
        <v>-1</v>
      </c>
      <c r="DJ76">
        <v>-1</v>
      </c>
      <c r="DK76" t="s">
        <v>1808</v>
      </c>
    </row>
    <row r="77" spans="1:115">
      <c r="A77" t="s">
        <v>127</v>
      </c>
      <c r="B77" t="s">
        <v>667</v>
      </c>
      <c r="C77" t="b">
        <v>0</v>
      </c>
      <c r="D77" t="b">
        <v>1</v>
      </c>
      <c r="E77" t="b">
        <v>0</v>
      </c>
      <c r="H77" t="b">
        <v>0</v>
      </c>
      <c r="I77" t="b">
        <v>0</v>
      </c>
      <c r="J77" t="b">
        <v>0</v>
      </c>
      <c r="K77" t="s">
        <v>193</v>
      </c>
      <c r="Q77" t="b">
        <v>0</v>
      </c>
      <c r="S77" t="b">
        <v>0</v>
      </c>
      <c r="T77" t="b">
        <v>0</v>
      </c>
      <c r="U77">
        <v>2450</v>
      </c>
      <c r="W77" t="s">
        <v>668</v>
      </c>
      <c r="X77" t="s">
        <v>244</v>
      </c>
      <c r="Y77" t="s">
        <v>669</v>
      </c>
      <c r="Z77" t="s">
        <v>193</v>
      </c>
      <c r="AA77" t="s">
        <v>832</v>
      </c>
      <c r="AB77" t="b">
        <v>1</v>
      </c>
      <c r="AC77" t="s">
        <v>302</v>
      </c>
      <c r="AD77" t="s">
        <v>670</v>
      </c>
      <c r="AH77" t="s">
        <v>845</v>
      </c>
      <c r="AI77" t="s">
        <v>259</v>
      </c>
      <c r="AJ77" t="s">
        <v>673</v>
      </c>
      <c r="AK77">
        <v>771396020220511</v>
      </c>
      <c r="AL77" t="s">
        <v>670</v>
      </c>
      <c r="AM77" t="s">
        <v>674</v>
      </c>
      <c r="AN77" t="s">
        <v>197</v>
      </c>
      <c r="AO77" t="s">
        <v>1809</v>
      </c>
      <c r="AP77" t="s">
        <v>701</v>
      </c>
      <c r="AQ77" t="s">
        <v>721</v>
      </c>
      <c r="AR77" t="s">
        <v>722</v>
      </c>
      <c r="AS77" t="s">
        <v>483</v>
      </c>
      <c r="AT77">
        <v>3930</v>
      </c>
      <c r="AU77" t="s">
        <v>669</v>
      </c>
      <c r="AV77">
        <v>60000</v>
      </c>
      <c r="AW77">
        <v>36</v>
      </c>
      <c r="AY77">
        <v>100000</v>
      </c>
      <c r="AZ77">
        <v>60</v>
      </c>
      <c r="BA77" t="b">
        <v>0</v>
      </c>
      <c r="BB77" t="s">
        <v>824</v>
      </c>
      <c r="BC77" t="b">
        <v>1</v>
      </c>
      <c r="BD77" t="b">
        <v>1</v>
      </c>
      <c r="BE77" t="s">
        <v>680</v>
      </c>
      <c r="BF77">
        <v>0</v>
      </c>
      <c r="BG77">
        <v>0</v>
      </c>
      <c r="BH77" t="s">
        <v>1810</v>
      </c>
      <c r="BI77" t="s">
        <v>682</v>
      </c>
      <c r="BJ77" t="b">
        <v>1</v>
      </c>
      <c r="BK77" t="b">
        <v>0</v>
      </c>
      <c r="BL77" t="s">
        <v>1811</v>
      </c>
      <c r="BM77" t="s">
        <v>128</v>
      </c>
      <c r="BN77" t="s">
        <v>684</v>
      </c>
      <c r="BP77" t="s">
        <v>1812</v>
      </c>
      <c r="BQ77" t="b">
        <v>0</v>
      </c>
      <c r="BS77" t="s">
        <v>1813</v>
      </c>
      <c r="BT77" t="s">
        <v>1813</v>
      </c>
      <c r="BU77" t="b">
        <v>0</v>
      </c>
      <c r="BV77" t="s">
        <v>1814</v>
      </c>
      <c r="BW77">
        <v>10</v>
      </c>
      <c r="BX77">
        <v>407</v>
      </c>
      <c r="BY77" t="b">
        <v>1</v>
      </c>
      <c r="BZ77" t="s">
        <v>852</v>
      </c>
      <c r="CA77" t="s">
        <v>193</v>
      </c>
      <c r="CB77" t="s">
        <v>1815</v>
      </c>
      <c r="CC77" t="s">
        <v>193</v>
      </c>
      <c r="CD77" t="s">
        <v>669</v>
      </c>
      <c r="CH77" t="s">
        <v>1816</v>
      </c>
      <c r="CI77" t="b">
        <v>0</v>
      </c>
      <c r="CJ77" t="s">
        <v>1817</v>
      </c>
      <c r="CK77" t="s">
        <v>193</v>
      </c>
      <c r="CL77" t="s">
        <v>1818</v>
      </c>
      <c r="CM77" t="s">
        <v>1819</v>
      </c>
      <c r="CN77" t="s">
        <v>128</v>
      </c>
      <c r="CO77" t="b">
        <v>1</v>
      </c>
      <c r="CT77" t="b">
        <v>0</v>
      </c>
      <c r="CU77" t="s">
        <v>1820</v>
      </c>
      <c r="CV77" t="s">
        <v>730</v>
      </c>
      <c r="CW77" t="s">
        <v>819</v>
      </c>
      <c r="CY77">
        <v>2359</v>
      </c>
      <c r="CZ77" t="s">
        <v>809</v>
      </c>
      <c r="DA77" t="s">
        <v>336</v>
      </c>
      <c r="DB77">
        <v>79829</v>
      </c>
      <c r="DC77">
        <v>5</v>
      </c>
      <c r="DD77" t="s">
        <v>699</v>
      </c>
      <c r="DE77" t="s">
        <v>669</v>
      </c>
      <c r="DF77">
        <v>41295732</v>
      </c>
      <c r="DG77" t="s">
        <v>1821</v>
      </c>
      <c r="DH77" t="s">
        <v>669</v>
      </c>
      <c r="DI77">
        <v>0</v>
      </c>
      <c r="DJ77">
        <v>-1</v>
      </c>
      <c r="DK77" t="s">
        <v>1822</v>
      </c>
    </row>
    <row r="78" spans="1:115">
      <c r="A78" t="s">
        <v>129</v>
      </c>
      <c r="B78" t="s">
        <v>667</v>
      </c>
      <c r="C78" t="b">
        <v>0</v>
      </c>
      <c r="D78" t="b">
        <v>1</v>
      </c>
      <c r="E78" t="b">
        <v>0</v>
      </c>
      <c r="H78" t="b">
        <v>0</v>
      </c>
      <c r="I78" t="b">
        <v>0</v>
      </c>
      <c r="J78" t="b">
        <v>0</v>
      </c>
      <c r="K78" t="s">
        <v>193</v>
      </c>
      <c r="Q78" t="b">
        <v>0</v>
      </c>
      <c r="S78" t="b">
        <v>0</v>
      </c>
      <c r="T78" t="b">
        <v>0</v>
      </c>
      <c r="U78">
        <v>1090</v>
      </c>
      <c r="W78" t="s">
        <v>668</v>
      </c>
      <c r="X78" t="s">
        <v>244</v>
      </c>
      <c r="Y78" t="s">
        <v>669</v>
      </c>
      <c r="Z78" t="s">
        <v>193</v>
      </c>
      <c r="AA78" t="s">
        <v>789</v>
      </c>
      <c r="AB78" t="b">
        <v>1</v>
      </c>
      <c r="AC78" t="s">
        <v>254</v>
      </c>
      <c r="AD78" t="s">
        <v>670</v>
      </c>
      <c r="AE78" t="s">
        <v>809</v>
      </c>
      <c r="AF78" t="s">
        <v>733</v>
      </c>
      <c r="AG78" t="s">
        <v>216</v>
      </c>
      <c r="AH78" t="s">
        <v>1823</v>
      </c>
      <c r="AI78" t="s">
        <v>486</v>
      </c>
      <c r="AJ78" t="s">
        <v>673</v>
      </c>
      <c r="AK78">
        <v>766757620170418</v>
      </c>
      <c r="AL78" t="s">
        <v>670</v>
      </c>
      <c r="AM78" t="s">
        <v>674</v>
      </c>
      <c r="AN78" t="s">
        <v>197</v>
      </c>
      <c r="AO78" t="s">
        <v>952</v>
      </c>
      <c r="AP78" t="s">
        <v>932</v>
      </c>
      <c r="AQ78" t="s">
        <v>933</v>
      </c>
      <c r="AR78" t="s">
        <v>934</v>
      </c>
      <c r="AS78" t="s">
        <v>297</v>
      </c>
      <c r="AT78">
        <v>2430</v>
      </c>
      <c r="AU78" t="s">
        <v>669</v>
      </c>
      <c r="AV78">
        <v>60000</v>
      </c>
      <c r="AW78">
        <v>36</v>
      </c>
      <c r="AY78">
        <v>100000</v>
      </c>
      <c r="AZ78">
        <v>60</v>
      </c>
      <c r="BA78" t="b">
        <v>0</v>
      </c>
      <c r="BB78" t="s">
        <v>1340</v>
      </c>
      <c r="BC78" t="b">
        <v>1</v>
      </c>
      <c r="BD78" t="b">
        <v>1</v>
      </c>
      <c r="BE78" t="s">
        <v>914</v>
      </c>
      <c r="BF78">
        <v>0</v>
      </c>
      <c r="BG78">
        <v>0</v>
      </c>
      <c r="BH78" t="s">
        <v>1307</v>
      </c>
      <c r="BI78" t="s">
        <v>682</v>
      </c>
      <c r="BJ78" t="b">
        <v>1</v>
      </c>
      <c r="BK78" t="b">
        <v>0</v>
      </c>
      <c r="BL78" t="s">
        <v>1824</v>
      </c>
      <c r="BM78" t="s">
        <v>130</v>
      </c>
      <c r="BN78" t="s">
        <v>684</v>
      </c>
      <c r="BP78" t="s">
        <v>1825</v>
      </c>
      <c r="BQ78" t="b">
        <v>0</v>
      </c>
      <c r="BS78" t="s">
        <v>1826</v>
      </c>
      <c r="BT78" t="s">
        <v>1827</v>
      </c>
      <c r="BU78" t="b">
        <v>0</v>
      </c>
      <c r="BV78" t="s">
        <v>1828</v>
      </c>
      <c r="BW78">
        <v>0</v>
      </c>
      <c r="BX78">
        <v>187</v>
      </c>
      <c r="BY78" t="b">
        <v>1</v>
      </c>
      <c r="BZ78" t="s">
        <v>193</v>
      </c>
      <c r="CA78" t="s">
        <v>193</v>
      </c>
      <c r="CB78" t="s">
        <v>1829</v>
      </c>
      <c r="CC78" t="s">
        <v>193</v>
      </c>
      <c r="CD78" t="s">
        <v>669</v>
      </c>
      <c r="CH78" t="s">
        <v>1830</v>
      </c>
      <c r="CI78" t="b">
        <v>0</v>
      </c>
      <c r="CJ78" t="s">
        <v>1831</v>
      </c>
      <c r="CK78" t="s">
        <v>193</v>
      </c>
      <c r="CL78" t="s">
        <v>1832</v>
      </c>
      <c r="CM78" t="s">
        <v>1833</v>
      </c>
      <c r="CN78" t="s">
        <v>130</v>
      </c>
      <c r="CO78" t="b">
        <v>1</v>
      </c>
      <c r="CT78" t="b">
        <v>0</v>
      </c>
      <c r="CU78" t="s">
        <v>1834</v>
      </c>
      <c r="CV78" t="s">
        <v>716</v>
      </c>
      <c r="CW78" t="s">
        <v>819</v>
      </c>
      <c r="CY78">
        <v>1685</v>
      </c>
      <c r="CZ78" t="s">
        <v>671</v>
      </c>
      <c r="DA78" t="s">
        <v>207</v>
      </c>
      <c r="DB78">
        <v>117042</v>
      </c>
      <c r="DC78">
        <v>5</v>
      </c>
      <c r="DD78" t="s">
        <v>699</v>
      </c>
      <c r="DE78" t="s">
        <v>669</v>
      </c>
      <c r="DF78">
        <v>41285870</v>
      </c>
      <c r="DG78" t="s">
        <v>1835</v>
      </c>
      <c r="DH78" t="s">
        <v>669</v>
      </c>
      <c r="DI78">
        <v>0</v>
      </c>
      <c r="DJ78">
        <v>-1</v>
      </c>
      <c r="DK78" t="s">
        <v>1836</v>
      </c>
    </row>
    <row r="79" spans="1:115">
      <c r="A79" t="s">
        <v>131</v>
      </c>
      <c r="B79" t="s">
        <v>667</v>
      </c>
      <c r="C79" t="b">
        <v>0</v>
      </c>
      <c r="D79" t="b">
        <v>1</v>
      </c>
      <c r="E79" t="b">
        <v>0</v>
      </c>
      <c r="H79" t="b">
        <v>0</v>
      </c>
      <c r="I79" t="b">
        <v>0</v>
      </c>
      <c r="J79" t="b">
        <v>1</v>
      </c>
      <c r="K79" t="s">
        <v>1583</v>
      </c>
      <c r="Q79" t="b">
        <v>0</v>
      </c>
      <c r="R79" t="s">
        <v>1837</v>
      </c>
      <c r="S79" t="b">
        <v>0</v>
      </c>
      <c r="T79" t="b">
        <v>1</v>
      </c>
      <c r="U79">
        <v>1090</v>
      </c>
      <c r="W79" t="s">
        <v>668</v>
      </c>
      <c r="X79" t="s">
        <v>788</v>
      </c>
      <c r="Y79" t="s">
        <v>669</v>
      </c>
      <c r="Z79" t="s">
        <v>193</v>
      </c>
      <c r="AA79" t="s">
        <v>789</v>
      </c>
      <c r="AB79" t="b">
        <v>1</v>
      </c>
      <c r="AC79" t="s">
        <v>254</v>
      </c>
      <c r="AD79" t="s">
        <v>671</v>
      </c>
      <c r="AE79" t="s">
        <v>670</v>
      </c>
      <c r="AH79" t="s">
        <v>1023</v>
      </c>
      <c r="AI79" t="s">
        <v>318</v>
      </c>
      <c r="AJ79" t="s">
        <v>673</v>
      </c>
      <c r="AK79">
        <v>766182320170302</v>
      </c>
      <c r="AL79" t="s">
        <v>670</v>
      </c>
      <c r="AM79" t="s">
        <v>674</v>
      </c>
      <c r="AN79" t="s">
        <v>197</v>
      </c>
      <c r="AO79" t="s">
        <v>1024</v>
      </c>
      <c r="AP79" t="s">
        <v>701</v>
      </c>
      <c r="AQ79" t="s">
        <v>721</v>
      </c>
      <c r="AR79" t="s">
        <v>722</v>
      </c>
      <c r="AS79" t="s">
        <v>319</v>
      </c>
      <c r="AT79">
        <v>3175</v>
      </c>
      <c r="AU79" t="s">
        <v>669</v>
      </c>
      <c r="AV79">
        <v>60000</v>
      </c>
      <c r="AW79">
        <v>36</v>
      </c>
      <c r="AY79">
        <v>100000</v>
      </c>
      <c r="AZ79">
        <v>60</v>
      </c>
      <c r="BA79" t="b">
        <v>0</v>
      </c>
      <c r="BB79" t="s">
        <v>835</v>
      </c>
      <c r="BC79" t="b">
        <v>1</v>
      </c>
      <c r="BD79" t="b">
        <v>1</v>
      </c>
      <c r="BE79" t="s">
        <v>914</v>
      </c>
      <c r="BF79">
        <v>0</v>
      </c>
      <c r="BG79">
        <v>0</v>
      </c>
      <c r="BH79" t="s">
        <v>1533</v>
      </c>
      <c r="BI79" t="s">
        <v>682</v>
      </c>
      <c r="BJ79" t="b">
        <v>1</v>
      </c>
      <c r="BK79" t="b">
        <v>0</v>
      </c>
      <c r="BL79" t="s">
        <v>1838</v>
      </c>
      <c r="BM79" t="s">
        <v>132</v>
      </c>
      <c r="BN79" t="s">
        <v>684</v>
      </c>
      <c r="BP79" t="s">
        <v>1839</v>
      </c>
      <c r="BQ79" t="b">
        <v>0</v>
      </c>
      <c r="BR79">
        <v>41282028</v>
      </c>
      <c r="BS79" t="s">
        <v>1840</v>
      </c>
      <c r="BT79" t="s">
        <v>1841</v>
      </c>
      <c r="BU79" t="b">
        <v>0</v>
      </c>
      <c r="BV79" t="s">
        <v>1842</v>
      </c>
      <c r="BW79">
        <v>6</v>
      </c>
      <c r="BX79">
        <v>251</v>
      </c>
      <c r="BY79" t="b">
        <v>1</v>
      </c>
      <c r="BZ79" t="s">
        <v>1843</v>
      </c>
      <c r="CA79" t="s">
        <v>193</v>
      </c>
      <c r="CB79" t="s">
        <v>1844</v>
      </c>
      <c r="CC79" t="s">
        <v>193</v>
      </c>
      <c r="CD79" t="s">
        <v>669</v>
      </c>
      <c r="CH79" t="s">
        <v>1845</v>
      </c>
      <c r="CI79" t="b">
        <v>0</v>
      </c>
      <c r="CJ79" t="s">
        <v>1542</v>
      </c>
      <c r="CK79" t="s">
        <v>193</v>
      </c>
      <c r="CL79" t="s">
        <v>1846</v>
      </c>
      <c r="CM79" t="s">
        <v>1847</v>
      </c>
      <c r="CN79" t="s">
        <v>132</v>
      </c>
      <c r="CO79" t="b">
        <v>1</v>
      </c>
      <c r="CT79" t="b">
        <v>0</v>
      </c>
      <c r="CU79" t="s">
        <v>1848</v>
      </c>
      <c r="CV79" t="s">
        <v>730</v>
      </c>
      <c r="CW79" t="s">
        <v>731</v>
      </c>
      <c r="CY79">
        <v>2359</v>
      </c>
      <c r="CZ79" t="s">
        <v>670</v>
      </c>
      <c r="DA79" t="s">
        <v>196</v>
      </c>
      <c r="DB79">
        <v>177496</v>
      </c>
      <c r="DC79">
        <v>5</v>
      </c>
      <c r="DD79" t="s">
        <v>699</v>
      </c>
      <c r="DE79" t="s">
        <v>669</v>
      </c>
      <c r="DF79">
        <v>41279771</v>
      </c>
      <c r="DG79" t="s">
        <v>1849</v>
      </c>
      <c r="DH79" t="s">
        <v>669</v>
      </c>
      <c r="DI79">
        <v>1</v>
      </c>
      <c r="DJ79">
        <v>-1</v>
      </c>
      <c r="DK79" t="s">
        <v>1850</v>
      </c>
    </row>
    <row r="80" spans="1:115">
      <c r="A80" t="s">
        <v>133</v>
      </c>
      <c r="B80" t="s">
        <v>667</v>
      </c>
      <c r="C80" t="b">
        <v>0</v>
      </c>
      <c r="D80" t="b">
        <v>0</v>
      </c>
      <c r="E80" t="b">
        <v>0</v>
      </c>
      <c r="H80" t="b">
        <v>0</v>
      </c>
      <c r="I80" t="b">
        <v>0</v>
      </c>
      <c r="J80" t="b">
        <v>0</v>
      </c>
      <c r="K80" t="s">
        <v>1583</v>
      </c>
      <c r="Q80" t="b">
        <v>0</v>
      </c>
      <c r="R80" t="s">
        <v>1057</v>
      </c>
      <c r="S80" t="b">
        <v>0</v>
      </c>
      <c r="T80" t="b">
        <v>0</v>
      </c>
      <c r="U80">
        <v>1150</v>
      </c>
      <c r="W80" t="s">
        <v>668</v>
      </c>
      <c r="X80" t="s">
        <v>193</v>
      </c>
      <c r="Y80" t="s">
        <v>669</v>
      </c>
      <c r="Z80" t="s">
        <v>193</v>
      </c>
      <c r="AB80" t="b">
        <v>1</v>
      </c>
      <c r="AC80" t="s">
        <v>286</v>
      </c>
      <c r="AD80" t="s">
        <v>1851</v>
      </c>
      <c r="AE80" t="s">
        <v>809</v>
      </c>
      <c r="AF80" t="s">
        <v>733</v>
      </c>
      <c r="AG80" t="s">
        <v>216</v>
      </c>
      <c r="AH80" t="s">
        <v>1852</v>
      </c>
      <c r="AI80" t="s">
        <v>491</v>
      </c>
      <c r="AJ80" t="s">
        <v>673</v>
      </c>
      <c r="AK80">
        <v>707238120160826</v>
      </c>
      <c r="AL80" t="s">
        <v>670</v>
      </c>
      <c r="AM80" t="s">
        <v>674</v>
      </c>
      <c r="AN80" t="s">
        <v>197</v>
      </c>
      <c r="AO80" t="s">
        <v>1853</v>
      </c>
      <c r="AP80" t="s">
        <v>776</v>
      </c>
      <c r="AQ80" t="s">
        <v>777</v>
      </c>
      <c r="AR80" t="s">
        <v>778</v>
      </c>
      <c r="AS80" t="s">
        <v>492</v>
      </c>
      <c r="AT80">
        <v>2155</v>
      </c>
      <c r="AU80" t="s">
        <v>669</v>
      </c>
      <c r="AV80">
        <v>40000</v>
      </c>
      <c r="AW80">
        <v>24</v>
      </c>
      <c r="AY80">
        <v>60000</v>
      </c>
      <c r="AZ80">
        <v>36</v>
      </c>
      <c r="BA80" t="b">
        <v>0</v>
      </c>
      <c r="BB80" t="s">
        <v>762</v>
      </c>
      <c r="BC80" t="b">
        <v>1</v>
      </c>
      <c r="BD80" t="b">
        <v>1</v>
      </c>
      <c r="BE80" t="s">
        <v>914</v>
      </c>
      <c r="BF80">
        <v>0</v>
      </c>
      <c r="BG80">
        <v>0</v>
      </c>
      <c r="BH80" t="s">
        <v>1854</v>
      </c>
      <c r="BI80" t="s">
        <v>682</v>
      </c>
      <c r="BJ80" t="b">
        <v>1</v>
      </c>
      <c r="BK80" t="b">
        <v>0</v>
      </c>
      <c r="BL80" t="s">
        <v>1855</v>
      </c>
      <c r="BM80" t="s">
        <v>134</v>
      </c>
      <c r="BN80" t="s">
        <v>684</v>
      </c>
      <c r="BP80" t="s">
        <v>1856</v>
      </c>
      <c r="BQ80" t="b">
        <v>0</v>
      </c>
      <c r="BS80" t="s">
        <v>1857</v>
      </c>
      <c r="BT80" t="s">
        <v>1857</v>
      </c>
      <c r="BU80" t="b">
        <v>1</v>
      </c>
      <c r="BV80" t="s">
        <v>1858</v>
      </c>
      <c r="BW80">
        <v>0</v>
      </c>
      <c r="BX80">
        <v>30</v>
      </c>
      <c r="BY80" t="b">
        <v>1</v>
      </c>
      <c r="BZ80" t="s">
        <v>193</v>
      </c>
      <c r="CA80" t="s">
        <v>193</v>
      </c>
      <c r="CB80" t="s">
        <v>1859</v>
      </c>
      <c r="CC80" t="s">
        <v>193</v>
      </c>
      <c r="CD80" t="s">
        <v>669</v>
      </c>
      <c r="CH80" t="s">
        <v>1860</v>
      </c>
      <c r="CI80" t="b">
        <v>0</v>
      </c>
      <c r="CJ80" t="s">
        <v>1861</v>
      </c>
      <c r="CK80" t="s">
        <v>193</v>
      </c>
      <c r="CL80" t="s">
        <v>1862</v>
      </c>
      <c r="CM80" t="s">
        <v>1863</v>
      </c>
      <c r="CN80" t="s">
        <v>134</v>
      </c>
      <c r="CO80" t="b">
        <v>1</v>
      </c>
      <c r="CT80" t="b">
        <v>0</v>
      </c>
      <c r="CU80" t="s">
        <v>1864</v>
      </c>
      <c r="CV80" t="s">
        <v>786</v>
      </c>
      <c r="CW80" t="s">
        <v>731</v>
      </c>
      <c r="CY80">
        <v>2497</v>
      </c>
      <c r="CZ80" t="s">
        <v>671</v>
      </c>
      <c r="DA80" t="s">
        <v>207</v>
      </c>
      <c r="DB80">
        <v>124915</v>
      </c>
      <c r="DC80">
        <v>5</v>
      </c>
      <c r="DD80" t="s">
        <v>699</v>
      </c>
      <c r="DE80" t="s">
        <v>669</v>
      </c>
      <c r="DF80">
        <v>40500959</v>
      </c>
      <c r="DG80" t="s">
        <v>1865</v>
      </c>
      <c r="DH80" t="s">
        <v>669</v>
      </c>
      <c r="DI80">
        <v>-1</v>
      </c>
      <c r="DJ80">
        <v>-1</v>
      </c>
      <c r="DK80" t="s">
        <v>1866</v>
      </c>
    </row>
    <row r="81" spans="1:115">
      <c r="A81" t="s">
        <v>135</v>
      </c>
      <c r="B81" t="s">
        <v>667</v>
      </c>
      <c r="C81" t="b">
        <v>0</v>
      </c>
      <c r="D81" t="b">
        <v>0</v>
      </c>
      <c r="E81" t="b">
        <v>0</v>
      </c>
      <c r="H81" t="b">
        <v>0</v>
      </c>
      <c r="I81" t="b">
        <v>0</v>
      </c>
      <c r="J81" t="b">
        <v>0</v>
      </c>
      <c r="K81" t="s">
        <v>1583</v>
      </c>
      <c r="Q81" t="b">
        <v>0</v>
      </c>
      <c r="R81" t="s">
        <v>1057</v>
      </c>
      <c r="S81" t="b">
        <v>0</v>
      </c>
      <c r="T81" t="b">
        <v>0</v>
      </c>
      <c r="U81">
        <v>350</v>
      </c>
      <c r="W81" t="s">
        <v>668</v>
      </c>
      <c r="X81" t="s">
        <v>193</v>
      </c>
      <c r="Y81" t="s">
        <v>669</v>
      </c>
      <c r="Z81" t="s">
        <v>193</v>
      </c>
      <c r="AB81" t="b">
        <v>1</v>
      </c>
      <c r="AC81" t="s">
        <v>212</v>
      </c>
      <c r="AD81" t="s">
        <v>1282</v>
      </c>
      <c r="AH81" t="s">
        <v>1867</v>
      </c>
      <c r="AI81" t="s">
        <v>495</v>
      </c>
      <c r="AJ81" t="s">
        <v>673</v>
      </c>
      <c r="AK81">
        <v>729119120130306</v>
      </c>
      <c r="AL81" t="s">
        <v>670</v>
      </c>
      <c r="AM81" t="s">
        <v>674</v>
      </c>
      <c r="AN81" t="s">
        <v>197</v>
      </c>
      <c r="AO81" t="s">
        <v>1868</v>
      </c>
      <c r="AP81" t="s">
        <v>1869</v>
      </c>
      <c r="AQ81" t="s">
        <v>1870</v>
      </c>
      <c r="AR81" t="s">
        <v>1871</v>
      </c>
      <c r="AS81" t="s">
        <v>496</v>
      </c>
      <c r="AT81">
        <v>1189</v>
      </c>
      <c r="AU81" t="s">
        <v>669</v>
      </c>
      <c r="AV81">
        <v>60000</v>
      </c>
      <c r="AW81">
        <v>36</v>
      </c>
      <c r="AY81">
        <v>100000</v>
      </c>
      <c r="AZ81">
        <v>60</v>
      </c>
      <c r="BA81" t="b">
        <v>0</v>
      </c>
      <c r="BB81" t="s">
        <v>1872</v>
      </c>
      <c r="BC81" t="b">
        <v>1</v>
      </c>
      <c r="BD81" t="b">
        <v>1</v>
      </c>
      <c r="BE81" t="s">
        <v>914</v>
      </c>
      <c r="BF81">
        <v>0</v>
      </c>
      <c r="BG81">
        <v>0</v>
      </c>
      <c r="BH81" t="s">
        <v>1873</v>
      </c>
      <c r="BI81" t="s">
        <v>682</v>
      </c>
      <c r="BJ81" t="b">
        <v>1</v>
      </c>
      <c r="BK81" t="b">
        <v>0</v>
      </c>
      <c r="BL81" t="s">
        <v>1874</v>
      </c>
      <c r="BM81" t="s">
        <v>136</v>
      </c>
      <c r="BN81" t="s">
        <v>684</v>
      </c>
      <c r="BP81" t="s">
        <v>1875</v>
      </c>
      <c r="BQ81" t="b">
        <v>0</v>
      </c>
      <c r="BS81" t="s">
        <v>1876</v>
      </c>
      <c r="BT81" t="s">
        <v>1877</v>
      </c>
      <c r="BU81" t="b">
        <v>1</v>
      </c>
      <c r="BV81" t="s">
        <v>1878</v>
      </c>
      <c r="BW81">
        <v>0</v>
      </c>
      <c r="BX81">
        <v>407</v>
      </c>
      <c r="BY81" t="b">
        <v>1</v>
      </c>
      <c r="BZ81" t="s">
        <v>1879</v>
      </c>
      <c r="CA81" t="s">
        <v>1880</v>
      </c>
      <c r="CB81" t="s">
        <v>1881</v>
      </c>
      <c r="CC81" t="s">
        <v>193</v>
      </c>
      <c r="CD81" t="s">
        <v>669</v>
      </c>
      <c r="CH81" t="s">
        <v>1882</v>
      </c>
      <c r="CI81" t="b">
        <v>0</v>
      </c>
      <c r="CJ81" t="s">
        <v>1883</v>
      </c>
      <c r="CK81" t="s">
        <v>193</v>
      </c>
      <c r="CL81" t="s">
        <v>1884</v>
      </c>
      <c r="CM81" t="s">
        <v>1885</v>
      </c>
      <c r="CN81" t="s">
        <v>136</v>
      </c>
      <c r="CO81" t="b">
        <v>1</v>
      </c>
      <c r="CT81" t="b">
        <v>0</v>
      </c>
      <c r="CU81" t="s">
        <v>1886</v>
      </c>
      <c r="CV81" t="s">
        <v>1887</v>
      </c>
      <c r="CW81" t="s">
        <v>1233</v>
      </c>
      <c r="CY81">
        <v>1399</v>
      </c>
      <c r="CZ81" t="s">
        <v>670</v>
      </c>
      <c r="DA81" t="s">
        <v>196</v>
      </c>
      <c r="DB81">
        <v>154850</v>
      </c>
      <c r="DC81">
        <v>5</v>
      </c>
      <c r="DD81" t="s">
        <v>699</v>
      </c>
      <c r="DE81" t="s">
        <v>669</v>
      </c>
      <c r="DF81">
        <v>40648835</v>
      </c>
      <c r="DG81" t="s">
        <v>1888</v>
      </c>
      <c r="DH81" t="s">
        <v>669</v>
      </c>
      <c r="DI81">
        <v>-1</v>
      </c>
      <c r="DJ81">
        <v>-1</v>
      </c>
      <c r="DK81" t="s">
        <v>1889</v>
      </c>
    </row>
    <row r="82" spans="1:115">
      <c r="A82" t="s">
        <v>137</v>
      </c>
      <c r="B82" t="s">
        <v>667</v>
      </c>
      <c r="C82" t="b">
        <v>1</v>
      </c>
      <c r="D82" t="b">
        <v>1</v>
      </c>
      <c r="E82" t="b">
        <v>0</v>
      </c>
      <c r="H82" t="b">
        <v>0</v>
      </c>
      <c r="I82" t="b">
        <v>0</v>
      </c>
      <c r="J82" t="b">
        <v>1</v>
      </c>
      <c r="K82" t="s">
        <v>193</v>
      </c>
      <c r="Q82" t="b">
        <v>0</v>
      </c>
      <c r="S82" t="b">
        <v>0</v>
      </c>
      <c r="T82" t="b">
        <v>1</v>
      </c>
      <c r="U82">
        <v>2990</v>
      </c>
      <c r="W82" t="s">
        <v>668</v>
      </c>
      <c r="X82" t="s">
        <v>788</v>
      </c>
      <c r="Y82" t="s">
        <v>669</v>
      </c>
      <c r="Z82" t="s">
        <v>193</v>
      </c>
      <c r="AA82" t="s">
        <v>789</v>
      </c>
      <c r="AB82" t="b">
        <v>1</v>
      </c>
      <c r="AC82" t="s">
        <v>302</v>
      </c>
      <c r="AD82" t="s">
        <v>744</v>
      </c>
      <c r="AH82" t="s">
        <v>1203</v>
      </c>
      <c r="AI82" t="s">
        <v>360</v>
      </c>
      <c r="AJ82" t="s">
        <v>673</v>
      </c>
      <c r="AK82">
        <v>815049320210511</v>
      </c>
      <c r="AL82" t="s">
        <v>670</v>
      </c>
      <c r="AM82" t="s">
        <v>674</v>
      </c>
      <c r="AN82" t="s">
        <v>197</v>
      </c>
      <c r="AO82" t="s">
        <v>1809</v>
      </c>
      <c r="AP82" t="s">
        <v>701</v>
      </c>
      <c r="AQ82" t="s">
        <v>721</v>
      </c>
      <c r="AR82" t="s">
        <v>722</v>
      </c>
      <c r="AS82" t="s">
        <v>483</v>
      </c>
      <c r="AT82">
        <v>4043</v>
      </c>
      <c r="AU82" t="s">
        <v>669</v>
      </c>
      <c r="AV82">
        <v>60000</v>
      </c>
      <c r="AW82">
        <v>36</v>
      </c>
      <c r="AY82">
        <v>100000</v>
      </c>
      <c r="AZ82">
        <v>60</v>
      </c>
      <c r="BA82" t="b">
        <v>0</v>
      </c>
      <c r="BB82" t="s">
        <v>1585</v>
      </c>
      <c r="BC82" t="b">
        <v>1</v>
      </c>
      <c r="BD82" t="b">
        <v>1</v>
      </c>
      <c r="BE82" t="s">
        <v>914</v>
      </c>
      <c r="BF82">
        <v>0</v>
      </c>
      <c r="BG82">
        <v>0</v>
      </c>
      <c r="BH82" t="s">
        <v>681</v>
      </c>
      <c r="BI82" t="s">
        <v>682</v>
      </c>
      <c r="BJ82" t="b">
        <v>1</v>
      </c>
      <c r="BK82" t="b">
        <v>0</v>
      </c>
      <c r="BL82" t="s">
        <v>1890</v>
      </c>
      <c r="BM82" t="s">
        <v>138</v>
      </c>
      <c r="BN82" t="s">
        <v>684</v>
      </c>
      <c r="BP82" t="s">
        <v>1891</v>
      </c>
      <c r="BQ82" t="b">
        <v>0</v>
      </c>
      <c r="BR82">
        <v>40698335</v>
      </c>
      <c r="BS82" t="s">
        <v>1892</v>
      </c>
      <c r="BT82" t="s">
        <v>1893</v>
      </c>
      <c r="BU82" t="b">
        <v>1</v>
      </c>
      <c r="BV82" t="s">
        <v>1894</v>
      </c>
      <c r="BW82">
        <v>1</v>
      </c>
      <c r="BX82">
        <v>931</v>
      </c>
      <c r="BY82" t="b">
        <v>1</v>
      </c>
      <c r="BZ82" t="s">
        <v>1895</v>
      </c>
      <c r="CA82" t="s">
        <v>193</v>
      </c>
      <c r="CB82" t="s">
        <v>1896</v>
      </c>
      <c r="CC82" t="s">
        <v>193</v>
      </c>
      <c r="CD82" t="s">
        <v>669</v>
      </c>
      <c r="CH82" t="s">
        <v>1897</v>
      </c>
      <c r="CI82" t="b">
        <v>0</v>
      </c>
      <c r="CJ82" t="s">
        <v>1423</v>
      </c>
      <c r="CK82" t="s">
        <v>193</v>
      </c>
      <c r="CL82" t="s">
        <v>1898</v>
      </c>
      <c r="CM82" t="s">
        <v>1899</v>
      </c>
      <c r="CN82" t="s">
        <v>138</v>
      </c>
      <c r="CO82" t="b">
        <v>1</v>
      </c>
      <c r="CT82" t="b">
        <v>0</v>
      </c>
      <c r="CU82" t="s">
        <v>1900</v>
      </c>
      <c r="CV82" t="s">
        <v>730</v>
      </c>
      <c r="CW82" t="s">
        <v>698</v>
      </c>
      <c r="CY82">
        <v>2359</v>
      </c>
      <c r="CZ82" t="s">
        <v>809</v>
      </c>
      <c r="DA82" t="s">
        <v>336</v>
      </c>
      <c r="DB82">
        <v>45009</v>
      </c>
      <c r="DC82">
        <v>5</v>
      </c>
      <c r="DD82" t="s">
        <v>699</v>
      </c>
      <c r="DE82" t="s">
        <v>669</v>
      </c>
      <c r="DF82">
        <v>40681023</v>
      </c>
      <c r="DG82" t="s">
        <v>1901</v>
      </c>
      <c r="DH82" t="s">
        <v>669</v>
      </c>
      <c r="DI82">
        <v>1</v>
      </c>
      <c r="DJ82">
        <v>-1</v>
      </c>
      <c r="DK82" t="s">
        <v>1902</v>
      </c>
    </row>
    <row r="83" spans="1:115">
      <c r="A83" t="s">
        <v>139</v>
      </c>
      <c r="B83" t="s">
        <v>667</v>
      </c>
      <c r="C83" t="b">
        <v>0</v>
      </c>
      <c r="D83" t="b">
        <v>0</v>
      </c>
      <c r="E83" t="b">
        <v>0</v>
      </c>
      <c r="H83" t="b">
        <v>0</v>
      </c>
      <c r="I83" t="b">
        <v>0</v>
      </c>
      <c r="J83" t="b">
        <v>0</v>
      </c>
      <c r="K83" t="s">
        <v>1583</v>
      </c>
      <c r="Q83" t="b">
        <v>0</v>
      </c>
      <c r="R83" t="s">
        <v>1057</v>
      </c>
      <c r="S83" t="b">
        <v>0</v>
      </c>
      <c r="T83" t="b">
        <v>0</v>
      </c>
      <c r="U83">
        <v>1190</v>
      </c>
      <c r="W83" t="s">
        <v>668</v>
      </c>
      <c r="X83" t="s">
        <v>193</v>
      </c>
      <c r="Y83" t="s">
        <v>669</v>
      </c>
      <c r="Z83" t="s">
        <v>193</v>
      </c>
      <c r="AB83" t="b">
        <v>1</v>
      </c>
      <c r="AC83" t="s">
        <v>286</v>
      </c>
      <c r="AD83" t="s">
        <v>701</v>
      </c>
      <c r="AE83" t="s">
        <v>670</v>
      </c>
      <c r="AF83" t="s">
        <v>900</v>
      </c>
      <c r="AG83" t="s">
        <v>281</v>
      </c>
      <c r="AH83" t="s">
        <v>1903</v>
      </c>
      <c r="AI83" t="s">
        <v>501</v>
      </c>
      <c r="AJ83" t="s">
        <v>673</v>
      </c>
      <c r="AK83">
        <v>7.391018201607041E+18</v>
      </c>
      <c r="AL83" t="s">
        <v>670</v>
      </c>
      <c r="AM83" t="s">
        <v>674</v>
      </c>
      <c r="AN83" t="s">
        <v>197</v>
      </c>
      <c r="AO83" t="s">
        <v>1904</v>
      </c>
      <c r="AP83" t="s">
        <v>1905</v>
      </c>
      <c r="AQ83" t="s">
        <v>1906</v>
      </c>
      <c r="AR83" t="s">
        <v>1907</v>
      </c>
      <c r="AS83" t="s">
        <v>502</v>
      </c>
      <c r="AT83">
        <v>3870</v>
      </c>
      <c r="AU83" t="s">
        <v>669</v>
      </c>
      <c r="AV83">
        <v>60000</v>
      </c>
      <c r="AW83">
        <v>36</v>
      </c>
      <c r="AY83">
        <v>100000</v>
      </c>
      <c r="AZ83">
        <v>60</v>
      </c>
      <c r="BA83" t="b">
        <v>0</v>
      </c>
      <c r="BB83" t="s">
        <v>762</v>
      </c>
      <c r="BC83" t="b">
        <v>1</v>
      </c>
      <c r="BD83" t="b">
        <v>1</v>
      </c>
      <c r="BE83" t="s">
        <v>914</v>
      </c>
      <c r="BF83">
        <v>0</v>
      </c>
      <c r="BG83">
        <v>0</v>
      </c>
      <c r="BH83" t="s">
        <v>1908</v>
      </c>
      <c r="BI83" t="s">
        <v>682</v>
      </c>
      <c r="BJ83" t="b">
        <v>1</v>
      </c>
      <c r="BK83" t="b">
        <v>0</v>
      </c>
      <c r="BL83" t="s">
        <v>1909</v>
      </c>
      <c r="BM83" t="s">
        <v>140</v>
      </c>
      <c r="BN83" t="s">
        <v>684</v>
      </c>
      <c r="BP83" t="s">
        <v>1910</v>
      </c>
      <c r="BQ83" t="b">
        <v>0</v>
      </c>
      <c r="BS83" t="s">
        <v>1911</v>
      </c>
      <c r="BT83" t="s">
        <v>1911</v>
      </c>
      <c r="BU83" t="b">
        <v>1</v>
      </c>
      <c r="BV83" t="s">
        <v>1912</v>
      </c>
      <c r="BW83">
        <v>2</v>
      </c>
      <c r="BX83">
        <v>221</v>
      </c>
      <c r="BY83" t="b">
        <v>1</v>
      </c>
      <c r="BZ83" t="s">
        <v>1913</v>
      </c>
      <c r="CA83" t="s">
        <v>193</v>
      </c>
      <c r="CB83" t="s">
        <v>1914</v>
      </c>
      <c r="CC83" t="s">
        <v>193</v>
      </c>
      <c r="CD83" t="s">
        <v>669</v>
      </c>
      <c r="CH83" t="s">
        <v>1915</v>
      </c>
      <c r="CI83" t="b">
        <v>0</v>
      </c>
      <c r="CJ83" t="s">
        <v>1916</v>
      </c>
      <c r="CK83" t="s">
        <v>193</v>
      </c>
      <c r="CL83" t="s">
        <v>1917</v>
      </c>
      <c r="CM83" t="s">
        <v>1918</v>
      </c>
      <c r="CN83" t="s">
        <v>140</v>
      </c>
      <c r="CO83" t="b">
        <v>1</v>
      </c>
      <c r="CT83" t="b">
        <v>0</v>
      </c>
      <c r="CU83" t="s">
        <v>1919</v>
      </c>
      <c r="CV83" t="s">
        <v>716</v>
      </c>
      <c r="CW83" t="s">
        <v>731</v>
      </c>
      <c r="CY83">
        <v>3342</v>
      </c>
      <c r="CZ83" t="s">
        <v>670</v>
      </c>
      <c r="DA83" t="s">
        <v>196</v>
      </c>
      <c r="DB83">
        <v>190569</v>
      </c>
      <c r="DC83">
        <v>7</v>
      </c>
      <c r="DD83" t="s">
        <v>699</v>
      </c>
      <c r="DE83" t="s">
        <v>669</v>
      </c>
      <c r="DF83">
        <v>40525443</v>
      </c>
      <c r="DG83" t="s">
        <v>1920</v>
      </c>
      <c r="DH83" t="s">
        <v>669</v>
      </c>
      <c r="DI83">
        <v>-1</v>
      </c>
      <c r="DJ83">
        <v>-1</v>
      </c>
      <c r="DK83" t="s">
        <v>1921</v>
      </c>
    </row>
    <row r="84" spans="1:115">
      <c r="A84" t="s">
        <v>141</v>
      </c>
      <c r="B84" t="s">
        <v>667</v>
      </c>
      <c r="C84" t="b">
        <v>0</v>
      </c>
      <c r="D84" t="b">
        <v>0</v>
      </c>
      <c r="E84" t="b">
        <v>0</v>
      </c>
      <c r="H84" t="b">
        <v>0</v>
      </c>
      <c r="I84" t="b">
        <v>0</v>
      </c>
      <c r="J84" t="b">
        <v>0</v>
      </c>
      <c r="K84" t="s">
        <v>1583</v>
      </c>
      <c r="Q84" t="b">
        <v>0</v>
      </c>
      <c r="R84" t="s">
        <v>1057</v>
      </c>
      <c r="S84" t="b">
        <v>0</v>
      </c>
      <c r="T84" t="b">
        <v>0</v>
      </c>
      <c r="U84">
        <v>1385</v>
      </c>
      <c r="W84" t="s">
        <v>668</v>
      </c>
      <c r="X84" t="s">
        <v>193</v>
      </c>
      <c r="Y84" t="s">
        <v>669</v>
      </c>
      <c r="Z84" t="s">
        <v>193</v>
      </c>
      <c r="AB84" t="b">
        <v>1</v>
      </c>
      <c r="AC84" t="s">
        <v>212</v>
      </c>
      <c r="AD84" t="s">
        <v>1922</v>
      </c>
      <c r="AH84" t="s">
        <v>1923</v>
      </c>
      <c r="AI84" t="s">
        <v>506</v>
      </c>
      <c r="AJ84" t="s">
        <v>673</v>
      </c>
      <c r="AK84">
        <v>725514020140101</v>
      </c>
      <c r="AL84" t="s">
        <v>670</v>
      </c>
      <c r="AM84" t="s">
        <v>674</v>
      </c>
      <c r="AN84" t="s">
        <v>197</v>
      </c>
      <c r="AO84" t="s">
        <v>1794</v>
      </c>
      <c r="AP84" t="s">
        <v>1776</v>
      </c>
      <c r="AQ84" t="s">
        <v>1777</v>
      </c>
      <c r="AR84" t="s">
        <v>475</v>
      </c>
      <c r="AS84" t="s">
        <v>480</v>
      </c>
      <c r="AT84">
        <v>7210</v>
      </c>
      <c r="AU84" t="s">
        <v>669</v>
      </c>
      <c r="AV84">
        <v>60000</v>
      </c>
      <c r="AW84">
        <v>36</v>
      </c>
      <c r="AY84">
        <v>100000</v>
      </c>
      <c r="AZ84">
        <v>60</v>
      </c>
      <c r="BA84" t="b">
        <v>0</v>
      </c>
      <c r="BB84" t="s">
        <v>1795</v>
      </c>
      <c r="BC84" t="b">
        <v>1</v>
      </c>
      <c r="BD84" t="b">
        <v>1</v>
      </c>
      <c r="BE84" t="s">
        <v>914</v>
      </c>
      <c r="BF84">
        <v>0</v>
      </c>
      <c r="BG84">
        <v>0</v>
      </c>
      <c r="BH84" t="s">
        <v>1924</v>
      </c>
      <c r="BI84" t="s">
        <v>682</v>
      </c>
      <c r="BJ84" t="b">
        <v>1</v>
      </c>
      <c r="BK84" t="b">
        <v>0</v>
      </c>
      <c r="BL84" t="s">
        <v>1925</v>
      </c>
      <c r="BM84" t="s">
        <v>142</v>
      </c>
      <c r="BN84" t="s">
        <v>684</v>
      </c>
      <c r="BP84" t="s">
        <v>1926</v>
      </c>
      <c r="BQ84" t="b">
        <v>0</v>
      </c>
      <c r="BS84" t="s">
        <v>1927</v>
      </c>
      <c r="BT84" t="s">
        <v>1928</v>
      </c>
      <c r="BU84" t="b">
        <v>1</v>
      </c>
      <c r="BV84" t="s">
        <v>1929</v>
      </c>
      <c r="BW84">
        <v>11</v>
      </c>
      <c r="BX84">
        <v>1681</v>
      </c>
      <c r="BY84" t="b">
        <v>1</v>
      </c>
      <c r="BZ84" t="s">
        <v>193</v>
      </c>
      <c r="CA84" t="s">
        <v>193</v>
      </c>
      <c r="CB84" t="s">
        <v>1930</v>
      </c>
      <c r="CC84" t="s">
        <v>193</v>
      </c>
      <c r="CD84" t="s">
        <v>669</v>
      </c>
      <c r="CH84" t="s">
        <v>1931</v>
      </c>
      <c r="CI84" t="b">
        <v>0</v>
      </c>
      <c r="CJ84" t="s">
        <v>1932</v>
      </c>
      <c r="CK84" t="s">
        <v>193</v>
      </c>
      <c r="CL84" t="s">
        <v>1933</v>
      </c>
      <c r="CM84" t="s">
        <v>1934</v>
      </c>
      <c r="CN84" t="s">
        <v>142</v>
      </c>
      <c r="CO84" t="b">
        <v>1</v>
      </c>
      <c r="CT84" t="b">
        <v>0</v>
      </c>
      <c r="CU84" t="s">
        <v>1935</v>
      </c>
      <c r="CV84" t="s">
        <v>730</v>
      </c>
      <c r="CW84" t="s">
        <v>819</v>
      </c>
      <c r="CY84">
        <v>3778</v>
      </c>
      <c r="CZ84" t="s">
        <v>670</v>
      </c>
      <c r="DA84" t="s">
        <v>196</v>
      </c>
      <c r="DB84">
        <v>144031</v>
      </c>
      <c r="DC84">
        <v>5</v>
      </c>
      <c r="DD84" t="s">
        <v>699</v>
      </c>
      <c r="DE84" t="s">
        <v>669</v>
      </c>
      <c r="DF84">
        <v>39159625</v>
      </c>
      <c r="DG84" t="s">
        <v>1936</v>
      </c>
      <c r="DH84" t="s">
        <v>669</v>
      </c>
      <c r="DI84">
        <v>-1</v>
      </c>
      <c r="DJ84">
        <v>-1</v>
      </c>
      <c r="DK84" t="s">
        <v>1937</v>
      </c>
    </row>
    <row r="85" spans="1:115">
      <c r="A85" t="s">
        <v>143</v>
      </c>
      <c r="B85" t="s">
        <v>667</v>
      </c>
      <c r="C85" t="b">
        <v>0</v>
      </c>
      <c r="D85" t="b">
        <v>0</v>
      </c>
      <c r="E85" t="b">
        <v>0</v>
      </c>
      <c r="H85" t="b">
        <v>0</v>
      </c>
      <c r="I85" t="b">
        <v>0</v>
      </c>
      <c r="J85" t="b">
        <v>0</v>
      </c>
      <c r="K85" t="s">
        <v>1583</v>
      </c>
      <c r="Q85" t="b">
        <v>0</v>
      </c>
      <c r="R85" t="s">
        <v>1057</v>
      </c>
      <c r="S85" t="b">
        <v>0</v>
      </c>
      <c r="T85" t="b">
        <v>0</v>
      </c>
      <c r="U85">
        <v>1149</v>
      </c>
      <c r="W85" t="s">
        <v>668</v>
      </c>
      <c r="X85" t="s">
        <v>193</v>
      </c>
      <c r="Y85" t="s">
        <v>669</v>
      </c>
      <c r="Z85" t="s">
        <v>193</v>
      </c>
      <c r="AB85" t="b">
        <v>1</v>
      </c>
      <c r="AC85" t="s">
        <v>326</v>
      </c>
      <c r="AD85" t="s">
        <v>1129</v>
      </c>
      <c r="AH85" t="s">
        <v>1938</v>
      </c>
      <c r="AI85" t="s">
        <v>510</v>
      </c>
      <c r="AJ85" t="s">
        <v>673</v>
      </c>
      <c r="AK85">
        <v>725514220150101</v>
      </c>
      <c r="AL85" t="s">
        <v>670</v>
      </c>
      <c r="AM85" t="s">
        <v>674</v>
      </c>
      <c r="AN85" t="s">
        <v>197</v>
      </c>
      <c r="AO85" t="s">
        <v>1794</v>
      </c>
      <c r="AP85" t="s">
        <v>1776</v>
      </c>
      <c r="AQ85" t="s">
        <v>1777</v>
      </c>
      <c r="AR85" t="s">
        <v>475</v>
      </c>
      <c r="AS85" t="s">
        <v>480</v>
      </c>
      <c r="AT85">
        <v>5444</v>
      </c>
      <c r="AU85" t="s">
        <v>669</v>
      </c>
      <c r="AV85">
        <v>60000</v>
      </c>
      <c r="AW85">
        <v>36</v>
      </c>
      <c r="AY85">
        <v>100000</v>
      </c>
      <c r="AZ85">
        <v>60</v>
      </c>
      <c r="BA85" t="b">
        <v>0</v>
      </c>
      <c r="BB85" t="s">
        <v>1939</v>
      </c>
      <c r="BC85" t="b">
        <v>1</v>
      </c>
      <c r="BD85" t="b">
        <v>1</v>
      </c>
      <c r="BE85" t="s">
        <v>914</v>
      </c>
      <c r="BF85">
        <v>0</v>
      </c>
      <c r="BG85">
        <v>0</v>
      </c>
      <c r="BH85" t="s">
        <v>1940</v>
      </c>
      <c r="BI85" t="s">
        <v>682</v>
      </c>
      <c r="BJ85" t="b">
        <v>1</v>
      </c>
      <c r="BK85" t="b">
        <v>0</v>
      </c>
      <c r="BL85" t="s">
        <v>1941</v>
      </c>
      <c r="BM85" t="s">
        <v>144</v>
      </c>
      <c r="BN85" t="s">
        <v>684</v>
      </c>
      <c r="BP85" t="s">
        <v>1942</v>
      </c>
      <c r="BQ85" t="b">
        <v>0</v>
      </c>
      <c r="BS85" t="s">
        <v>1943</v>
      </c>
      <c r="BT85" t="s">
        <v>1943</v>
      </c>
      <c r="BU85" t="b">
        <v>1</v>
      </c>
      <c r="BV85" t="s">
        <v>1944</v>
      </c>
      <c r="BW85">
        <v>2</v>
      </c>
      <c r="BX85">
        <v>255</v>
      </c>
      <c r="BY85" t="b">
        <v>1</v>
      </c>
      <c r="BZ85" t="s">
        <v>1945</v>
      </c>
      <c r="CA85" t="s">
        <v>193</v>
      </c>
      <c r="CB85" t="s">
        <v>1946</v>
      </c>
      <c r="CC85" t="s">
        <v>193</v>
      </c>
      <c r="CD85" t="s">
        <v>669</v>
      </c>
      <c r="CH85" t="s">
        <v>1947</v>
      </c>
      <c r="CI85" t="b">
        <v>0</v>
      </c>
      <c r="CJ85" t="s">
        <v>1948</v>
      </c>
      <c r="CK85" t="s">
        <v>193</v>
      </c>
      <c r="CL85" t="s">
        <v>1949</v>
      </c>
      <c r="CM85" t="s">
        <v>1950</v>
      </c>
      <c r="CN85" t="s">
        <v>144</v>
      </c>
      <c r="CO85" t="b">
        <v>1</v>
      </c>
      <c r="CT85" t="b">
        <v>0</v>
      </c>
      <c r="CU85" t="s">
        <v>1951</v>
      </c>
      <c r="CV85" t="s">
        <v>730</v>
      </c>
      <c r="CW85" t="s">
        <v>819</v>
      </c>
      <c r="CY85">
        <v>3342</v>
      </c>
      <c r="CZ85" t="s">
        <v>670</v>
      </c>
      <c r="DA85" t="s">
        <v>196</v>
      </c>
      <c r="DB85">
        <v>158535</v>
      </c>
      <c r="DC85">
        <v>5</v>
      </c>
      <c r="DD85" t="s">
        <v>699</v>
      </c>
      <c r="DE85" t="s">
        <v>669</v>
      </c>
      <c r="DF85">
        <v>39927353</v>
      </c>
      <c r="DG85" t="s">
        <v>1952</v>
      </c>
      <c r="DH85" t="s">
        <v>669</v>
      </c>
      <c r="DI85">
        <v>-1</v>
      </c>
      <c r="DJ85">
        <v>-1</v>
      </c>
      <c r="DK85" t="s">
        <v>1953</v>
      </c>
    </row>
    <row r="86" spans="1:115">
      <c r="A86" t="s">
        <v>145</v>
      </c>
      <c r="B86" t="s">
        <v>667</v>
      </c>
      <c r="C86" t="b">
        <v>0</v>
      </c>
      <c r="D86" t="b">
        <v>0</v>
      </c>
      <c r="E86" t="b">
        <v>0</v>
      </c>
      <c r="H86" t="b">
        <v>0</v>
      </c>
      <c r="I86" t="b">
        <v>0</v>
      </c>
      <c r="J86" t="b">
        <v>0</v>
      </c>
      <c r="K86" t="s">
        <v>1583</v>
      </c>
      <c r="Q86" t="b">
        <v>0</v>
      </c>
      <c r="R86" t="s">
        <v>1057</v>
      </c>
      <c r="S86" t="b">
        <v>0</v>
      </c>
      <c r="T86" t="b">
        <v>0</v>
      </c>
      <c r="U86">
        <v>1250</v>
      </c>
      <c r="W86" t="s">
        <v>668</v>
      </c>
      <c r="X86" t="s">
        <v>193</v>
      </c>
      <c r="Y86" t="s">
        <v>669</v>
      </c>
      <c r="Z86" t="s">
        <v>193</v>
      </c>
      <c r="AB86" t="b">
        <v>1</v>
      </c>
      <c r="AC86" t="s">
        <v>286</v>
      </c>
      <c r="AD86" t="s">
        <v>1954</v>
      </c>
      <c r="AE86" t="s">
        <v>809</v>
      </c>
      <c r="AF86" t="s">
        <v>733</v>
      </c>
      <c r="AG86" t="s">
        <v>216</v>
      </c>
      <c r="AH86" t="s">
        <v>1955</v>
      </c>
      <c r="AI86" t="s">
        <v>513</v>
      </c>
      <c r="AJ86" t="s">
        <v>673</v>
      </c>
      <c r="AK86">
        <v>707238620160101</v>
      </c>
      <c r="AL86" t="s">
        <v>670</v>
      </c>
      <c r="AM86" t="s">
        <v>674</v>
      </c>
      <c r="AN86" t="s">
        <v>197</v>
      </c>
      <c r="AO86" t="s">
        <v>1853</v>
      </c>
      <c r="AP86" t="s">
        <v>776</v>
      </c>
      <c r="AQ86" t="s">
        <v>777</v>
      </c>
      <c r="AR86" t="s">
        <v>778</v>
      </c>
      <c r="AS86" t="s">
        <v>492</v>
      </c>
      <c r="AT86">
        <v>2355</v>
      </c>
      <c r="AU86" t="s">
        <v>669</v>
      </c>
      <c r="AV86">
        <v>40000</v>
      </c>
      <c r="AW86">
        <v>24</v>
      </c>
      <c r="AY86">
        <v>60000</v>
      </c>
      <c r="AZ86">
        <v>36</v>
      </c>
      <c r="BA86" t="b">
        <v>0</v>
      </c>
      <c r="BB86" t="s">
        <v>1236</v>
      </c>
      <c r="BC86" t="b">
        <v>1</v>
      </c>
      <c r="BD86" t="b">
        <v>1</v>
      </c>
      <c r="BE86" t="s">
        <v>680</v>
      </c>
      <c r="BF86">
        <v>0</v>
      </c>
      <c r="BG86">
        <v>0</v>
      </c>
      <c r="BH86" t="s">
        <v>1956</v>
      </c>
      <c r="BI86" t="s">
        <v>682</v>
      </c>
      <c r="BJ86" t="b">
        <v>1</v>
      </c>
      <c r="BK86" t="b">
        <v>0</v>
      </c>
      <c r="BL86" t="s">
        <v>1957</v>
      </c>
      <c r="BM86" t="s">
        <v>146</v>
      </c>
      <c r="BN86" t="s">
        <v>684</v>
      </c>
      <c r="BP86" t="s">
        <v>1958</v>
      </c>
      <c r="BQ86" t="b">
        <v>0</v>
      </c>
      <c r="BS86" t="s">
        <v>1959</v>
      </c>
      <c r="BT86" t="s">
        <v>1959</v>
      </c>
      <c r="BU86" t="b">
        <v>1</v>
      </c>
      <c r="BV86" t="s">
        <v>1960</v>
      </c>
      <c r="BW86">
        <v>0</v>
      </c>
      <c r="BX86">
        <v>29</v>
      </c>
      <c r="BY86" t="b">
        <v>1</v>
      </c>
      <c r="BZ86" t="s">
        <v>193</v>
      </c>
      <c r="CA86" t="s">
        <v>1961</v>
      </c>
      <c r="CB86" t="s">
        <v>1962</v>
      </c>
      <c r="CC86" t="s">
        <v>193</v>
      </c>
      <c r="CD86" t="s">
        <v>669</v>
      </c>
      <c r="CH86" t="s">
        <v>1963</v>
      </c>
      <c r="CI86" t="b">
        <v>0</v>
      </c>
      <c r="CJ86" t="s">
        <v>1964</v>
      </c>
      <c r="CK86" t="s">
        <v>193</v>
      </c>
      <c r="CL86" t="s">
        <v>1965</v>
      </c>
      <c r="CM86" t="s">
        <v>1966</v>
      </c>
      <c r="CN86" t="s">
        <v>146</v>
      </c>
      <c r="CO86" t="b">
        <v>1</v>
      </c>
      <c r="CT86" t="b">
        <v>0</v>
      </c>
      <c r="CU86" t="s">
        <v>1967</v>
      </c>
      <c r="CV86" t="s">
        <v>786</v>
      </c>
      <c r="CW86" t="s">
        <v>819</v>
      </c>
      <c r="CY86">
        <v>2497</v>
      </c>
      <c r="CZ86" t="s">
        <v>671</v>
      </c>
      <c r="DA86" t="s">
        <v>207</v>
      </c>
      <c r="DB86">
        <v>165406</v>
      </c>
      <c r="DC86">
        <v>12</v>
      </c>
      <c r="DD86" t="s">
        <v>699</v>
      </c>
      <c r="DE86" t="s">
        <v>669</v>
      </c>
      <c r="DF86">
        <v>40006270</v>
      </c>
      <c r="DG86" t="s">
        <v>1968</v>
      </c>
      <c r="DH86" t="s">
        <v>669</v>
      </c>
      <c r="DI86">
        <v>-1</v>
      </c>
      <c r="DJ86">
        <v>-1</v>
      </c>
      <c r="DK86" t="s">
        <v>1969</v>
      </c>
    </row>
    <row r="87" spans="1:115">
      <c r="A87" t="s">
        <v>147</v>
      </c>
      <c r="B87" t="s">
        <v>667</v>
      </c>
      <c r="C87" t="b">
        <v>1</v>
      </c>
      <c r="D87" t="b">
        <v>1</v>
      </c>
      <c r="E87" t="b">
        <v>0</v>
      </c>
      <c r="H87" t="b">
        <v>0</v>
      </c>
      <c r="I87" t="b">
        <v>0</v>
      </c>
      <c r="J87" t="b">
        <v>1</v>
      </c>
      <c r="K87" t="s">
        <v>193</v>
      </c>
      <c r="Q87" t="b">
        <v>0</v>
      </c>
      <c r="S87" t="b">
        <v>0</v>
      </c>
      <c r="T87" t="b">
        <v>1</v>
      </c>
      <c r="U87">
        <v>920</v>
      </c>
      <c r="W87" t="s">
        <v>668</v>
      </c>
      <c r="X87" t="s">
        <v>788</v>
      </c>
      <c r="Y87" t="s">
        <v>669</v>
      </c>
      <c r="Z87" t="s">
        <v>193</v>
      </c>
      <c r="AA87" t="s">
        <v>789</v>
      </c>
      <c r="AB87" t="b">
        <v>1</v>
      </c>
      <c r="AC87" t="s">
        <v>254</v>
      </c>
      <c r="AD87" t="s">
        <v>670</v>
      </c>
      <c r="AH87" t="s">
        <v>1970</v>
      </c>
      <c r="AI87" t="s">
        <v>516</v>
      </c>
      <c r="AJ87" t="s">
        <v>673</v>
      </c>
      <c r="AK87">
        <v>729113520180101</v>
      </c>
      <c r="AL87" t="s">
        <v>670</v>
      </c>
      <c r="AM87" t="s">
        <v>674</v>
      </c>
      <c r="AN87" t="s">
        <v>197</v>
      </c>
      <c r="AO87" t="s">
        <v>866</v>
      </c>
      <c r="AP87" t="s">
        <v>676</v>
      </c>
      <c r="AQ87" t="s">
        <v>677</v>
      </c>
      <c r="AR87" t="s">
        <v>678</v>
      </c>
      <c r="AS87" t="s">
        <v>268</v>
      </c>
      <c r="AT87">
        <v>1420</v>
      </c>
      <c r="AU87" t="s">
        <v>669</v>
      </c>
      <c r="AV87">
        <v>60000</v>
      </c>
      <c r="AW87">
        <v>36</v>
      </c>
      <c r="AY87">
        <v>100000</v>
      </c>
      <c r="AZ87">
        <v>60</v>
      </c>
      <c r="BA87" t="b">
        <v>0</v>
      </c>
      <c r="BB87" t="s">
        <v>1742</v>
      </c>
      <c r="BC87" t="b">
        <v>1</v>
      </c>
      <c r="BD87" t="b">
        <v>1</v>
      </c>
      <c r="BE87" t="s">
        <v>914</v>
      </c>
      <c r="BF87">
        <v>0</v>
      </c>
      <c r="BG87">
        <v>0</v>
      </c>
      <c r="BH87" t="s">
        <v>1908</v>
      </c>
      <c r="BI87" t="s">
        <v>682</v>
      </c>
      <c r="BJ87" t="b">
        <v>1</v>
      </c>
      <c r="BK87" t="b">
        <v>0</v>
      </c>
      <c r="BL87" t="s">
        <v>1971</v>
      </c>
      <c r="BM87" t="s">
        <v>148</v>
      </c>
      <c r="BN87" t="s">
        <v>684</v>
      </c>
      <c r="BP87" t="s">
        <v>1972</v>
      </c>
      <c r="BQ87" t="b">
        <v>0</v>
      </c>
      <c r="BR87">
        <v>40736170</v>
      </c>
      <c r="BS87" t="s">
        <v>1973</v>
      </c>
      <c r="BT87" t="s">
        <v>1973</v>
      </c>
      <c r="BU87" t="b">
        <v>1</v>
      </c>
      <c r="BV87" t="s">
        <v>1974</v>
      </c>
      <c r="BW87">
        <v>1</v>
      </c>
      <c r="BX87">
        <v>620</v>
      </c>
      <c r="BY87" t="b">
        <v>1</v>
      </c>
      <c r="BZ87" t="s">
        <v>1975</v>
      </c>
      <c r="CA87" t="s">
        <v>193</v>
      </c>
      <c r="CB87" t="s">
        <v>1976</v>
      </c>
      <c r="CC87" t="s">
        <v>193</v>
      </c>
      <c r="CD87" t="s">
        <v>669</v>
      </c>
      <c r="CH87" t="s">
        <v>1977</v>
      </c>
      <c r="CI87" t="b">
        <v>0</v>
      </c>
      <c r="CJ87" t="s">
        <v>1916</v>
      </c>
      <c r="CK87" t="s">
        <v>193</v>
      </c>
      <c r="CL87" t="s">
        <v>1978</v>
      </c>
      <c r="CM87" t="s">
        <v>1979</v>
      </c>
      <c r="CN87" t="s">
        <v>148</v>
      </c>
      <c r="CO87" t="b">
        <v>1</v>
      </c>
      <c r="CT87" t="b">
        <v>0</v>
      </c>
      <c r="CU87" t="s">
        <v>1980</v>
      </c>
      <c r="CV87" t="s">
        <v>697</v>
      </c>
      <c r="CW87" t="s">
        <v>731</v>
      </c>
      <c r="CY87">
        <v>1591</v>
      </c>
      <c r="CZ87" t="s">
        <v>670</v>
      </c>
      <c r="DA87" t="s">
        <v>196</v>
      </c>
      <c r="DB87">
        <v>90376</v>
      </c>
      <c r="DC87">
        <v>5</v>
      </c>
      <c r="DD87" t="s">
        <v>699</v>
      </c>
      <c r="DE87" t="s">
        <v>669</v>
      </c>
      <c r="DF87">
        <v>40730683</v>
      </c>
      <c r="DG87" t="s">
        <v>1981</v>
      </c>
      <c r="DH87" t="s">
        <v>669</v>
      </c>
      <c r="DI87">
        <v>1</v>
      </c>
      <c r="DJ87">
        <v>-1</v>
      </c>
      <c r="DK87" t="s">
        <v>1982</v>
      </c>
    </row>
    <row r="88" spans="1:115">
      <c r="A88" t="s">
        <v>149</v>
      </c>
      <c r="B88" t="s">
        <v>667</v>
      </c>
      <c r="C88" t="b">
        <v>1</v>
      </c>
      <c r="D88" t="b">
        <v>1</v>
      </c>
      <c r="E88" t="b">
        <v>0</v>
      </c>
      <c r="H88" t="b">
        <v>0</v>
      </c>
      <c r="I88" t="b">
        <v>0</v>
      </c>
      <c r="J88" t="b">
        <v>1</v>
      </c>
      <c r="K88" t="s">
        <v>193</v>
      </c>
      <c r="Q88" t="b">
        <v>0</v>
      </c>
      <c r="S88" t="b">
        <v>0</v>
      </c>
      <c r="T88" t="b">
        <v>0</v>
      </c>
      <c r="U88">
        <v>2650</v>
      </c>
      <c r="W88" t="s">
        <v>668</v>
      </c>
      <c r="X88" t="s">
        <v>788</v>
      </c>
      <c r="Y88" t="s">
        <v>669</v>
      </c>
      <c r="Z88" t="s">
        <v>193</v>
      </c>
      <c r="AA88" t="s">
        <v>789</v>
      </c>
      <c r="AB88" t="b">
        <v>1</v>
      </c>
      <c r="AC88" t="s">
        <v>249</v>
      </c>
      <c r="AD88" t="s">
        <v>670</v>
      </c>
      <c r="AE88" t="s">
        <v>744</v>
      </c>
      <c r="AF88" t="s">
        <v>1203</v>
      </c>
      <c r="AG88" t="s">
        <v>360</v>
      </c>
      <c r="AH88" t="s">
        <v>300</v>
      </c>
      <c r="AI88" t="s">
        <v>300</v>
      </c>
      <c r="AJ88" t="s">
        <v>673</v>
      </c>
      <c r="AK88">
        <v>766182320220511</v>
      </c>
      <c r="AL88" t="s">
        <v>670</v>
      </c>
      <c r="AM88" t="s">
        <v>674</v>
      </c>
      <c r="AN88" t="s">
        <v>197</v>
      </c>
      <c r="AO88" t="s">
        <v>967</v>
      </c>
      <c r="AP88" t="s">
        <v>701</v>
      </c>
      <c r="AQ88" t="s">
        <v>721</v>
      </c>
      <c r="AR88" t="s">
        <v>722</v>
      </c>
      <c r="AS88" t="s">
        <v>303</v>
      </c>
      <c r="AT88">
        <v>3622</v>
      </c>
      <c r="AU88" t="s">
        <v>669</v>
      </c>
      <c r="AV88">
        <v>60000</v>
      </c>
      <c r="AW88">
        <v>36</v>
      </c>
      <c r="AY88">
        <v>100000</v>
      </c>
      <c r="AZ88">
        <v>60</v>
      </c>
      <c r="BA88" t="b">
        <v>0</v>
      </c>
      <c r="BB88" t="s">
        <v>1415</v>
      </c>
      <c r="BC88" t="b">
        <v>1</v>
      </c>
      <c r="BD88" t="b">
        <v>1</v>
      </c>
      <c r="BE88" t="s">
        <v>914</v>
      </c>
      <c r="BF88">
        <v>0</v>
      </c>
      <c r="BG88">
        <v>0</v>
      </c>
      <c r="BH88" t="s">
        <v>1026</v>
      </c>
      <c r="BI88" t="s">
        <v>682</v>
      </c>
      <c r="BJ88" t="b">
        <v>1</v>
      </c>
      <c r="BK88" t="b">
        <v>0</v>
      </c>
      <c r="BL88" t="s">
        <v>1983</v>
      </c>
      <c r="BM88" t="s">
        <v>32</v>
      </c>
      <c r="BN88" t="s">
        <v>684</v>
      </c>
      <c r="BP88" t="s">
        <v>1984</v>
      </c>
      <c r="BQ88" t="b">
        <v>0</v>
      </c>
      <c r="BR88">
        <v>40938113</v>
      </c>
      <c r="BS88" t="s">
        <v>1985</v>
      </c>
      <c r="BT88" t="s">
        <v>1985</v>
      </c>
      <c r="BU88" t="b">
        <v>1</v>
      </c>
      <c r="BV88" t="s">
        <v>1986</v>
      </c>
      <c r="BW88">
        <v>3</v>
      </c>
      <c r="BX88">
        <v>201</v>
      </c>
      <c r="BY88" t="b">
        <v>1</v>
      </c>
      <c r="BZ88" t="s">
        <v>1159</v>
      </c>
      <c r="CA88" t="s">
        <v>193</v>
      </c>
      <c r="CB88" t="s">
        <v>1421</v>
      </c>
      <c r="CC88" t="s">
        <v>193</v>
      </c>
      <c r="CD88" t="s">
        <v>669</v>
      </c>
      <c r="CH88" t="s">
        <v>1034</v>
      </c>
      <c r="CI88" t="b">
        <v>1</v>
      </c>
      <c r="CJ88" t="s">
        <v>1035</v>
      </c>
      <c r="CK88" t="s">
        <v>193</v>
      </c>
      <c r="CL88" t="s">
        <v>1036</v>
      </c>
      <c r="CM88" t="s">
        <v>1037</v>
      </c>
      <c r="CN88" t="s">
        <v>32</v>
      </c>
      <c r="CO88" t="b">
        <v>1</v>
      </c>
      <c r="CT88" t="b">
        <v>0</v>
      </c>
      <c r="CU88" t="s">
        <v>1987</v>
      </c>
      <c r="CV88" t="s">
        <v>730</v>
      </c>
      <c r="CW88" t="s">
        <v>731</v>
      </c>
      <c r="CY88">
        <v>2497</v>
      </c>
      <c r="CZ88" t="s">
        <v>670</v>
      </c>
      <c r="DA88" t="s">
        <v>196</v>
      </c>
      <c r="DB88">
        <v>83448</v>
      </c>
      <c r="DC88">
        <v>5</v>
      </c>
      <c r="DD88" t="s">
        <v>699</v>
      </c>
      <c r="DE88" t="s">
        <v>669</v>
      </c>
      <c r="DF88">
        <v>40918149</v>
      </c>
      <c r="DG88" t="s">
        <v>1988</v>
      </c>
      <c r="DH88" t="s">
        <v>669</v>
      </c>
      <c r="DI88">
        <v>0</v>
      </c>
      <c r="DJ88">
        <v>-1</v>
      </c>
      <c r="DK88" t="s">
        <v>1989</v>
      </c>
    </row>
    <row r="89" spans="1:115">
      <c r="A89" t="s">
        <v>150</v>
      </c>
      <c r="B89" t="s">
        <v>1708</v>
      </c>
      <c r="C89" t="b">
        <v>0</v>
      </c>
      <c r="D89" t="b">
        <v>0</v>
      </c>
      <c r="E89" t="b">
        <v>0</v>
      </c>
      <c r="H89" t="b">
        <v>0</v>
      </c>
      <c r="I89" t="b">
        <v>0</v>
      </c>
      <c r="J89" t="b">
        <v>0</v>
      </c>
      <c r="K89" t="s">
        <v>1583</v>
      </c>
      <c r="N89">
        <v>30</v>
      </c>
      <c r="O89">
        <v>80</v>
      </c>
      <c r="P89">
        <v>1</v>
      </c>
      <c r="Q89" t="b">
        <v>0</v>
      </c>
      <c r="R89" t="s">
        <v>1057</v>
      </c>
      <c r="S89" t="b">
        <v>0</v>
      </c>
      <c r="T89" t="b">
        <v>0</v>
      </c>
      <c r="U89">
        <v>9999</v>
      </c>
      <c r="W89" t="s">
        <v>668</v>
      </c>
      <c r="X89" t="s">
        <v>193</v>
      </c>
      <c r="Y89" t="s">
        <v>669</v>
      </c>
      <c r="Z89" t="s">
        <v>193</v>
      </c>
      <c r="AB89" t="b">
        <v>1</v>
      </c>
      <c r="AC89" t="s">
        <v>372</v>
      </c>
      <c r="AD89" t="s">
        <v>670</v>
      </c>
      <c r="AH89" t="s">
        <v>845</v>
      </c>
      <c r="AI89" t="s">
        <v>259</v>
      </c>
      <c r="AJ89" t="s">
        <v>673</v>
      </c>
      <c r="AK89">
        <v>701359220230701</v>
      </c>
      <c r="AL89" t="s">
        <v>670</v>
      </c>
      <c r="AM89" t="s">
        <v>674</v>
      </c>
      <c r="AN89" t="s">
        <v>197</v>
      </c>
      <c r="AO89" t="s">
        <v>1990</v>
      </c>
      <c r="AP89" t="s">
        <v>759</v>
      </c>
      <c r="AQ89" t="s">
        <v>760</v>
      </c>
      <c r="AR89" t="s">
        <v>761</v>
      </c>
      <c r="AS89" t="s">
        <v>521</v>
      </c>
      <c r="AT89">
        <v>3187</v>
      </c>
      <c r="AU89" t="s">
        <v>669</v>
      </c>
      <c r="AV89">
        <v>60000</v>
      </c>
      <c r="AW89">
        <v>36</v>
      </c>
      <c r="AY89">
        <v>100000</v>
      </c>
      <c r="AZ89">
        <v>60</v>
      </c>
      <c r="BA89" t="b">
        <v>0</v>
      </c>
      <c r="BB89" t="s">
        <v>1991</v>
      </c>
      <c r="BC89" t="b">
        <v>0</v>
      </c>
      <c r="BD89" t="b">
        <v>1</v>
      </c>
      <c r="BE89" t="s">
        <v>193</v>
      </c>
      <c r="BH89" t="s">
        <v>1992</v>
      </c>
      <c r="BI89" t="s">
        <v>682</v>
      </c>
      <c r="BJ89" t="b">
        <v>0</v>
      </c>
      <c r="BK89" t="b">
        <v>0</v>
      </c>
      <c r="BL89" t="s">
        <v>1993</v>
      </c>
      <c r="BM89" t="s">
        <v>151</v>
      </c>
      <c r="BN89" t="s">
        <v>1712</v>
      </c>
      <c r="BP89" t="s">
        <v>1994</v>
      </c>
      <c r="BQ89" t="b">
        <v>0</v>
      </c>
      <c r="BS89" t="s">
        <v>1995</v>
      </c>
      <c r="BT89" t="s">
        <v>1996</v>
      </c>
      <c r="BU89" t="b">
        <v>0</v>
      </c>
      <c r="BV89" t="s">
        <v>1997</v>
      </c>
      <c r="BW89">
        <v>6</v>
      </c>
      <c r="BX89">
        <v>289</v>
      </c>
      <c r="BY89" t="b">
        <v>0</v>
      </c>
      <c r="BZ89" t="s">
        <v>1998</v>
      </c>
      <c r="CA89" t="s">
        <v>193</v>
      </c>
      <c r="CB89" t="s">
        <v>1999</v>
      </c>
      <c r="CC89" t="s">
        <v>193</v>
      </c>
      <c r="CD89" t="s">
        <v>669</v>
      </c>
      <c r="CO89" t="b">
        <v>0</v>
      </c>
      <c r="CR89">
        <v>70</v>
      </c>
      <c r="CS89">
        <v>53</v>
      </c>
      <c r="CT89" t="b">
        <v>0</v>
      </c>
      <c r="CU89" t="s">
        <v>2000</v>
      </c>
      <c r="CV89" t="s">
        <v>769</v>
      </c>
      <c r="CW89" t="s">
        <v>731</v>
      </c>
      <c r="CY89">
        <v>1999</v>
      </c>
      <c r="CZ89" t="s">
        <v>809</v>
      </c>
      <c r="DA89" t="s">
        <v>336</v>
      </c>
      <c r="DB89">
        <v>16300</v>
      </c>
      <c r="DC89">
        <v>5</v>
      </c>
      <c r="DD89" t="s">
        <v>699</v>
      </c>
      <c r="DE89" t="s">
        <v>669</v>
      </c>
      <c r="DF89">
        <v>40854743</v>
      </c>
      <c r="DG89" t="s">
        <v>2001</v>
      </c>
      <c r="DH89" t="s">
        <v>669</v>
      </c>
      <c r="DI89">
        <v>-1</v>
      </c>
      <c r="DJ89">
        <v>-1</v>
      </c>
    </row>
    <row r="90" spans="1:115">
      <c r="A90" t="s">
        <v>152</v>
      </c>
      <c r="B90" t="s">
        <v>1708</v>
      </c>
      <c r="C90" t="b">
        <v>0</v>
      </c>
      <c r="D90" t="b">
        <v>0</v>
      </c>
      <c r="E90" t="b">
        <v>0</v>
      </c>
      <c r="H90" t="b">
        <v>0</v>
      </c>
      <c r="I90" t="b">
        <v>0</v>
      </c>
      <c r="J90" t="b">
        <v>0</v>
      </c>
      <c r="K90" t="s">
        <v>1583</v>
      </c>
      <c r="N90">
        <v>30</v>
      </c>
      <c r="O90">
        <v>60</v>
      </c>
      <c r="P90">
        <v>3</v>
      </c>
      <c r="Q90" t="b">
        <v>0</v>
      </c>
      <c r="R90" t="s">
        <v>1057</v>
      </c>
      <c r="S90" t="b">
        <v>0</v>
      </c>
      <c r="T90" t="b">
        <v>0</v>
      </c>
      <c r="U90">
        <v>9999</v>
      </c>
      <c r="W90" t="s">
        <v>668</v>
      </c>
      <c r="X90" t="s">
        <v>193</v>
      </c>
      <c r="Y90" t="s">
        <v>669</v>
      </c>
      <c r="Z90" t="s">
        <v>193</v>
      </c>
      <c r="AB90" t="b">
        <v>1</v>
      </c>
      <c r="AC90" t="s">
        <v>254</v>
      </c>
      <c r="AD90" t="s">
        <v>1129</v>
      </c>
      <c r="AH90" t="s">
        <v>1709</v>
      </c>
      <c r="AI90" t="s">
        <v>459</v>
      </c>
      <c r="AJ90" t="s">
        <v>673</v>
      </c>
      <c r="AK90">
        <v>781128720170302</v>
      </c>
      <c r="AL90" t="s">
        <v>670</v>
      </c>
      <c r="AM90" t="s">
        <v>674</v>
      </c>
      <c r="AN90" t="s">
        <v>197</v>
      </c>
      <c r="AO90" t="s">
        <v>1024</v>
      </c>
      <c r="AP90" t="s">
        <v>701</v>
      </c>
      <c r="AQ90" t="s">
        <v>721</v>
      </c>
      <c r="AR90" t="s">
        <v>722</v>
      </c>
      <c r="AS90" t="s">
        <v>319</v>
      </c>
      <c r="AU90" t="s">
        <v>669</v>
      </c>
      <c r="AV90">
        <v>60000</v>
      </c>
      <c r="AW90">
        <v>36</v>
      </c>
      <c r="AY90">
        <v>100000</v>
      </c>
      <c r="AZ90">
        <v>60</v>
      </c>
      <c r="BA90" t="b">
        <v>0</v>
      </c>
      <c r="BB90" t="s">
        <v>1012</v>
      </c>
      <c r="BC90" t="b">
        <v>0</v>
      </c>
      <c r="BD90" t="b">
        <v>1</v>
      </c>
      <c r="BE90" t="s">
        <v>193</v>
      </c>
      <c r="BH90" t="s">
        <v>1992</v>
      </c>
      <c r="BI90" t="s">
        <v>682</v>
      </c>
      <c r="BJ90" t="b">
        <v>0</v>
      </c>
      <c r="BK90" t="b">
        <v>0</v>
      </c>
      <c r="BL90" t="s">
        <v>2002</v>
      </c>
      <c r="BM90" t="s">
        <v>151</v>
      </c>
      <c r="BN90" t="s">
        <v>1712</v>
      </c>
      <c r="BP90" t="s">
        <v>1994</v>
      </c>
      <c r="BQ90" t="b">
        <v>0</v>
      </c>
      <c r="BS90" t="s">
        <v>1995</v>
      </c>
      <c r="BT90" t="s">
        <v>1996</v>
      </c>
      <c r="BU90" t="b">
        <v>0</v>
      </c>
      <c r="BV90" t="s">
        <v>2003</v>
      </c>
      <c r="BW90">
        <v>0</v>
      </c>
      <c r="BX90">
        <v>259</v>
      </c>
      <c r="BY90" t="b">
        <v>0</v>
      </c>
      <c r="BZ90" t="s">
        <v>193</v>
      </c>
      <c r="CA90" t="s">
        <v>193</v>
      </c>
      <c r="CB90" t="s">
        <v>2004</v>
      </c>
      <c r="CC90" t="s">
        <v>193</v>
      </c>
      <c r="CD90" t="s">
        <v>669</v>
      </c>
      <c r="CO90" t="b">
        <v>0</v>
      </c>
      <c r="CR90">
        <v>70</v>
      </c>
      <c r="CS90">
        <v>53</v>
      </c>
      <c r="CT90" t="b">
        <v>0</v>
      </c>
      <c r="CU90" t="s">
        <v>2005</v>
      </c>
      <c r="CV90" t="s">
        <v>730</v>
      </c>
      <c r="CW90" t="s">
        <v>819</v>
      </c>
      <c r="CY90">
        <v>2999</v>
      </c>
      <c r="CZ90" t="s">
        <v>822</v>
      </c>
      <c r="DA90" t="s">
        <v>250</v>
      </c>
      <c r="DB90">
        <v>135300</v>
      </c>
      <c r="DD90" t="s">
        <v>699</v>
      </c>
      <c r="DE90" t="s">
        <v>669</v>
      </c>
      <c r="DF90">
        <v>40851329</v>
      </c>
      <c r="DG90" t="s">
        <v>2006</v>
      </c>
      <c r="DH90" t="s">
        <v>669</v>
      </c>
      <c r="DI90">
        <v>-1</v>
      </c>
      <c r="DJ90">
        <v>-1</v>
      </c>
    </row>
    <row r="91" spans="1:115">
      <c r="A91" t="s">
        <v>153</v>
      </c>
      <c r="B91" t="s">
        <v>667</v>
      </c>
      <c r="C91" t="b">
        <v>0</v>
      </c>
      <c r="D91" t="b">
        <v>1</v>
      </c>
      <c r="E91" t="b">
        <v>0</v>
      </c>
      <c r="H91" t="b">
        <v>0</v>
      </c>
      <c r="I91" t="b">
        <v>0</v>
      </c>
      <c r="J91" t="b">
        <v>0</v>
      </c>
      <c r="K91" t="s">
        <v>193</v>
      </c>
      <c r="Q91" t="b">
        <v>0</v>
      </c>
      <c r="S91" t="b">
        <v>0</v>
      </c>
      <c r="T91" t="b">
        <v>0</v>
      </c>
      <c r="U91">
        <v>1700</v>
      </c>
      <c r="W91" t="s">
        <v>668</v>
      </c>
      <c r="X91" t="s">
        <v>244</v>
      </c>
      <c r="Y91" t="s">
        <v>669</v>
      </c>
      <c r="Z91" t="s">
        <v>193</v>
      </c>
      <c r="AA91" t="s">
        <v>789</v>
      </c>
      <c r="AB91" t="b">
        <v>1</v>
      </c>
      <c r="AC91" t="s">
        <v>206</v>
      </c>
      <c r="AD91" t="s">
        <v>1129</v>
      </c>
      <c r="AH91" t="s">
        <v>1938</v>
      </c>
      <c r="AI91" t="s">
        <v>510</v>
      </c>
      <c r="AJ91" t="s">
        <v>673</v>
      </c>
      <c r="AK91">
        <v>725514220150827</v>
      </c>
      <c r="AL91" t="s">
        <v>670</v>
      </c>
      <c r="AM91" t="s">
        <v>674</v>
      </c>
      <c r="AN91" t="s">
        <v>197</v>
      </c>
      <c r="AO91" t="s">
        <v>1794</v>
      </c>
      <c r="AP91" t="s">
        <v>1776</v>
      </c>
      <c r="AQ91" t="s">
        <v>1777</v>
      </c>
      <c r="AR91" t="s">
        <v>475</v>
      </c>
      <c r="AS91" t="s">
        <v>480</v>
      </c>
      <c r="AT91">
        <v>5401</v>
      </c>
      <c r="AU91" t="s">
        <v>669</v>
      </c>
      <c r="AV91">
        <v>60000</v>
      </c>
      <c r="AW91">
        <v>36</v>
      </c>
      <c r="AY91">
        <v>100000</v>
      </c>
      <c r="AZ91">
        <v>60</v>
      </c>
      <c r="BA91" t="b">
        <v>0</v>
      </c>
      <c r="BB91" t="s">
        <v>2007</v>
      </c>
      <c r="BC91" t="b">
        <v>1</v>
      </c>
      <c r="BD91" t="b">
        <v>1</v>
      </c>
      <c r="BE91" t="s">
        <v>914</v>
      </c>
      <c r="BF91">
        <v>0</v>
      </c>
      <c r="BG91">
        <v>0</v>
      </c>
      <c r="BH91" t="s">
        <v>1135</v>
      </c>
      <c r="BI91" t="s">
        <v>682</v>
      </c>
      <c r="BJ91" t="b">
        <v>1</v>
      </c>
      <c r="BK91" t="b">
        <v>0</v>
      </c>
      <c r="BL91" t="s">
        <v>2008</v>
      </c>
      <c r="BM91" t="s">
        <v>154</v>
      </c>
      <c r="BN91" t="s">
        <v>684</v>
      </c>
      <c r="BP91" t="s">
        <v>2009</v>
      </c>
      <c r="BQ91" t="b">
        <v>0</v>
      </c>
      <c r="BS91" t="s">
        <v>2010</v>
      </c>
      <c r="BT91" t="s">
        <v>2010</v>
      </c>
      <c r="BU91" t="b">
        <v>1</v>
      </c>
      <c r="BV91" t="s">
        <v>2011</v>
      </c>
      <c r="BW91">
        <v>5</v>
      </c>
      <c r="BX91">
        <v>567</v>
      </c>
      <c r="BY91" t="b">
        <v>1</v>
      </c>
      <c r="BZ91" t="s">
        <v>2012</v>
      </c>
      <c r="CA91" t="s">
        <v>193</v>
      </c>
      <c r="CB91" t="s">
        <v>2013</v>
      </c>
      <c r="CC91" t="s">
        <v>193</v>
      </c>
      <c r="CD91" t="s">
        <v>669</v>
      </c>
      <c r="CH91" t="s">
        <v>2014</v>
      </c>
      <c r="CI91" t="b">
        <v>0</v>
      </c>
      <c r="CJ91" t="s">
        <v>1831</v>
      </c>
      <c r="CK91" t="s">
        <v>193</v>
      </c>
      <c r="CL91" t="s">
        <v>2015</v>
      </c>
      <c r="CM91" t="s">
        <v>2016</v>
      </c>
      <c r="CN91" t="s">
        <v>154</v>
      </c>
      <c r="CO91" t="b">
        <v>1</v>
      </c>
      <c r="CT91" t="b">
        <v>0</v>
      </c>
      <c r="CU91" t="s">
        <v>2017</v>
      </c>
      <c r="CV91" t="s">
        <v>730</v>
      </c>
      <c r="CW91" t="s">
        <v>731</v>
      </c>
      <c r="CY91">
        <v>3342</v>
      </c>
      <c r="CZ91" t="s">
        <v>670</v>
      </c>
      <c r="DA91" t="s">
        <v>196</v>
      </c>
      <c r="DB91">
        <v>60115</v>
      </c>
      <c r="DC91">
        <v>5</v>
      </c>
      <c r="DD91" t="s">
        <v>699</v>
      </c>
      <c r="DE91" t="s">
        <v>669</v>
      </c>
      <c r="DF91">
        <v>40844342</v>
      </c>
      <c r="DG91" t="s">
        <v>2018</v>
      </c>
      <c r="DH91" t="s">
        <v>669</v>
      </c>
      <c r="DI91">
        <v>0</v>
      </c>
      <c r="DJ91">
        <v>-1</v>
      </c>
      <c r="DK91" t="s">
        <v>2019</v>
      </c>
    </row>
    <row r="92" spans="1:115">
      <c r="A92" t="s">
        <v>155</v>
      </c>
      <c r="B92" t="s">
        <v>667</v>
      </c>
      <c r="C92" t="b">
        <v>0</v>
      </c>
      <c r="D92" t="b">
        <v>1</v>
      </c>
      <c r="E92" t="b">
        <v>0</v>
      </c>
      <c r="H92" t="b">
        <v>0</v>
      </c>
      <c r="I92" t="b">
        <v>0</v>
      </c>
      <c r="J92" t="b">
        <v>1</v>
      </c>
      <c r="K92" t="s">
        <v>193</v>
      </c>
      <c r="Q92" t="b">
        <v>0</v>
      </c>
      <c r="S92" t="b">
        <v>0</v>
      </c>
      <c r="T92" t="b">
        <v>1</v>
      </c>
      <c r="U92">
        <v>1610</v>
      </c>
      <c r="W92" t="s">
        <v>668</v>
      </c>
      <c r="X92" t="s">
        <v>788</v>
      </c>
      <c r="Y92" t="s">
        <v>669</v>
      </c>
      <c r="Z92" t="s">
        <v>193</v>
      </c>
      <c r="AA92" t="s">
        <v>832</v>
      </c>
      <c r="AB92" t="b">
        <v>1</v>
      </c>
      <c r="AC92" t="s">
        <v>206</v>
      </c>
      <c r="AD92" t="s">
        <v>670</v>
      </c>
      <c r="AE92" t="s">
        <v>744</v>
      </c>
      <c r="AF92" t="s">
        <v>877</v>
      </c>
      <c r="AG92" t="s">
        <v>271</v>
      </c>
      <c r="AH92" t="s">
        <v>703</v>
      </c>
      <c r="AI92" t="s">
        <v>204</v>
      </c>
      <c r="AJ92" t="s">
        <v>673</v>
      </c>
      <c r="AK92">
        <v>727749020150604</v>
      </c>
      <c r="AL92" t="s">
        <v>670</v>
      </c>
      <c r="AM92" t="s">
        <v>674</v>
      </c>
      <c r="AN92" t="s">
        <v>197</v>
      </c>
      <c r="AO92" t="s">
        <v>704</v>
      </c>
      <c r="AP92" t="s">
        <v>705</v>
      </c>
      <c r="AQ92" t="s">
        <v>706</v>
      </c>
      <c r="AR92" t="s">
        <v>707</v>
      </c>
      <c r="AS92" t="s">
        <v>208</v>
      </c>
      <c r="AT92">
        <v>3318</v>
      </c>
      <c r="AU92" t="s">
        <v>669</v>
      </c>
      <c r="AV92">
        <v>60000</v>
      </c>
      <c r="AW92">
        <v>36</v>
      </c>
      <c r="AY92">
        <v>100000</v>
      </c>
      <c r="AZ92">
        <v>60</v>
      </c>
      <c r="BA92" t="b">
        <v>0</v>
      </c>
      <c r="BB92" t="s">
        <v>708</v>
      </c>
      <c r="BC92" t="b">
        <v>1</v>
      </c>
      <c r="BD92" t="b">
        <v>1</v>
      </c>
      <c r="BE92" t="s">
        <v>914</v>
      </c>
      <c r="BF92">
        <v>0</v>
      </c>
      <c r="BG92">
        <v>0</v>
      </c>
      <c r="BH92" t="s">
        <v>2020</v>
      </c>
      <c r="BI92" t="s">
        <v>682</v>
      </c>
      <c r="BJ92" t="b">
        <v>1</v>
      </c>
      <c r="BK92" t="b">
        <v>0</v>
      </c>
      <c r="BL92" t="s">
        <v>2021</v>
      </c>
      <c r="BM92" t="s">
        <v>156</v>
      </c>
      <c r="BN92" t="s">
        <v>684</v>
      </c>
      <c r="BP92" t="s">
        <v>2022</v>
      </c>
      <c r="BQ92" t="b">
        <v>0</v>
      </c>
      <c r="BR92">
        <v>40941102</v>
      </c>
      <c r="BS92" t="s">
        <v>2023</v>
      </c>
      <c r="BT92" t="s">
        <v>2023</v>
      </c>
      <c r="BU92" t="b">
        <v>1</v>
      </c>
      <c r="BV92" t="s">
        <v>2024</v>
      </c>
      <c r="BW92">
        <v>1</v>
      </c>
      <c r="BX92">
        <v>205</v>
      </c>
      <c r="BY92" t="b">
        <v>1</v>
      </c>
      <c r="BZ92" t="s">
        <v>2025</v>
      </c>
      <c r="CA92" t="s">
        <v>193</v>
      </c>
      <c r="CB92" t="s">
        <v>2026</v>
      </c>
      <c r="CC92" t="s">
        <v>193</v>
      </c>
      <c r="CD92" t="s">
        <v>669</v>
      </c>
      <c r="CH92" t="s">
        <v>2027</v>
      </c>
      <c r="CI92" t="b">
        <v>0</v>
      </c>
      <c r="CJ92" t="s">
        <v>1622</v>
      </c>
      <c r="CK92" t="s">
        <v>193</v>
      </c>
      <c r="CL92" t="s">
        <v>2028</v>
      </c>
      <c r="CM92" t="s">
        <v>2029</v>
      </c>
      <c r="CN92" t="s">
        <v>156</v>
      </c>
      <c r="CO92" t="b">
        <v>1</v>
      </c>
      <c r="CT92" t="b">
        <v>0</v>
      </c>
      <c r="CU92" t="s">
        <v>2030</v>
      </c>
      <c r="CV92" t="s">
        <v>716</v>
      </c>
      <c r="CW92" t="s">
        <v>731</v>
      </c>
      <c r="CY92">
        <v>1995</v>
      </c>
      <c r="CZ92" t="s">
        <v>671</v>
      </c>
      <c r="DA92" t="s">
        <v>207</v>
      </c>
      <c r="DB92">
        <v>78195</v>
      </c>
      <c r="DC92">
        <v>5</v>
      </c>
      <c r="DD92" t="s">
        <v>699</v>
      </c>
      <c r="DE92" t="s">
        <v>669</v>
      </c>
      <c r="DF92">
        <v>40928686</v>
      </c>
      <c r="DG92" t="s">
        <v>2031</v>
      </c>
      <c r="DH92" t="s">
        <v>669</v>
      </c>
      <c r="DI92">
        <v>1</v>
      </c>
      <c r="DJ92">
        <v>-1</v>
      </c>
      <c r="DK92" t="s">
        <v>2032</v>
      </c>
    </row>
    <row r="93" spans="1:115">
      <c r="A93" t="s">
        <v>157</v>
      </c>
      <c r="B93" t="s">
        <v>1708</v>
      </c>
      <c r="C93" t="b">
        <v>0</v>
      </c>
      <c r="D93" t="b">
        <v>0</v>
      </c>
      <c r="E93" t="b">
        <v>0</v>
      </c>
      <c r="H93" t="b">
        <v>0</v>
      </c>
      <c r="I93" t="b">
        <v>0</v>
      </c>
      <c r="J93" t="b">
        <v>0</v>
      </c>
      <c r="K93" t="s">
        <v>1583</v>
      </c>
      <c r="N93">
        <v>50</v>
      </c>
      <c r="O93">
        <v>95</v>
      </c>
      <c r="P93">
        <v>1</v>
      </c>
      <c r="Q93" t="b">
        <v>0</v>
      </c>
      <c r="R93" t="s">
        <v>1057</v>
      </c>
      <c r="S93" t="b">
        <v>0</v>
      </c>
      <c r="T93" t="b">
        <v>0</v>
      </c>
      <c r="U93">
        <v>9999</v>
      </c>
      <c r="W93" t="s">
        <v>668</v>
      </c>
      <c r="X93" t="s">
        <v>193</v>
      </c>
      <c r="Y93" t="s">
        <v>669</v>
      </c>
      <c r="Z93" t="s">
        <v>193</v>
      </c>
      <c r="AB93" t="b">
        <v>1</v>
      </c>
      <c r="AC93" t="s">
        <v>302</v>
      </c>
      <c r="AD93" t="s">
        <v>670</v>
      </c>
      <c r="AE93" t="s">
        <v>670</v>
      </c>
      <c r="AF93" t="s">
        <v>672</v>
      </c>
      <c r="AG93" t="s">
        <v>192</v>
      </c>
      <c r="AH93" t="s">
        <v>2033</v>
      </c>
      <c r="AI93" t="s">
        <v>530</v>
      </c>
      <c r="AJ93" t="s">
        <v>673</v>
      </c>
      <c r="AK93">
        <v>825571520210415</v>
      </c>
      <c r="AL93" t="s">
        <v>670</v>
      </c>
      <c r="AM93" t="s">
        <v>674</v>
      </c>
      <c r="AN93" t="s">
        <v>197</v>
      </c>
      <c r="AO93" t="s">
        <v>888</v>
      </c>
      <c r="AP93" t="s">
        <v>889</v>
      </c>
      <c r="AQ93" t="s">
        <v>890</v>
      </c>
      <c r="AR93" t="s">
        <v>277</v>
      </c>
      <c r="AS93" t="s">
        <v>277</v>
      </c>
      <c r="AT93">
        <v>3084</v>
      </c>
      <c r="AU93" t="s">
        <v>669</v>
      </c>
      <c r="AV93">
        <v>60000</v>
      </c>
      <c r="AW93">
        <v>36</v>
      </c>
      <c r="AY93">
        <v>100000</v>
      </c>
      <c r="AZ93">
        <v>60</v>
      </c>
      <c r="BA93" t="b">
        <v>0</v>
      </c>
      <c r="BB93" t="s">
        <v>824</v>
      </c>
      <c r="BC93" t="b">
        <v>0</v>
      </c>
      <c r="BD93" t="b">
        <v>1</v>
      </c>
      <c r="BE93" t="s">
        <v>193</v>
      </c>
      <c r="BH93" t="s">
        <v>1992</v>
      </c>
      <c r="BI93" t="s">
        <v>682</v>
      </c>
      <c r="BJ93" t="b">
        <v>0</v>
      </c>
      <c r="BK93" t="b">
        <v>0</v>
      </c>
      <c r="BL93" t="s">
        <v>2034</v>
      </c>
      <c r="BM93" t="s">
        <v>151</v>
      </c>
      <c r="BN93" t="s">
        <v>1712</v>
      </c>
      <c r="BP93" t="s">
        <v>1994</v>
      </c>
      <c r="BQ93" t="b">
        <v>0</v>
      </c>
      <c r="BS93" t="s">
        <v>2035</v>
      </c>
      <c r="BT93" t="s">
        <v>2036</v>
      </c>
      <c r="BU93" t="b">
        <v>0</v>
      </c>
      <c r="BV93" t="s">
        <v>2037</v>
      </c>
      <c r="BW93">
        <v>1</v>
      </c>
      <c r="BX93">
        <v>81</v>
      </c>
      <c r="BY93" t="b">
        <v>0</v>
      </c>
      <c r="BZ93" t="s">
        <v>1410</v>
      </c>
      <c r="CA93" t="s">
        <v>193</v>
      </c>
      <c r="CB93" t="s">
        <v>2038</v>
      </c>
      <c r="CC93" t="s">
        <v>193</v>
      </c>
      <c r="CD93" t="s">
        <v>669</v>
      </c>
      <c r="CO93" t="b">
        <v>0</v>
      </c>
      <c r="CR93">
        <v>70</v>
      </c>
      <c r="CS93">
        <v>53</v>
      </c>
      <c r="CT93" t="b">
        <v>0</v>
      </c>
      <c r="CU93" t="s">
        <v>2039</v>
      </c>
      <c r="CV93" t="s">
        <v>786</v>
      </c>
      <c r="CW93" t="s">
        <v>819</v>
      </c>
      <c r="CY93">
        <v>2199</v>
      </c>
      <c r="CZ93" t="s">
        <v>671</v>
      </c>
      <c r="DA93" t="s">
        <v>207</v>
      </c>
      <c r="DB93">
        <v>55500</v>
      </c>
      <c r="DC93">
        <v>9</v>
      </c>
      <c r="DD93" t="s">
        <v>699</v>
      </c>
      <c r="DE93" t="s">
        <v>669</v>
      </c>
      <c r="DF93">
        <v>40826466</v>
      </c>
      <c r="DG93" t="s">
        <v>2040</v>
      </c>
      <c r="DH93" t="s">
        <v>669</v>
      </c>
      <c r="DI93">
        <v>-1</v>
      </c>
      <c r="DJ93">
        <v>-1</v>
      </c>
    </row>
    <row r="94" spans="1:115">
      <c r="A94" t="s">
        <v>158</v>
      </c>
      <c r="B94" t="s">
        <v>1708</v>
      </c>
      <c r="C94" t="b">
        <v>0</v>
      </c>
      <c r="D94" t="b">
        <v>0</v>
      </c>
      <c r="E94" t="b">
        <v>0</v>
      </c>
      <c r="H94" t="b">
        <v>0</v>
      </c>
      <c r="I94" t="b">
        <v>0</v>
      </c>
      <c r="J94" t="b">
        <v>0</v>
      </c>
      <c r="K94" t="s">
        <v>1583</v>
      </c>
      <c r="N94">
        <v>50</v>
      </c>
      <c r="O94">
        <v>100</v>
      </c>
      <c r="P94">
        <v>1</v>
      </c>
      <c r="Q94" t="b">
        <v>0</v>
      </c>
      <c r="R94" t="s">
        <v>1057</v>
      </c>
      <c r="S94" t="b">
        <v>0</v>
      </c>
      <c r="T94" t="b">
        <v>0</v>
      </c>
      <c r="U94">
        <v>9999</v>
      </c>
      <c r="W94" t="s">
        <v>668</v>
      </c>
      <c r="X94" t="s">
        <v>193</v>
      </c>
      <c r="Y94" t="s">
        <v>669</v>
      </c>
      <c r="Z94" t="s">
        <v>193</v>
      </c>
      <c r="AB94" t="b">
        <v>1</v>
      </c>
      <c r="AC94" t="s">
        <v>249</v>
      </c>
      <c r="AD94" t="s">
        <v>670</v>
      </c>
      <c r="AE94" t="s">
        <v>670</v>
      </c>
      <c r="AF94" t="s">
        <v>672</v>
      </c>
      <c r="AG94" t="s">
        <v>192</v>
      </c>
      <c r="AH94" t="s">
        <v>2033</v>
      </c>
      <c r="AI94" t="s">
        <v>530</v>
      </c>
      <c r="AJ94" t="s">
        <v>673</v>
      </c>
      <c r="AK94">
        <v>825571520220812</v>
      </c>
      <c r="AL94" t="s">
        <v>670</v>
      </c>
      <c r="AM94" t="s">
        <v>674</v>
      </c>
      <c r="AN94" t="s">
        <v>197</v>
      </c>
      <c r="AO94" t="s">
        <v>888</v>
      </c>
      <c r="AP94" t="s">
        <v>889</v>
      </c>
      <c r="AQ94" t="s">
        <v>890</v>
      </c>
      <c r="AR94" t="s">
        <v>277</v>
      </c>
      <c r="AS94" t="s">
        <v>277</v>
      </c>
      <c r="AT94">
        <v>3169</v>
      </c>
      <c r="AU94" t="s">
        <v>669</v>
      </c>
      <c r="AV94">
        <v>60000</v>
      </c>
      <c r="AW94">
        <v>36</v>
      </c>
      <c r="AY94">
        <v>100000</v>
      </c>
      <c r="AZ94">
        <v>60</v>
      </c>
      <c r="BA94" t="b">
        <v>0</v>
      </c>
      <c r="BB94" t="s">
        <v>2041</v>
      </c>
      <c r="BC94" t="b">
        <v>0</v>
      </c>
      <c r="BD94" t="b">
        <v>1</v>
      </c>
      <c r="BE94" t="s">
        <v>193</v>
      </c>
      <c r="BH94" t="s">
        <v>1992</v>
      </c>
      <c r="BI94" t="s">
        <v>682</v>
      </c>
      <c r="BJ94" t="b">
        <v>0</v>
      </c>
      <c r="BK94" t="b">
        <v>0</v>
      </c>
      <c r="BL94" t="s">
        <v>2042</v>
      </c>
      <c r="BM94" t="s">
        <v>151</v>
      </c>
      <c r="BN94" t="s">
        <v>1712</v>
      </c>
      <c r="BP94" t="s">
        <v>1994</v>
      </c>
      <c r="BQ94" t="b">
        <v>0</v>
      </c>
      <c r="BS94" t="s">
        <v>2035</v>
      </c>
      <c r="BT94" t="s">
        <v>2036</v>
      </c>
      <c r="BU94" t="b">
        <v>0</v>
      </c>
      <c r="BV94" t="s">
        <v>2043</v>
      </c>
      <c r="BW94">
        <v>0</v>
      </c>
      <c r="BX94">
        <v>118</v>
      </c>
      <c r="BY94" t="b">
        <v>0</v>
      </c>
      <c r="BZ94" t="s">
        <v>1410</v>
      </c>
      <c r="CA94" t="s">
        <v>193</v>
      </c>
      <c r="CB94" t="s">
        <v>2038</v>
      </c>
      <c r="CC94" t="s">
        <v>193</v>
      </c>
      <c r="CD94" t="s">
        <v>669</v>
      </c>
      <c r="CO94" t="b">
        <v>0</v>
      </c>
      <c r="CR94">
        <v>70</v>
      </c>
      <c r="CS94">
        <v>53</v>
      </c>
      <c r="CT94" t="b">
        <v>0</v>
      </c>
      <c r="CU94" t="s">
        <v>2044</v>
      </c>
      <c r="CV94" t="s">
        <v>786</v>
      </c>
      <c r="CW94" t="s">
        <v>819</v>
      </c>
      <c r="CY94">
        <v>2199</v>
      </c>
      <c r="CZ94" t="s">
        <v>671</v>
      </c>
      <c r="DA94" t="s">
        <v>207</v>
      </c>
      <c r="DB94">
        <v>39800</v>
      </c>
      <c r="DC94">
        <v>9</v>
      </c>
      <c r="DD94" t="s">
        <v>699</v>
      </c>
      <c r="DE94" t="s">
        <v>669</v>
      </c>
      <c r="DF94">
        <v>40826410</v>
      </c>
      <c r="DG94" t="s">
        <v>2045</v>
      </c>
      <c r="DH94" t="s">
        <v>669</v>
      </c>
      <c r="DI94">
        <v>-1</v>
      </c>
      <c r="DJ94">
        <v>-1</v>
      </c>
    </row>
    <row r="95" spans="1:115">
      <c r="A95" t="s">
        <v>159</v>
      </c>
      <c r="B95" t="s">
        <v>1708</v>
      </c>
      <c r="C95" t="b">
        <v>0</v>
      </c>
      <c r="D95" t="b">
        <v>0</v>
      </c>
      <c r="E95" t="b">
        <v>0</v>
      </c>
      <c r="H95" t="b">
        <v>0</v>
      </c>
      <c r="I95" t="b">
        <v>0</v>
      </c>
      <c r="J95" t="b">
        <v>0</v>
      </c>
      <c r="K95" t="s">
        <v>1583</v>
      </c>
      <c r="N95">
        <v>50</v>
      </c>
      <c r="O95">
        <v>110</v>
      </c>
      <c r="P95">
        <v>1</v>
      </c>
      <c r="Q95" t="b">
        <v>0</v>
      </c>
      <c r="R95" t="s">
        <v>1057</v>
      </c>
      <c r="S95" t="b">
        <v>0</v>
      </c>
      <c r="T95" t="b">
        <v>0</v>
      </c>
      <c r="U95">
        <v>9999</v>
      </c>
      <c r="W95" t="s">
        <v>668</v>
      </c>
      <c r="X95" t="s">
        <v>193</v>
      </c>
      <c r="Y95" t="s">
        <v>669</v>
      </c>
      <c r="Z95" t="s">
        <v>193</v>
      </c>
      <c r="AB95" t="b">
        <v>1</v>
      </c>
      <c r="AC95" t="s">
        <v>276</v>
      </c>
      <c r="AD95" t="s">
        <v>670</v>
      </c>
      <c r="AE95" t="s">
        <v>670</v>
      </c>
      <c r="AF95" t="s">
        <v>672</v>
      </c>
      <c r="AG95" t="s">
        <v>192</v>
      </c>
      <c r="AH95" t="s">
        <v>2033</v>
      </c>
      <c r="AI95" t="s">
        <v>530</v>
      </c>
      <c r="AJ95" t="s">
        <v>673</v>
      </c>
      <c r="AK95">
        <v>825571520240228</v>
      </c>
      <c r="AL95" t="s">
        <v>670</v>
      </c>
      <c r="AM95" t="s">
        <v>674</v>
      </c>
      <c r="AN95" t="s">
        <v>197</v>
      </c>
      <c r="AO95" t="s">
        <v>888</v>
      </c>
      <c r="AP95" t="s">
        <v>889</v>
      </c>
      <c r="AQ95" t="s">
        <v>890</v>
      </c>
      <c r="AR95" t="s">
        <v>277</v>
      </c>
      <c r="AS95" t="s">
        <v>277</v>
      </c>
      <c r="AT95">
        <v>3238</v>
      </c>
      <c r="AU95" t="s">
        <v>669</v>
      </c>
      <c r="AV95">
        <v>60000</v>
      </c>
      <c r="AW95">
        <v>36</v>
      </c>
      <c r="AY95">
        <v>100000</v>
      </c>
      <c r="AZ95">
        <v>60</v>
      </c>
      <c r="BA95" t="b">
        <v>0</v>
      </c>
      <c r="BB95" t="s">
        <v>2046</v>
      </c>
      <c r="BC95" t="b">
        <v>0</v>
      </c>
      <c r="BD95" t="b">
        <v>1</v>
      </c>
      <c r="BE95" t="s">
        <v>193</v>
      </c>
      <c r="BH95" t="s">
        <v>1992</v>
      </c>
      <c r="BI95" t="s">
        <v>682</v>
      </c>
      <c r="BJ95" t="b">
        <v>0</v>
      </c>
      <c r="BK95" t="b">
        <v>0</v>
      </c>
      <c r="BL95" t="s">
        <v>2047</v>
      </c>
      <c r="BM95" t="s">
        <v>151</v>
      </c>
      <c r="BN95" t="s">
        <v>1712</v>
      </c>
      <c r="BP95" t="s">
        <v>1994</v>
      </c>
      <c r="BQ95" t="b">
        <v>0</v>
      </c>
      <c r="BS95" t="s">
        <v>2035</v>
      </c>
      <c r="BT95" t="s">
        <v>2036</v>
      </c>
      <c r="BU95" t="b">
        <v>0</v>
      </c>
      <c r="BV95" t="s">
        <v>2048</v>
      </c>
      <c r="BW95">
        <v>0</v>
      </c>
      <c r="BX95">
        <v>58</v>
      </c>
      <c r="BY95" t="b">
        <v>0</v>
      </c>
      <c r="BZ95" t="s">
        <v>2049</v>
      </c>
      <c r="CA95" t="s">
        <v>193</v>
      </c>
      <c r="CB95" t="s">
        <v>2050</v>
      </c>
      <c r="CC95" t="s">
        <v>193</v>
      </c>
      <c r="CD95" t="s">
        <v>669</v>
      </c>
      <c r="CO95" t="b">
        <v>0</v>
      </c>
      <c r="CR95">
        <v>70</v>
      </c>
      <c r="CS95">
        <v>53</v>
      </c>
      <c r="CT95" t="b">
        <v>0</v>
      </c>
      <c r="CU95" t="s">
        <v>2051</v>
      </c>
      <c r="CV95" t="s">
        <v>786</v>
      </c>
      <c r="CW95" t="s">
        <v>819</v>
      </c>
      <c r="CY95">
        <v>2199</v>
      </c>
      <c r="CZ95" t="s">
        <v>671</v>
      </c>
      <c r="DA95" t="s">
        <v>207</v>
      </c>
      <c r="DB95">
        <v>22000</v>
      </c>
      <c r="DC95">
        <v>9</v>
      </c>
      <c r="DD95" t="s">
        <v>699</v>
      </c>
      <c r="DE95" t="s">
        <v>669</v>
      </c>
      <c r="DF95">
        <v>40826273</v>
      </c>
      <c r="DG95" t="s">
        <v>2052</v>
      </c>
      <c r="DH95" t="s">
        <v>669</v>
      </c>
      <c r="DI95">
        <v>-1</v>
      </c>
      <c r="DJ95">
        <v>-1</v>
      </c>
    </row>
    <row r="96" spans="1:115">
      <c r="A96" t="s">
        <v>160</v>
      </c>
      <c r="B96" t="s">
        <v>1708</v>
      </c>
      <c r="C96" t="b">
        <v>0</v>
      </c>
      <c r="D96" t="b">
        <v>0</v>
      </c>
      <c r="E96" t="b">
        <v>0</v>
      </c>
      <c r="H96" t="b">
        <v>0</v>
      </c>
      <c r="I96" t="b">
        <v>0</v>
      </c>
      <c r="J96" t="b">
        <v>0</v>
      </c>
      <c r="K96" t="s">
        <v>1583</v>
      </c>
      <c r="N96">
        <v>50</v>
      </c>
      <c r="O96">
        <v>110</v>
      </c>
      <c r="P96">
        <v>1</v>
      </c>
      <c r="Q96" t="b">
        <v>0</v>
      </c>
      <c r="R96" t="s">
        <v>1057</v>
      </c>
      <c r="S96" t="b">
        <v>0</v>
      </c>
      <c r="T96" t="b">
        <v>0</v>
      </c>
      <c r="U96">
        <v>9999</v>
      </c>
      <c r="W96" t="s">
        <v>668</v>
      </c>
      <c r="X96" t="s">
        <v>193</v>
      </c>
      <c r="Y96" t="s">
        <v>669</v>
      </c>
      <c r="Z96" t="s">
        <v>193</v>
      </c>
      <c r="AB96" t="b">
        <v>1</v>
      </c>
      <c r="AC96" t="s">
        <v>276</v>
      </c>
      <c r="AD96" t="s">
        <v>670</v>
      </c>
      <c r="AE96" t="s">
        <v>670</v>
      </c>
      <c r="AF96" t="s">
        <v>672</v>
      </c>
      <c r="AG96" t="s">
        <v>192</v>
      </c>
      <c r="AH96" t="s">
        <v>2033</v>
      </c>
      <c r="AI96" t="s">
        <v>530</v>
      </c>
      <c r="AJ96" t="s">
        <v>673</v>
      </c>
      <c r="AK96">
        <v>825571520240228</v>
      </c>
      <c r="AL96" t="s">
        <v>670</v>
      </c>
      <c r="AM96" t="s">
        <v>674</v>
      </c>
      <c r="AN96" t="s">
        <v>197</v>
      </c>
      <c r="AO96" t="s">
        <v>888</v>
      </c>
      <c r="AP96" t="s">
        <v>889</v>
      </c>
      <c r="AQ96" t="s">
        <v>890</v>
      </c>
      <c r="AR96" t="s">
        <v>277</v>
      </c>
      <c r="AS96" t="s">
        <v>277</v>
      </c>
      <c r="AT96">
        <v>3238</v>
      </c>
      <c r="AU96" t="s">
        <v>669</v>
      </c>
      <c r="AV96">
        <v>60000</v>
      </c>
      <c r="AW96">
        <v>36</v>
      </c>
      <c r="AY96">
        <v>100000</v>
      </c>
      <c r="AZ96">
        <v>60</v>
      </c>
      <c r="BA96" t="b">
        <v>0</v>
      </c>
      <c r="BB96" t="s">
        <v>2046</v>
      </c>
      <c r="BC96" t="b">
        <v>0</v>
      </c>
      <c r="BD96" t="b">
        <v>1</v>
      </c>
      <c r="BE96" t="s">
        <v>193</v>
      </c>
      <c r="BH96" t="s">
        <v>1992</v>
      </c>
      <c r="BI96" t="s">
        <v>682</v>
      </c>
      <c r="BJ96" t="b">
        <v>0</v>
      </c>
      <c r="BK96" t="b">
        <v>0</v>
      </c>
      <c r="BL96" t="s">
        <v>2053</v>
      </c>
      <c r="BM96" t="s">
        <v>151</v>
      </c>
      <c r="BN96" t="s">
        <v>1712</v>
      </c>
      <c r="BP96" t="s">
        <v>1994</v>
      </c>
      <c r="BQ96" t="b">
        <v>0</v>
      </c>
      <c r="BS96" t="s">
        <v>2035</v>
      </c>
      <c r="BT96" t="s">
        <v>2036</v>
      </c>
      <c r="BU96" t="b">
        <v>0</v>
      </c>
      <c r="BV96" t="s">
        <v>2054</v>
      </c>
      <c r="BW96">
        <v>1</v>
      </c>
      <c r="BX96">
        <v>78</v>
      </c>
      <c r="BY96" t="b">
        <v>0</v>
      </c>
      <c r="BZ96" t="s">
        <v>2049</v>
      </c>
      <c r="CA96" t="s">
        <v>193</v>
      </c>
      <c r="CB96" t="s">
        <v>2050</v>
      </c>
      <c r="CC96" t="s">
        <v>193</v>
      </c>
      <c r="CD96" t="s">
        <v>669</v>
      </c>
      <c r="CO96" t="b">
        <v>0</v>
      </c>
      <c r="CR96">
        <v>70</v>
      </c>
      <c r="CS96">
        <v>53</v>
      </c>
      <c r="CT96" t="b">
        <v>0</v>
      </c>
      <c r="CU96" t="s">
        <v>2055</v>
      </c>
      <c r="CV96" t="s">
        <v>786</v>
      </c>
      <c r="CW96" t="s">
        <v>819</v>
      </c>
      <c r="CY96">
        <v>2199</v>
      </c>
      <c r="CZ96" t="s">
        <v>671</v>
      </c>
      <c r="DA96" t="s">
        <v>207</v>
      </c>
      <c r="DB96">
        <v>15300</v>
      </c>
      <c r="DC96">
        <v>9</v>
      </c>
      <c r="DD96" t="s">
        <v>699</v>
      </c>
      <c r="DE96" t="s">
        <v>669</v>
      </c>
      <c r="DF96">
        <v>40826207</v>
      </c>
      <c r="DG96" t="s">
        <v>2056</v>
      </c>
      <c r="DH96" t="s">
        <v>669</v>
      </c>
      <c r="DI96">
        <v>-1</v>
      </c>
      <c r="DJ96">
        <v>-1</v>
      </c>
    </row>
    <row r="97" spans="1:115">
      <c r="A97" t="s">
        <v>161</v>
      </c>
      <c r="B97" t="s">
        <v>1708</v>
      </c>
      <c r="C97" t="b">
        <v>0</v>
      </c>
      <c r="D97" t="b">
        <v>0</v>
      </c>
      <c r="E97" t="b">
        <v>0</v>
      </c>
      <c r="H97" t="b">
        <v>0</v>
      </c>
      <c r="I97" t="b">
        <v>0</v>
      </c>
      <c r="J97" t="b">
        <v>0</v>
      </c>
      <c r="K97" t="s">
        <v>1583</v>
      </c>
      <c r="N97">
        <v>50</v>
      </c>
      <c r="O97">
        <v>110</v>
      </c>
      <c r="P97">
        <v>1</v>
      </c>
      <c r="Q97" t="b">
        <v>0</v>
      </c>
      <c r="R97" t="s">
        <v>1057</v>
      </c>
      <c r="S97" t="b">
        <v>0</v>
      </c>
      <c r="T97" t="b">
        <v>0</v>
      </c>
      <c r="U97">
        <v>9999</v>
      </c>
      <c r="W97" t="s">
        <v>668</v>
      </c>
      <c r="X97" t="s">
        <v>193</v>
      </c>
      <c r="Y97" t="s">
        <v>669</v>
      </c>
      <c r="Z97" t="s">
        <v>193</v>
      </c>
      <c r="AB97" t="b">
        <v>1</v>
      </c>
      <c r="AC97" t="s">
        <v>276</v>
      </c>
      <c r="AD97" t="s">
        <v>670</v>
      </c>
      <c r="AE97" t="s">
        <v>670</v>
      </c>
      <c r="AF97" t="s">
        <v>672</v>
      </c>
      <c r="AG97" t="s">
        <v>192</v>
      </c>
      <c r="AH97" t="s">
        <v>2033</v>
      </c>
      <c r="AI97" t="s">
        <v>530</v>
      </c>
      <c r="AJ97" t="s">
        <v>673</v>
      </c>
      <c r="AK97">
        <v>825571520240228</v>
      </c>
      <c r="AL97" t="s">
        <v>670</v>
      </c>
      <c r="AM97" t="s">
        <v>674</v>
      </c>
      <c r="AN97" t="s">
        <v>197</v>
      </c>
      <c r="AO97" t="s">
        <v>888</v>
      </c>
      <c r="AP97" t="s">
        <v>889</v>
      </c>
      <c r="AQ97" t="s">
        <v>890</v>
      </c>
      <c r="AR97" t="s">
        <v>277</v>
      </c>
      <c r="AS97" t="s">
        <v>277</v>
      </c>
      <c r="AT97">
        <v>3238</v>
      </c>
      <c r="AU97" t="s">
        <v>669</v>
      </c>
      <c r="AV97">
        <v>60000</v>
      </c>
      <c r="AW97">
        <v>36</v>
      </c>
      <c r="AY97">
        <v>100000</v>
      </c>
      <c r="AZ97">
        <v>60</v>
      </c>
      <c r="BA97" t="b">
        <v>0</v>
      </c>
      <c r="BB97" t="s">
        <v>2046</v>
      </c>
      <c r="BC97" t="b">
        <v>0</v>
      </c>
      <c r="BD97" t="b">
        <v>1</v>
      </c>
      <c r="BE97" t="s">
        <v>193</v>
      </c>
      <c r="BH97" t="s">
        <v>1992</v>
      </c>
      <c r="BI97" t="s">
        <v>682</v>
      </c>
      <c r="BJ97" t="b">
        <v>0</v>
      </c>
      <c r="BK97" t="b">
        <v>0</v>
      </c>
      <c r="BL97" t="s">
        <v>2057</v>
      </c>
      <c r="BM97" t="s">
        <v>151</v>
      </c>
      <c r="BN97" t="s">
        <v>1712</v>
      </c>
      <c r="BP97" t="s">
        <v>1994</v>
      </c>
      <c r="BQ97" t="b">
        <v>0</v>
      </c>
      <c r="BS97" t="s">
        <v>2035</v>
      </c>
      <c r="BT97" t="s">
        <v>2036</v>
      </c>
      <c r="BU97" t="b">
        <v>0</v>
      </c>
      <c r="BV97" t="s">
        <v>2058</v>
      </c>
      <c r="BW97">
        <v>0</v>
      </c>
      <c r="BX97">
        <v>57</v>
      </c>
      <c r="BY97" t="b">
        <v>0</v>
      </c>
      <c r="BZ97" t="s">
        <v>2049</v>
      </c>
      <c r="CA97" t="s">
        <v>193</v>
      </c>
      <c r="CB97" t="s">
        <v>2059</v>
      </c>
      <c r="CC97" t="s">
        <v>193</v>
      </c>
      <c r="CD97" t="s">
        <v>669</v>
      </c>
      <c r="CO97" t="b">
        <v>0</v>
      </c>
      <c r="CR97">
        <v>70</v>
      </c>
      <c r="CS97">
        <v>53</v>
      </c>
      <c r="CT97" t="b">
        <v>0</v>
      </c>
      <c r="CU97" t="s">
        <v>2060</v>
      </c>
      <c r="CV97" t="s">
        <v>786</v>
      </c>
      <c r="CW97" t="s">
        <v>819</v>
      </c>
      <c r="CY97">
        <v>2199</v>
      </c>
      <c r="CZ97" t="s">
        <v>671</v>
      </c>
      <c r="DA97" t="s">
        <v>207</v>
      </c>
      <c r="DB97">
        <v>22900</v>
      </c>
      <c r="DC97">
        <v>9</v>
      </c>
      <c r="DD97" t="s">
        <v>699</v>
      </c>
      <c r="DE97" t="s">
        <v>669</v>
      </c>
      <c r="DF97">
        <v>40826187</v>
      </c>
      <c r="DG97" t="s">
        <v>2061</v>
      </c>
      <c r="DH97" t="s">
        <v>669</v>
      </c>
      <c r="DI97">
        <v>-1</v>
      </c>
      <c r="DJ97">
        <v>-1</v>
      </c>
    </row>
    <row r="98" spans="1:115">
      <c r="A98" t="s">
        <v>162</v>
      </c>
      <c r="B98" t="s">
        <v>667</v>
      </c>
      <c r="C98" t="b">
        <v>0</v>
      </c>
      <c r="D98" t="b">
        <v>1</v>
      </c>
      <c r="E98" t="b">
        <v>0</v>
      </c>
      <c r="H98" t="b">
        <v>0</v>
      </c>
      <c r="I98" t="b">
        <v>0</v>
      </c>
      <c r="J98" t="b">
        <v>0</v>
      </c>
      <c r="K98" t="s">
        <v>193</v>
      </c>
      <c r="Q98" t="b">
        <v>0</v>
      </c>
      <c r="S98" t="b">
        <v>0</v>
      </c>
      <c r="T98" t="b">
        <v>0</v>
      </c>
      <c r="U98">
        <v>2500</v>
      </c>
      <c r="W98" t="s">
        <v>668</v>
      </c>
      <c r="X98" t="s">
        <v>244</v>
      </c>
      <c r="Y98" t="s">
        <v>669</v>
      </c>
      <c r="Z98" t="s">
        <v>193</v>
      </c>
      <c r="AA98" t="s">
        <v>832</v>
      </c>
      <c r="AB98" t="b">
        <v>1</v>
      </c>
      <c r="AC98" t="s">
        <v>249</v>
      </c>
      <c r="AD98" t="s">
        <v>670</v>
      </c>
      <c r="AE98" t="s">
        <v>670</v>
      </c>
      <c r="AF98" t="s">
        <v>672</v>
      </c>
      <c r="AG98" t="s">
        <v>192</v>
      </c>
      <c r="AH98" t="s">
        <v>930</v>
      </c>
      <c r="AI98" t="s">
        <v>290</v>
      </c>
      <c r="AJ98" t="s">
        <v>673</v>
      </c>
      <c r="AK98">
        <v>766756920230701</v>
      </c>
      <c r="AL98" t="s">
        <v>670</v>
      </c>
      <c r="AM98" t="s">
        <v>674</v>
      </c>
      <c r="AN98" t="s">
        <v>197</v>
      </c>
      <c r="AO98" t="s">
        <v>931</v>
      </c>
      <c r="AP98" t="s">
        <v>932</v>
      </c>
      <c r="AQ98" t="s">
        <v>933</v>
      </c>
      <c r="AR98" t="s">
        <v>934</v>
      </c>
      <c r="AS98" t="s">
        <v>291</v>
      </c>
      <c r="AT98">
        <v>2603</v>
      </c>
      <c r="AU98" t="s">
        <v>669</v>
      </c>
      <c r="AV98">
        <v>60000</v>
      </c>
      <c r="AW98">
        <v>36</v>
      </c>
      <c r="AY98">
        <v>100000</v>
      </c>
      <c r="AZ98">
        <v>60</v>
      </c>
      <c r="BA98" t="b">
        <v>0</v>
      </c>
      <c r="BB98" t="s">
        <v>2062</v>
      </c>
      <c r="BC98" t="b">
        <v>0</v>
      </c>
      <c r="BD98" t="b">
        <v>1</v>
      </c>
      <c r="BE98" t="s">
        <v>914</v>
      </c>
      <c r="BF98">
        <v>0</v>
      </c>
      <c r="BG98">
        <v>0</v>
      </c>
      <c r="BH98" t="s">
        <v>1908</v>
      </c>
      <c r="BI98" t="s">
        <v>682</v>
      </c>
      <c r="BJ98" t="b">
        <v>1</v>
      </c>
      <c r="BK98" t="b">
        <v>0</v>
      </c>
      <c r="BL98" t="s">
        <v>2063</v>
      </c>
      <c r="BM98" t="s">
        <v>163</v>
      </c>
      <c r="BN98" t="s">
        <v>684</v>
      </c>
      <c r="BP98" t="s">
        <v>2064</v>
      </c>
      <c r="BQ98" t="b">
        <v>0</v>
      </c>
      <c r="BS98" t="s">
        <v>2065</v>
      </c>
      <c r="BT98" t="s">
        <v>1225</v>
      </c>
      <c r="BU98" t="b">
        <v>1</v>
      </c>
      <c r="BV98" t="s">
        <v>2066</v>
      </c>
      <c r="BW98">
        <v>0</v>
      </c>
      <c r="BX98">
        <v>244</v>
      </c>
      <c r="BY98" t="b">
        <v>1</v>
      </c>
      <c r="BZ98" t="s">
        <v>2067</v>
      </c>
      <c r="CA98" t="s">
        <v>193</v>
      </c>
      <c r="CB98" t="s">
        <v>2068</v>
      </c>
      <c r="CC98" t="s">
        <v>193</v>
      </c>
      <c r="CD98" t="s">
        <v>669</v>
      </c>
      <c r="CH98" t="s">
        <v>2069</v>
      </c>
      <c r="CI98" t="b">
        <v>0</v>
      </c>
      <c r="CJ98" t="s">
        <v>1916</v>
      </c>
      <c r="CK98" t="s">
        <v>193</v>
      </c>
      <c r="CL98" t="s">
        <v>2070</v>
      </c>
      <c r="CM98" t="s">
        <v>2071</v>
      </c>
      <c r="CN98" t="s">
        <v>163</v>
      </c>
      <c r="CO98" t="b">
        <v>1</v>
      </c>
      <c r="CT98" t="b">
        <v>0</v>
      </c>
      <c r="CU98" t="s">
        <v>2072</v>
      </c>
      <c r="CV98" t="s">
        <v>716</v>
      </c>
      <c r="CW98" t="s">
        <v>819</v>
      </c>
      <c r="CY98">
        <v>1598</v>
      </c>
      <c r="CZ98" t="s">
        <v>670</v>
      </c>
      <c r="DA98" t="s">
        <v>196</v>
      </c>
      <c r="DB98">
        <v>33951</v>
      </c>
      <c r="DC98">
        <v>5</v>
      </c>
      <c r="DD98" t="s">
        <v>699</v>
      </c>
      <c r="DE98" t="s">
        <v>669</v>
      </c>
      <c r="DF98">
        <v>40820916</v>
      </c>
      <c r="DG98" t="s">
        <v>2073</v>
      </c>
      <c r="DH98" t="s">
        <v>669</v>
      </c>
      <c r="DI98">
        <v>0</v>
      </c>
      <c r="DJ98">
        <v>-1</v>
      </c>
      <c r="DK98" t="s">
        <v>2074</v>
      </c>
    </row>
    <row r="99" spans="1:115">
      <c r="A99" t="s">
        <v>164</v>
      </c>
      <c r="B99" t="s">
        <v>667</v>
      </c>
      <c r="C99" t="b">
        <v>1</v>
      </c>
      <c r="D99" t="b">
        <v>1</v>
      </c>
      <c r="E99" t="b">
        <v>0</v>
      </c>
      <c r="H99" t="b">
        <v>0</v>
      </c>
      <c r="I99" t="b">
        <v>0</v>
      </c>
      <c r="J99" t="b">
        <v>1</v>
      </c>
      <c r="K99" t="s">
        <v>193</v>
      </c>
      <c r="Q99" t="b">
        <v>0</v>
      </c>
      <c r="S99" t="b">
        <v>0</v>
      </c>
      <c r="T99" t="b">
        <v>1</v>
      </c>
      <c r="U99">
        <v>4390</v>
      </c>
      <c r="W99" t="s">
        <v>668</v>
      </c>
      <c r="X99" t="s">
        <v>788</v>
      </c>
      <c r="Y99" t="s">
        <v>669</v>
      </c>
      <c r="Z99" t="s">
        <v>193</v>
      </c>
      <c r="AA99" t="s">
        <v>789</v>
      </c>
      <c r="AB99" t="b">
        <v>1</v>
      </c>
      <c r="AC99" t="s">
        <v>372</v>
      </c>
      <c r="AD99" t="s">
        <v>822</v>
      </c>
      <c r="AE99" t="s">
        <v>822</v>
      </c>
      <c r="AF99" t="s">
        <v>966</v>
      </c>
      <c r="AG99" t="s">
        <v>301</v>
      </c>
      <c r="AH99" t="s">
        <v>544</v>
      </c>
      <c r="AI99" t="s">
        <v>544</v>
      </c>
      <c r="AJ99" t="s">
        <v>673</v>
      </c>
      <c r="AK99">
        <v>827411820230814</v>
      </c>
      <c r="AL99" t="s">
        <v>670</v>
      </c>
      <c r="AM99" t="s">
        <v>674</v>
      </c>
      <c r="AN99" t="s">
        <v>197</v>
      </c>
      <c r="AO99" t="s">
        <v>1268</v>
      </c>
      <c r="AP99" t="s">
        <v>705</v>
      </c>
      <c r="AQ99" t="s">
        <v>706</v>
      </c>
      <c r="AR99" t="s">
        <v>707</v>
      </c>
      <c r="AS99" t="s">
        <v>373</v>
      </c>
      <c r="AT99">
        <v>4764</v>
      </c>
      <c r="AU99" t="s">
        <v>669</v>
      </c>
      <c r="AV99">
        <v>60000</v>
      </c>
      <c r="AW99">
        <v>36</v>
      </c>
      <c r="AY99">
        <v>100000</v>
      </c>
      <c r="AZ99">
        <v>60</v>
      </c>
      <c r="BA99" t="b">
        <v>0</v>
      </c>
      <c r="BB99" t="s">
        <v>2075</v>
      </c>
      <c r="BC99" t="b">
        <v>1</v>
      </c>
      <c r="BD99" t="b">
        <v>1</v>
      </c>
      <c r="BE99" t="s">
        <v>914</v>
      </c>
      <c r="BF99">
        <v>0</v>
      </c>
      <c r="BG99">
        <v>0</v>
      </c>
      <c r="BH99" t="s">
        <v>1693</v>
      </c>
      <c r="BI99" t="s">
        <v>682</v>
      </c>
      <c r="BJ99" t="b">
        <v>1</v>
      </c>
      <c r="BK99" t="b">
        <v>0</v>
      </c>
      <c r="BL99" t="s">
        <v>2076</v>
      </c>
      <c r="BM99" t="s">
        <v>165</v>
      </c>
      <c r="BN99" t="s">
        <v>684</v>
      </c>
      <c r="BP99" t="s">
        <v>2077</v>
      </c>
      <c r="BQ99" t="b">
        <v>0</v>
      </c>
      <c r="BR99">
        <v>40818743</v>
      </c>
      <c r="BS99" t="s">
        <v>2078</v>
      </c>
      <c r="BT99" t="s">
        <v>2078</v>
      </c>
      <c r="BU99" t="b">
        <v>1</v>
      </c>
      <c r="BV99" t="s">
        <v>2079</v>
      </c>
      <c r="BW99">
        <v>0</v>
      </c>
      <c r="BX99">
        <v>131</v>
      </c>
      <c r="BY99" t="b">
        <v>1</v>
      </c>
      <c r="BZ99" t="s">
        <v>2080</v>
      </c>
      <c r="CA99" t="s">
        <v>193</v>
      </c>
      <c r="CB99" t="s">
        <v>1275</v>
      </c>
      <c r="CC99" t="s">
        <v>193</v>
      </c>
      <c r="CD99" t="s">
        <v>669</v>
      </c>
      <c r="CH99" t="s">
        <v>2081</v>
      </c>
      <c r="CI99" t="b">
        <v>0</v>
      </c>
      <c r="CJ99" t="s">
        <v>1702</v>
      </c>
      <c r="CK99" t="s">
        <v>193</v>
      </c>
      <c r="CL99" t="s">
        <v>2082</v>
      </c>
      <c r="CM99" t="s">
        <v>2083</v>
      </c>
      <c r="CN99" t="s">
        <v>165</v>
      </c>
      <c r="CO99" t="b">
        <v>1</v>
      </c>
      <c r="CT99" t="b">
        <v>0</v>
      </c>
      <c r="CU99" t="s">
        <v>2084</v>
      </c>
      <c r="CV99" t="s">
        <v>716</v>
      </c>
      <c r="CW99" t="s">
        <v>731</v>
      </c>
      <c r="CY99">
        <v>1598</v>
      </c>
      <c r="CZ99" t="s">
        <v>809</v>
      </c>
      <c r="DA99" t="s">
        <v>336</v>
      </c>
      <c r="DB99">
        <v>17157</v>
      </c>
      <c r="DC99">
        <v>5</v>
      </c>
      <c r="DD99" t="s">
        <v>699</v>
      </c>
      <c r="DE99" t="s">
        <v>669</v>
      </c>
      <c r="DF99">
        <v>40817026</v>
      </c>
      <c r="DG99" t="s">
        <v>2085</v>
      </c>
      <c r="DH99" t="s">
        <v>669</v>
      </c>
      <c r="DI99">
        <v>1</v>
      </c>
      <c r="DJ99">
        <v>-1</v>
      </c>
      <c r="DK99" t="s">
        <v>2086</v>
      </c>
    </row>
    <row r="100" spans="1:115">
      <c r="A100" t="s">
        <v>166</v>
      </c>
      <c r="B100" t="s">
        <v>667</v>
      </c>
      <c r="C100" t="b">
        <v>1</v>
      </c>
      <c r="D100" t="b">
        <v>1</v>
      </c>
      <c r="E100" t="b">
        <v>0</v>
      </c>
      <c r="H100" t="b">
        <v>0</v>
      </c>
      <c r="I100" t="b">
        <v>0</v>
      </c>
      <c r="J100" t="b">
        <v>1</v>
      </c>
      <c r="K100" t="s">
        <v>2087</v>
      </c>
      <c r="Q100" t="b">
        <v>0</v>
      </c>
      <c r="R100" t="s">
        <v>2088</v>
      </c>
      <c r="S100" t="b">
        <v>0</v>
      </c>
      <c r="T100" t="b">
        <v>1</v>
      </c>
      <c r="U100">
        <v>3240</v>
      </c>
      <c r="W100" t="s">
        <v>668</v>
      </c>
      <c r="X100" t="s">
        <v>788</v>
      </c>
      <c r="Y100" t="s">
        <v>669</v>
      </c>
      <c r="Z100" t="s">
        <v>193</v>
      </c>
      <c r="AA100" t="s">
        <v>789</v>
      </c>
      <c r="AB100" t="b">
        <v>1</v>
      </c>
      <c r="AC100" t="s">
        <v>195</v>
      </c>
      <c r="AD100" t="s">
        <v>671</v>
      </c>
      <c r="AE100" t="s">
        <v>822</v>
      </c>
      <c r="AF100" t="s">
        <v>900</v>
      </c>
      <c r="AG100" t="s">
        <v>281</v>
      </c>
      <c r="AH100" t="s">
        <v>901</v>
      </c>
      <c r="AI100" t="s">
        <v>280</v>
      </c>
      <c r="AJ100" t="s">
        <v>673</v>
      </c>
      <c r="AK100">
        <v>7.2774882021010115E+18</v>
      </c>
      <c r="AL100" t="s">
        <v>670</v>
      </c>
      <c r="AM100" t="s">
        <v>674</v>
      </c>
      <c r="AN100" t="s">
        <v>197</v>
      </c>
      <c r="AO100" t="s">
        <v>792</v>
      </c>
      <c r="AP100" t="s">
        <v>705</v>
      </c>
      <c r="AQ100" t="s">
        <v>706</v>
      </c>
      <c r="AR100" t="s">
        <v>707</v>
      </c>
      <c r="AS100" t="s">
        <v>239</v>
      </c>
      <c r="AT100">
        <v>3747</v>
      </c>
      <c r="AU100" t="s">
        <v>669</v>
      </c>
      <c r="AV100">
        <v>60000</v>
      </c>
      <c r="AW100">
        <v>36</v>
      </c>
      <c r="AY100">
        <v>100000</v>
      </c>
      <c r="AZ100">
        <v>60</v>
      </c>
      <c r="BA100" t="b">
        <v>0</v>
      </c>
      <c r="BB100" t="s">
        <v>1404</v>
      </c>
      <c r="BC100" t="b">
        <v>1</v>
      </c>
      <c r="BD100" t="b">
        <v>1</v>
      </c>
      <c r="BE100" t="s">
        <v>914</v>
      </c>
      <c r="BF100">
        <v>0</v>
      </c>
      <c r="BG100">
        <v>0</v>
      </c>
      <c r="BH100" t="s">
        <v>1323</v>
      </c>
      <c r="BI100" t="s">
        <v>682</v>
      </c>
      <c r="BJ100" t="b">
        <v>1</v>
      </c>
      <c r="BK100" t="b">
        <v>0</v>
      </c>
      <c r="BL100" t="s">
        <v>2089</v>
      </c>
      <c r="BM100" t="s">
        <v>167</v>
      </c>
      <c r="BN100" t="s">
        <v>684</v>
      </c>
      <c r="BP100" t="s">
        <v>2090</v>
      </c>
      <c r="BQ100" t="b">
        <v>0</v>
      </c>
      <c r="BR100">
        <v>41094113</v>
      </c>
      <c r="BS100" t="s">
        <v>2091</v>
      </c>
      <c r="BT100" t="s">
        <v>2092</v>
      </c>
      <c r="BU100" t="b">
        <v>0</v>
      </c>
      <c r="BV100" t="s">
        <v>2093</v>
      </c>
      <c r="BW100">
        <v>1</v>
      </c>
      <c r="BX100">
        <v>400</v>
      </c>
      <c r="BY100" t="b">
        <v>1</v>
      </c>
      <c r="BZ100" t="s">
        <v>193</v>
      </c>
      <c r="CA100" t="s">
        <v>193</v>
      </c>
      <c r="CB100" t="s">
        <v>2094</v>
      </c>
      <c r="CC100" t="s">
        <v>193</v>
      </c>
      <c r="CD100" t="s">
        <v>669</v>
      </c>
      <c r="CH100" t="s">
        <v>2095</v>
      </c>
      <c r="CI100" t="b">
        <v>0</v>
      </c>
      <c r="CJ100" t="s">
        <v>2096</v>
      </c>
      <c r="CK100" t="s">
        <v>193</v>
      </c>
      <c r="CL100" t="s">
        <v>2097</v>
      </c>
      <c r="CM100" t="s">
        <v>2098</v>
      </c>
      <c r="CN100" t="s">
        <v>167</v>
      </c>
      <c r="CO100" t="b">
        <v>1</v>
      </c>
      <c r="CT100" t="b">
        <v>0</v>
      </c>
      <c r="CU100" t="s">
        <v>2099</v>
      </c>
      <c r="CV100" t="s">
        <v>716</v>
      </c>
      <c r="CW100" t="s">
        <v>698</v>
      </c>
      <c r="CY100">
        <v>2151</v>
      </c>
      <c r="CZ100" t="s">
        <v>671</v>
      </c>
      <c r="DA100" t="s">
        <v>207</v>
      </c>
      <c r="DB100">
        <v>76633</v>
      </c>
      <c r="DC100">
        <v>5</v>
      </c>
      <c r="DD100" t="s">
        <v>699</v>
      </c>
      <c r="DE100" t="s">
        <v>669</v>
      </c>
      <c r="DF100">
        <v>41091081</v>
      </c>
      <c r="DG100" t="s">
        <v>2100</v>
      </c>
      <c r="DH100" t="s">
        <v>669</v>
      </c>
      <c r="DI100">
        <v>1</v>
      </c>
      <c r="DJ100">
        <v>-1</v>
      </c>
      <c r="DK100" t="s">
        <v>2101</v>
      </c>
    </row>
    <row r="101" spans="1:115">
      <c r="A101" t="s">
        <v>168</v>
      </c>
      <c r="B101" t="s">
        <v>667</v>
      </c>
      <c r="C101" t="b">
        <v>0</v>
      </c>
      <c r="D101" t="b">
        <v>0</v>
      </c>
      <c r="E101" t="b">
        <v>0</v>
      </c>
      <c r="H101" t="b">
        <v>0</v>
      </c>
      <c r="I101" t="b">
        <v>0</v>
      </c>
      <c r="J101" t="b">
        <v>0</v>
      </c>
      <c r="K101" t="s">
        <v>1056</v>
      </c>
      <c r="Q101" t="b">
        <v>0</v>
      </c>
      <c r="R101" t="s">
        <v>1057</v>
      </c>
      <c r="S101" t="b">
        <v>0</v>
      </c>
      <c r="T101" t="b">
        <v>0</v>
      </c>
      <c r="U101">
        <v>620</v>
      </c>
      <c r="W101" t="s">
        <v>668</v>
      </c>
      <c r="X101" t="s">
        <v>193</v>
      </c>
      <c r="Y101" t="s">
        <v>669</v>
      </c>
      <c r="Z101" t="s">
        <v>193</v>
      </c>
      <c r="AB101" t="b">
        <v>1</v>
      </c>
      <c r="AC101" t="s">
        <v>206</v>
      </c>
      <c r="AD101" t="s">
        <v>809</v>
      </c>
      <c r="AE101" t="s">
        <v>670</v>
      </c>
      <c r="AH101" t="s">
        <v>2102</v>
      </c>
      <c r="AI101" t="s">
        <v>549</v>
      </c>
      <c r="AJ101" t="s">
        <v>673</v>
      </c>
      <c r="AK101">
        <v>722623720160203</v>
      </c>
      <c r="AL101" t="s">
        <v>670</v>
      </c>
      <c r="AM101" t="s">
        <v>674</v>
      </c>
      <c r="AN101" t="s">
        <v>197</v>
      </c>
      <c r="AO101" t="s">
        <v>866</v>
      </c>
      <c r="AP101" t="s">
        <v>676</v>
      </c>
      <c r="AQ101" t="s">
        <v>677</v>
      </c>
      <c r="AR101" t="s">
        <v>678</v>
      </c>
      <c r="AS101" t="s">
        <v>268</v>
      </c>
      <c r="AT101">
        <v>1981</v>
      </c>
      <c r="AU101" t="s">
        <v>669</v>
      </c>
      <c r="AV101">
        <v>60000</v>
      </c>
      <c r="AW101">
        <v>36</v>
      </c>
      <c r="AY101">
        <v>100000</v>
      </c>
      <c r="AZ101">
        <v>60</v>
      </c>
      <c r="BA101" t="b">
        <v>0</v>
      </c>
      <c r="BB101" t="s">
        <v>1236</v>
      </c>
      <c r="BC101" t="b">
        <v>1</v>
      </c>
      <c r="BD101" t="b">
        <v>1</v>
      </c>
      <c r="BE101" t="s">
        <v>914</v>
      </c>
      <c r="BF101">
        <v>0</v>
      </c>
      <c r="BG101">
        <v>0</v>
      </c>
      <c r="BH101" t="s">
        <v>2103</v>
      </c>
      <c r="BI101" t="s">
        <v>682</v>
      </c>
      <c r="BJ101" t="b">
        <v>1</v>
      </c>
      <c r="BK101" t="b">
        <v>0</v>
      </c>
      <c r="BL101" t="s">
        <v>2104</v>
      </c>
      <c r="BM101" t="s">
        <v>169</v>
      </c>
      <c r="BN101" t="s">
        <v>684</v>
      </c>
      <c r="BP101" t="s">
        <v>2105</v>
      </c>
      <c r="BQ101" t="b">
        <v>0</v>
      </c>
      <c r="BS101" t="s">
        <v>2106</v>
      </c>
      <c r="BT101" t="s">
        <v>2107</v>
      </c>
      <c r="BU101" t="b">
        <v>0</v>
      </c>
      <c r="BV101" t="s">
        <v>2108</v>
      </c>
      <c r="BW101">
        <v>7</v>
      </c>
      <c r="BX101">
        <v>1344</v>
      </c>
      <c r="BY101" t="b">
        <v>1</v>
      </c>
      <c r="BZ101" t="s">
        <v>1557</v>
      </c>
      <c r="CA101" t="s">
        <v>193</v>
      </c>
      <c r="CB101" t="s">
        <v>2109</v>
      </c>
      <c r="CC101" t="s">
        <v>193</v>
      </c>
      <c r="CD101" t="s">
        <v>669</v>
      </c>
      <c r="CH101" t="s">
        <v>2110</v>
      </c>
      <c r="CI101" t="b">
        <v>0</v>
      </c>
      <c r="CJ101" t="s">
        <v>1087</v>
      </c>
      <c r="CK101" t="s">
        <v>193</v>
      </c>
      <c r="CL101" t="s">
        <v>2111</v>
      </c>
      <c r="CM101" t="s">
        <v>2112</v>
      </c>
      <c r="CN101" t="s">
        <v>169</v>
      </c>
      <c r="CO101" t="b">
        <v>1</v>
      </c>
      <c r="CT101" t="b">
        <v>0</v>
      </c>
      <c r="CU101" t="s">
        <v>2113</v>
      </c>
      <c r="CV101" t="s">
        <v>697</v>
      </c>
      <c r="CW101" t="s">
        <v>731</v>
      </c>
      <c r="CY101">
        <v>1582</v>
      </c>
      <c r="CZ101" t="s">
        <v>671</v>
      </c>
      <c r="DA101" t="s">
        <v>207</v>
      </c>
      <c r="DB101">
        <v>145669</v>
      </c>
      <c r="DC101">
        <v>5</v>
      </c>
      <c r="DD101" t="s">
        <v>699</v>
      </c>
      <c r="DE101" t="s">
        <v>669</v>
      </c>
      <c r="DF101">
        <v>41061934</v>
      </c>
      <c r="DG101" t="s">
        <v>2114</v>
      </c>
      <c r="DH101" t="s">
        <v>669</v>
      </c>
      <c r="DI101">
        <v>-1</v>
      </c>
      <c r="DJ101">
        <v>-1</v>
      </c>
      <c r="DK101" t="s">
        <v>2115</v>
      </c>
    </row>
  </sheetData>
  <phoneticPr fontId="3"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K101"/>
  <sheetViews>
    <sheetView workbookViewId="0">
      <pane ySplit="1" topLeftCell="A2" activePane="bottomLeft" state="frozen"/>
      <selection pane="bottomLeft" activeCell="BI24" sqref="BI24"/>
    </sheetView>
  </sheetViews>
  <sheetFormatPr baseColWidth="10" defaultColWidth="8.83203125" defaultRowHeight="17"/>
  <cols>
    <col min="1" max="1" width="12" customWidth="1"/>
    <col min="2" max="2" width="29" customWidth="1"/>
    <col min="3" max="3" width="70" customWidth="1"/>
    <col min="4" max="4" width="20" customWidth="1"/>
    <col min="5" max="6" width="255.83203125" bestFit="1" customWidth="1"/>
    <col min="7" max="7" width="29" customWidth="1"/>
    <col min="8" max="8" width="34" customWidth="1"/>
    <col min="9" max="9" width="47" customWidth="1"/>
    <col min="10" max="10" width="42" customWidth="1"/>
    <col min="11" max="11" width="43" customWidth="1"/>
    <col min="12" max="12" width="39" customWidth="1"/>
    <col min="13" max="13" width="28" customWidth="1"/>
    <col min="14" max="14" width="26" customWidth="1"/>
    <col min="15" max="15" width="46" customWidth="1"/>
    <col min="16" max="16" width="47" customWidth="1"/>
    <col min="17" max="17" width="44" customWidth="1"/>
    <col min="18" max="18" width="45" customWidth="1"/>
    <col min="19" max="19" width="36" customWidth="1"/>
    <col min="20" max="20" width="41" customWidth="1"/>
    <col min="21" max="21" width="42" customWidth="1"/>
    <col min="22" max="22" width="70" customWidth="1"/>
    <col min="23" max="23" width="32" customWidth="1"/>
    <col min="24" max="24" width="38" customWidth="1"/>
    <col min="25" max="25" width="48" customWidth="1"/>
    <col min="26" max="26" width="44" customWidth="1"/>
    <col min="27" max="27" width="45" customWidth="1"/>
    <col min="28" max="28" width="32" customWidth="1"/>
    <col min="29" max="29" width="35" customWidth="1"/>
    <col min="30" max="30" width="36" customWidth="1"/>
    <col min="31" max="31" width="42" customWidth="1"/>
    <col min="32" max="32" width="34" customWidth="1"/>
    <col min="33" max="33" width="43" customWidth="1"/>
    <col min="34" max="35" width="36" customWidth="1"/>
    <col min="36" max="36" width="37" customWidth="1"/>
    <col min="37" max="37" width="41" customWidth="1"/>
    <col min="38" max="38" width="40" customWidth="1"/>
    <col min="39" max="39" width="33" customWidth="1"/>
    <col min="40" max="40" width="46" customWidth="1"/>
    <col min="41" max="41" width="35" customWidth="1"/>
    <col min="42" max="42" width="39" customWidth="1"/>
    <col min="43" max="43" width="32" customWidth="1"/>
    <col min="44" max="44" width="43" customWidth="1"/>
    <col min="45" max="45" width="48" customWidth="1"/>
    <col min="46" max="46" width="49" customWidth="1"/>
    <col min="47" max="47" width="36" customWidth="1"/>
    <col min="48" max="48" width="33" customWidth="1"/>
    <col min="49" max="50" width="43" customWidth="1"/>
    <col min="51" max="51" width="42" customWidth="1"/>
    <col min="52" max="52" width="44" customWidth="1"/>
    <col min="53" max="53" width="34" customWidth="1"/>
    <col min="54" max="54" width="30" customWidth="1"/>
    <col min="55" max="55" width="35" customWidth="1"/>
    <col min="56" max="56" width="36" customWidth="1"/>
    <col min="57" max="57" width="32" customWidth="1"/>
    <col min="58" max="58" width="29" customWidth="1"/>
    <col min="59" max="59" width="70" customWidth="1"/>
    <col min="60" max="60" width="18" customWidth="1"/>
    <col min="61" max="61" width="22" customWidth="1"/>
    <col min="62" max="62" width="12" customWidth="1"/>
    <col min="63" max="63" width="70" customWidth="1"/>
  </cols>
  <sheetData>
    <row r="1" spans="1:63" ht="18">
      <c r="A1" s="1" t="s">
        <v>552</v>
      </c>
      <c r="B1" s="1" t="s">
        <v>2116</v>
      </c>
      <c r="C1" s="1" t="s">
        <v>2117</v>
      </c>
      <c r="D1" s="1" t="s">
        <v>2118</v>
      </c>
      <c r="E1" s="1" t="s">
        <v>2119</v>
      </c>
      <c r="F1" s="1" t="s">
        <v>2120</v>
      </c>
      <c r="G1" s="1" t="s">
        <v>2121</v>
      </c>
      <c r="H1" s="1" t="s">
        <v>2122</v>
      </c>
      <c r="I1" s="1" t="s">
        <v>2123</v>
      </c>
      <c r="J1" s="1" t="s">
        <v>2124</v>
      </c>
      <c r="K1" s="1" t="s">
        <v>2125</v>
      </c>
      <c r="L1" s="1" t="s">
        <v>2126</v>
      </c>
      <c r="M1" s="1" t="s">
        <v>2127</v>
      </c>
      <c r="N1" s="1" t="s">
        <v>2128</v>
      </c>
      <c r="O1" s="1" t="s">
        <v>2129</v>
      </c>
      <c r="P1" s="1" t="s">
        <v>2130</v>
      </c>
      <c r="Q1" s="1" t="s">
        <v>2131</v>
      </c>
      <c r="R1" s="1" t="s">
        <v>2132</v>
      </c>
      <c r="S1" s="1" t="s">
        <v>2133</v>
      </c>
      <c r="T1" s="1" t="s">
        <v>2134</v>
      </c>
      <c r="U1" s="1" t="s">
        <v>2135</v>
      </c>
      <c r="V1" s="1" t="s">
        <v>2136</v>
      </c>
      <c r="W1" s="1" t="s">
        <v>2137</v>
      </c>
      <c r="X1" s="1" t="s">
        <v>2138</v>
      </c>
      <c r="Y1" s="1" t="s">
        <v>2139</v>
      </c>
      <c r="Z1" s="1" t="s">
        <v>2140</v>
      </c>
      <c r="AA1" s="1" t="s">
        <v>2141</v>
      </c>
      <c r="AB1" s="1" t="s">
        <v>2142</v>
      </c>
      <c r="AC1" s="1" t="s">
        <v>2143</v>
      </c>
      <c r="AD1" s="1" t="s">
        <v>2144</v>
      </c>
      <c r="AE1" s="1" t="s">
        <v>2145</v>
      </c>
      <c r="AF1" s="1" t="s">
        <v>2146</v>
      </c>
      <c r="AG1" s="1" t="s">
        <v>2147</v>
      </c>
      <c r="AH1" s="1" t="s">
        <v>2148</v>
      </c>
      <c r="AI1" s="1" t="s">
        <v>2149</v>
      </c>
      <c r="AJ1" s="1" t="s">
        <v>2150</v>
      </c>
      <c r="AK1" s="1" t="s">
        <v>2151</v>
      </c>
      <c r="AL1" s="1" t="s">
        <v>2152</v>
      </c>
      <c r="AM1" s="1" t="s">
        <v>2153</v>
      </c>
      <c r="AN1" s="1" t="s">
        <v>2154</v>
      </c>
      <c r="AO1" s="1" t="s">
        <v>2155</v>
      </c>
      <c r="AP1" s="1" t="s">
        <v>2156</v>
      </c>
      <c r="AQ1" s="1" t="s">
        <v>2157</v>
      </c>
      <c r="AR1" s="1" t="s">
        <v>2158</v>
      </c>
      <c r="AS1" s="1" t="s">
        <v>2159</v>
      </c>
      <c r="AT1" s="1" t="s">
        <v>2160</v>
      </c>
      <c r="AU1" s="1" t="s">
        <v>2161</v>
      </c>
      <c r="AV1" s="1" t="s">
        <v>2162</v>
      </c>
      <c r="AW1" s="1" t="s">
        <v>2163</v>
      </c>
      <c r="AX1" s="1" t="s">
        <v>2164</v>
      </c>
      <c r="AY1" s="1" t="s">
        <v>2165</v>
      </c>
      <c r="AZ1" s="1" t="s">
        <v>2166</v>
      </c>
      <c r="BA1" s="1" t="s">
        <v>2167</v>
      </c>
      <c r="BB1" s="1" t="s">
        <v>2168</v>
      </c>
      <c r="BC1" s="1" t="s">
        <v>2169</v>
      </c>
      <c r="BD1" s="1" t="s">
        <v>2170</v>
      </c>
      <c r="BE1" s="1" t="s">
        <v>2171</v>
      </c>
      <c r="BF1" s="1" t="s">
        <v>2172</v>
      </c>
      <c r="BG1" s="1" t="s">
        <v>2173</v>
      </c>
      <c r="BH1" s="1" t="s">
        <v>2174</v>
      </c>
      <c r="BI1" s="1" t="s">
        <v>2175</v>
      </c>
      <c r="BJ1" s="1" t="s">
        <v>552</v>
      </c>
      <c r="BK1" s="1" t="s">
        <v>2176</v>
      </c>
    </row>
    <row r="2" spans="1:63">
      <c r="A2" t="s">
        <v>1</v>
      </c>
      <c r="C2" t="s">
        <v>193</v>
      </c>
      <c r="D2" t="s">
        <v>680</v>
      </c>
      <c r="E2" t="s">
        <v>2177</v>
      </c>
      <c r="F2" t="s">
        <v>193</v>
      </c>
      <c r="M2" t="b">
        <v>0</v>
      </c>
      <c r="BD2" t="s">
        <v>2178</v>
      </c>
      <c r="BE2" t="b">
        <v>1</v>
      </c>
      <c r="BF2" t="s">
        <v>2179</v>
      </c>
      <c r="BG2" t="s">
        <v>193</v>
      </c>
      <c r="BI2">
        <v>41356587</v>
      </c>
      <c r="BJ2" t="s">
        <v>1</v>
      </c>
    </row>
    <row r="3" spans="1:63">
      <c r="A3" t="s">
        <v>3</v>
      </c>
      <c r="C3" t="s">
        <v>193</v>
      </c>
      <c r="D3" t="s">
        <v>680</v>
      </c>
      <c r="E3" t="s">
        <v>2180</v>
      </c>
      <c r="F3" t="s">
        <v>193</v>
      </c>
      <c r="M3" t="b">
        <v>0</v>
      </c>
      <c r="BD3" t="s">
        <v>2181</v>
      </c>
      <c r="BE3" t="b">
        <v>0</v>
      </c>
      <c r="BF3" t="s">
        <v>2182</v>
      </c>
      <c r="BG3" t="s">
        <v>193</v>
      </c>
      <c r="BI3">
        <v>41353573</v>
      </c>
      <c r="BJ3" t="s">
        <v>3</v>
      </c>
    </row>
    <row r="4" spans="1:63">
      <c r="A4" t="s">
        <v>4</v>
      </c>
      <c r="C4" t="s">
        <v>193</v>
      </c>
      <c r="D4" t="s">
        <v>680</v>
      </c>
      <c r="E4" t="s">
        <v>2183</v>
      </c>
      <c r="F4" t="s">
        <v>193</v>
      </c>
      <c r="M4" t="b">
        <v>0</v>
      </c>
      <c r="BD4" t="s">
        <v>2184</v>
      </c>
      <c r="BE4" t="b">
        <v>0</v>
      </c>
      <c r="BF4" t="s">
        <v>2185</v>
      </c>
      <c r="BG4" t="s">
        <v>193</v>
      </c>
      <c r="BI4">
        <v>41403456</v>
      </c>
      <c r="BJ4" t="s">
        <v>4</v>
      </c>
    </row>
    <row r="5" spans="1:63">
      <c r="A5" t="s">
        <v>5</v>
      </c>
      <c r="C5" t="s">
        <v>193</v>
      </c>
      <c r="D5" t="s">
        <v>680</v>
      </c>
      <c r="E5" t="s">
        <v>2186</v>
      </c>
      <c r="F5" t="s">
        <v>193</v>
      </c>
      <c r="M5" t="b">
        <v>1</v>
      </c>
      <c r="BD5" t="s">
        <v>2187</v>
      </c>
      <c r="BE5" t="b">
        <v>1</v>
      </c>
      <c r="BF5" t="s">
        <v>2188</v>
      </c>
      <c r="BG5" t="s">
        <v>193</v>
      </c>
      <c r="BI5">
        <v>41390361</v>
      </c>
      <c r="BJ5" t="s">
        <v>5</v>
      </c>
    </row>
    <row r="6" spans="1:63">
      <c r="A6" t="s">
        <v>6</v>
      </c>
      <c r="C6" t="s">
        <v>193</v>
      </c>
      <c r="D6" t="s">
        <v>680</v>
      </c>
      <c r="E6" t="s">
        <v>2189</v>
      </c>
      <c r="F6" t="s">
        <v>193</v>
      </c>
      <c r="M6" t="b">
        <v>0</v>
      </c>
      <c r="BD6" t="s">
        <v>2190</v>
      </c>
      <c r="BE6" t="b">
        <v>0</v>
      </c>
      <c r="BF6" t="s">
        <v>2191</v>
      </c>
      <c r="BG6" t="s">
        <v>193</v>
      </c>
      <c r="BI6">
        <v>41403526</v>
      </c>
      <c r="BJ6" t="s">
        <v>6</v>
      </c>
    </row>
    <row r="7" spans="1:63">
      <c r="A7" t="s">
        <v>7</v>
      </c>
      <c r="C7" t="s">
        <v>193</v>
      </c>
      <c r="D7" t="s">
        <v>680</v>
      </c>
      <c r="E7" t="s">
        <v>2192</v>
      </c>
      <c r="F7" t="s">
        <v>193</v>
      </c>
      <c r="M7" t="b">
        <v>0</v>
      </c>
      <c r="BD7" t="s">
        <v>2193</v>
      </c>
      <c r="BE7" t="b">
        <v>1</v>
      </c>
      <c r="BF7" t="s">
        <v>2194</v>
      </c>
      <c r="BG7" t="s">
        <v>193</v>
      </c>
      <c r="BI7">
        <v>40279299</v>
      </c>
      <c r="BJ7" t="s">
        <v>7</v>
      </c>
    </row>
    <row r="8" spans="1:63">
      <c r="A8" t="s">
        <v>8</v>
      </c>
      <c r="C8" t="s">
        <v>193</v>
      </c>
      <c r="D8" t="s">
        <v>680</v>
      </c>
      <c r="E8" t="s">
        <v>2195</v>
      </c>
      <c r="F8" t="s">
        <v>193</v>
      </c>
      <c r="M8" t="b">
        <v>1</v>
      </c>
      <c r="BD8" t="s">
        <v>2196</v>
      </c>
      <c r="BE8" t="b">
        <v>1</v>
      </c>
      <c r="BF8" t="s">
        <v>2197</v>
      </c>
      <c r="BG8" t="s">
        <v>193</v>
      </c>
      <c r="BI8">
        <v>41017047</v>
      </c>
      <c r="BJ8" t="s">
        <v>8</v>
      </c>
    </row>
    <row r="9" spans="1:63">
      <c r="A9" t="s">
        <v>9</v>
      </c>
      <c r="C9" t="s">
        <v>193</v>
      </c>
      <c r="D9" t="s">
        <v>680</v>
      </c>
      <c r="E9" t="s">
        <v>2198</v>
      </c>
      <c r="F9" t="s">
        <v>193</v>
      </c>
      <c r="M9" t="b">
        <v>0</v>
      </c>
      <c r="BD9" t="s">
        <v>2199</v>
      </c>
      <c r="BE9" t="b">
        <v>0</v>
      </c>
      <c r="BF9" t="s">
        <v>2200</v>
      </c>
      <c r="BG9" t="s">
        <v>193</v>
      </c>
      <c r="BI9">
        <v>41298024</v>
      </c>
      <c r="BJ9" t="s">
        <v>9</v>
      </c>
    </row>
    <row r="10" spans="1:63">
      <c r="A10" t="s">
        <v>11</v>
      </c>
      <c r="C10" t="s">
        <v>193</v>
      </c>
      <c r="D10" t="s">
        <v>680</v>
      </c>
      <c r="E10" t="s">
        <v>2201</v>
      </c>
      <c r="F10" t="s">
        <v>193</v>
      </c>
      <c r="M10" t="b">
        <v>0</v>
      </c>
      <c r="BD10" t="s">
        <v>2202</v>
      </c>
      <c r="BE10" t="b">
        <v>0</v>
      </c>
      <c r="BF10" t="s">
        <v>2203</v>
      </c>
      <c r="BG10" t="s">
        <v>193</v>
      </c>
      <c r="BI10">
        <v>39870119</v>
      </c>
      <c r="BJ10" t="s">
        <v>11</v>
      </c>
    </row>
    <row r="11" spans="1:63">
      <c r="A11" t="s">
        <v>12</v>
      </c>
      <c r="C11" t="s">
        <v>193</v>
      </c>
      <c r="D11" t="s">
        <v>680</v>
      </c>
      <c r="E11" t="s">
        <v>2204</v>
      </c>
      <c r="F11" t="s">
        <v>193</v>
      </c>
      <c r="M11" t="b">
        <v>1</v>
      </c>
      <c r="BD11" t="s">
        <v>2205</v>
      </c>
      <c r="BE11" t="b">
        <v>1</v>
      </c>
      <c r="BF11" t="s">
        <v>2206</v>
      </c>
      <c r="BG11" t="s">
        <v>193</v>
      </c>
      <c r="BI11">
        <v>41326098</v>
      </c>
      <c r="BJ11" t="s">
        <v>12</v>
      </c>
    </row>
    <row r="12" spans="1:63">
      <c r="A12" t="s">
        <v>13</v>
      </c>
      <c r="C12" t="s">
        <v>193</v>
      </c>
      <c r="D12" t="s">
        <v>680</v>
      </c>
      <c r="E12" t="s">
        <v>2207</v>
      </c>
      <c r="F12" t="s">
        <v>193</v>
      </c>
      <c r="M12" t="b">
        <v>0</v>
      </c>
      <c r="BD12" t="s">
        <v>2208</v>
      </c>
      <c r="BE12" t="b">
        <v>1</v>
      </c>
      <c r="BF12" t="s">
        <v>2209</v>
      </c>
      <c r="BG12" t="s">
        <v>193</v>
      </c>
      <c r="BI12">
        <v>41307028</v>
      </c>
      <c r="BJ12" t="s">
        <v>13</v>
      </c>
    </row>
    <row r="13" spans="1:63">
      <c r="A13" t="s">
        <v>14</v>
      </c>
      <c r="C13" t="s">
        <v>193</v>
      </c>
      <c r="D13" t="s">
        <v>680</v>
      </c>
      <c r="E13" t="s">
        <v>2210</v>
      </c>
      <c r="F13" t="s">
        <v>193</v>
      </c>
      <c r="M13" t="b">
        <v>0</v>
      </c>
      <c r="BD13" t="s">
        <v>2211</v>
      </c>
      <c r="BE13" t="b">
        <v>1</v>
      </c>
      <c r="BF13" t="s">
        <v>2212</v>
      </c>
      <c r="BG13" t="s">
        <v>193</v>
      </c>
      <c r="BI13">
        <v>41376170</v>
      </c>
      <c r="BJ13" t="s">
        <v>14</v>
      </c>
    </row>
    <row r="14" spans="1:63">
      <c r="A14" t="s">
        <v>15</v>
      </c>
      <c r="C14" t="s">
        <v>193</v>
      </c>
      <c r="D14" t="s">
        <v>680</v>
      </c>
      <c r="E14" t="s">
        <v>2213</v>
      </c>
      <c r="F14" t="s">
        <v>193</v>
      </c>
      <c r="M14" t="b">
        <v>0</v>
      </c>
      <c r="BD14" t="s">
        <v>2214</v>
      </c>
      <c r="BE14" t="b">
        <v>1</v>
      </c>
      <c r="BF14" t="s">
        <v>2215</v>
      </c>
      <c r="BG14" t="s">
        <v>193</v>
      </c>
      <c r="BI14">
        <v>41381376</v>
      </c>
      <c r="BJ14" t="s">
        <v>15</v>
      </c>
    </row>
    <row r="15" spans="1:63">
      <c r="A15" t="s">
        <v>16</v>
      </c>
      <c r="C15" t="s">
        <v>193</v>
      </c>
      <c r="D15" t="s">
        <v>680</v>
      </c>
      <c r="E15" t="s">
        <v>2216</v>
      </c>
      <c r="F15" t="s">
        <v>193</v>
      </c>
      <c r="M15" t="b">
        <v>0</v>
      </c>
      <c r="BD15" t="s">
        <v>2217</v>
      </c>
      <c r="BE15" t="b">
        <v>1</v>
      </c>
      <c r="BF15" t="s">
        <v>2218</v>
      </c>
      <c r="BG15" t="s">
        <v>193</v>
      </c>
      <c r="BI15">
        <v>41383463</v>
      </c>
      <c r="BJ15" t="s">
        <v>16</v>
      </c>
    </row>
    <row r="16" spans="1:63">
      <c r="A16" t="s">
        <v>17</v>
      </c>
      <c r="C16" t="s">
        <v>193</v>
      </c>
      <c r="D16" t="s">
        <v>680</v>
      </c>
      <c r="E16" t="s">
        <v>2219</v>
      </c>
      <c r="F16" t="s">
        <v>193</v>
      </c>
      <c r="M16" t="b">
        <v>0</v>
      </c>
      <c r="BD16" t="s">
        <v>2220</v>
      </c>
      <c r="BE16" t="b">
        <v>0</v>
      </c>
      <c r="BF16" t="s">
        <v>2221</v>
      </c>
      <c r="BG16" t="s">
        <v>193</v>
      </c>
      <c r="BI16">
        <v>41395915</v>
      </c>
      <c r="BJ16" t="s">
        <v>17</v>
      </c>
    </row>
    <row r="17" spans="1:62">
      <c r="A17" t="s">
        <v>18</v>
      </c>
      <c r="C17" t="s">
        <v>193</v>
      </c>
      <c r="D17" t="s">
        <v>680</v>
      </c>
      <c r="E17" t="s">
        <v>2222</v>
      </c>
      <c r="F17" t="s">
        <v>193</v>
      </c>
      <c r="M17" t="b">
        <v>0</v>
      </c>
      <c r="BD17" t="s">
        <v>2223</v>
      </c>
      <c r="BE17" t="b">
        <v>0</v>
      </c>
      <c r="BF17" t="s">
        <v>2224</v>
      </c>
      <c r="BG17" t="s">
        <v>193</v>
      </c>
      <c r="BI17">
        <v>41309179</v>
      </c>
      <c r="BJ17" t="s">
        <v>18</v>
      </c>
    </row>
    <row r="18" spans="1:62">
      <c r="A18" t="s">
        <v>20</v>
      </c>
      <c r="C18" t="s">
        <v>193</v>
      </c>
      <c r="D18" t="s">
        <v>680</v>
      </c>
      <c r="E18" t="s">
        <v>2225</v>
      </c>
      <c r="F18" t="s">
        <v>193</v>
      </c>
      <c r="M18" t="b">
        <v>0</v>
      </c>
      <c r="BD18" t="s">
        <v>2226</v>
      </c>
      <c r="BE18" t="b">
        <v>0</v>
      </c>
      <c r="BF18" t="s">
        <v>2227</v>
      </c>
      <c r="BG18" t="s">
        <v>193</v>
      </c>
      <c r="BI18">
        <v>40740292</v>
      </c>
      <c r="BJ18" t="s">
        <v>20</v>
      </c>
    </row>
    <row r="19" spans="1:62">
      <c r="A19" t="s">
        <v>21</v>
      </c>
      <c r="C19" t="s">
        <v>2228</v>
      </c>
      <c r="D19" t="s">
        <v>914</v>
      </c>
      <c r="E19" t="s">
        <v>193</v>
      </c>
      <c r="F19" t="s">
        <v>2229</v>
      </c>
      <c r="H19" t="s">
        <v>2230</v>
      </c>
      <c r="I19" t="s">
        <v>2231</v>
      </c>
      <c r="J19" t="s">
        <v>22</v>
      </c>
      <c r="K19">
        <v>3161645</v>
      </c>
      <c r="L19" t="s">
        <v>22</v>
      </c>
      <c r="M19" t="b">
        <v>0</v>
      </c>
      <c r="O19" t="s">
        <v>2232</v>
      </c>
      <c r="P19" t="s">
        <v>2233</v>
      </c>
      <c r="Q19" t="s">
        <v>2232</v>
      </c>
      <c r="R19" t="s">
        <v>2233</v>
      </c>
      <c r="X19" t="s">
        <v>2234</v>
      </c>
      <c r="Y19" t="s">
        <v>2235</v>
      </c>
      <c r="Z19" t="s">
        <v>2236</v>
      </c>
      <c r="AA19" t="s">
        <v>2237</v>
      </c>
      <c r="AC19" t="s">
        <v>2238</v>
      </c>
      <c r="AD19" t="s">
        <v>2239</v>
      </c>
      <c r="AE19" t="s">
        <v>193</v>
      </c>
      <c r="AF19">
        <v>50027</v>
      </c>
      <c r="AH19" t="s">
        <v>2240</v>
      </c>
      <c r="AI19" t="s">
        <v>2241</v>
      </c>
      <c r="AJ19" t="s">
        <v>925</v>
      </c>
      <c r="AK19" t="s">
        <v>193</v>
      </c>
      <c r="AM19" t="b">
        <v>0</v>
      </c>
      <c r="AN19" t="s">
        <v>193</v>
      </c>
      <c r="AO19" t="s">
        <v>2242</v>
      </c>
      <c r="AP19" t="s">
        <v>193</v>
      </c>
      <c r="AU19" t="s">
        <v>2234</v>
      </c>
      <c r="AV19" t="b">
        <v>0</v>
      </c>
      <c r="AW19" t="s">
        <v>193</v>
      </c>
      <c r="AX19" t="s">
        <v>193</v>
      </c>
      <c r="AY19" t="s">
        <v>2243</v>
      </c>
      <c r="AZ19" t="s">
        <v>2244</v>
      </c>
      <c r="BA19" t="s">
        <v>2245</v>
      </c>
      <c r="BB19" t="s">
        <v>929</v>
      </c>
      <c r="BC19" t="b">
        <v>0</v>
      </c>
      <c r="BD19" t="s">
        <v>2246</v>
      </c>
      <c r="BE19" t="b">
        <v>0</v>
      </c>
      <c r="BF19" t="s">
        <v>2247</v>
      </c>
      <c r="BG19" t="s">
        <v>193</v>
      </c>
      <c r="BI19">
        <v>41241229</v>
      </c>
      <c r="BJ19" t="s">
        <v>21</v>
      </c>
    </row>
    <row r="20" spans="1:62">
      <c r="A20" t="s">
        <v>23</v>
      </c>
      <c r="C20" t="s">
        <v>2228</v>
      </c>
      <c r="D20" t="s">
        <v>914</v>
      </c>
      <c r="E20" t="s">
        <v>193</v>
      </c>
      <c r="F20" t="s">
        <v>2248</v>
      </c>
      <c r="H20" t="s">
        <v>2249</v>
      </c>
      <c r="J20" t="s">
        <v>24</v>
      </c>
      <c r="L20" t="s">
        <v>24</v>
      </c>
      <c r="M20" t="b">
        <v>0</v>
      </c>
      <c r="O20" t="s">
        <v>2232</v>
      </c>
      <c r="P20" t="s">
        <v>2233</v>
      </c>
      <c r="Q20" t="s">
        <v>2232</v>
      </c>
      <c r="R20" t="s">
        <v>2233</v>
      </c>
      <c r="T20" t="s">
        <v>2232</v>
      </c>
      <c r="U20" t="s">
        <v>2250</v>
      </c>
      <c r="W20" t="s">
        <v>2251</v>
      </c>
      <c r="X20" t="s">
        <v>2234</v>
      </c>
      <c r="Y20" t="s">
        <v>2252</v>
      </c>
      <c r="Z20" t="s">
        <v>2232</v>
      </c>
      <c r="AA20" t="s">
        <v>2253</v>
      </c>
      <c r="AB20" t="s">
        <v>2251</v>
      </c>
      <c r="AC20" t="s">
        <v>2254</v>
      </c>
      <c r="AD20" t="s">
        <v>2255</v>
      </c>
      <c r="AE20" t="s">
        <v>193</v>
      </c>
      <c r="AF20">
        <v>26659</v>
      </c>
      <c r="AH20" t="s">
        <v>2256</v>
      </c>
      <c r="AI20" t="s">
        <v>2241</v>
      </c>
      <c r="AJ20" t="s">
        <v>2257</v>
      </c>
      <c r="AK20" t="s">
        <v>193</v>
      </c>
      <c r="AM20" t="b">
        <v>0</v>
      </c>
      <c r="AN20" t="s">
        <v>193</v>
      </c>
      <c r="AO20" t="s">
        <v>2258</v>
      </c>
      <c r="AP20" t="s">
        <v>193</v>
      </c>
      <c r="AU20" t="s">
        <v>2234</v>
      </c>
      <c r="AV20" t="b">
        <v>0</v>
      </c>
      <c r="AW20" t="s">
        <v>193</v>
      </c>
      <c r="AX20" t="s">
        <v>2259</v>
      </c>
      <c r="AY20" t="s">
        <v>2260</v>
      </c>
      <c r="AZ20" t="s">
        <v>2261</v>
      </c>
      <c r="BA20" t="s">
        <v>2245</v>
      </c>
      <c r="BB20" t="s">
        <v>2262</v>
      </c>
      <c r="BC20" t="b">
        <v>0</v>
      </c>
      <c r="BD20" t="s">
        <v>2263</v>
      </c>
      <c r="BE20" t="b">
        <v>0</v>
      </c>
      <c r="BF20" t="s">
        <v>2264</v>
      </c>
      <c r="BG20" t="s">
        <v>193</v>
      </c>
      <c r="BI20">
        <v>41285668</v>
      </c>
      <c r="BJ20" t="s">
        <v>23</v>
      </c>
    </row>
    <row r="21" spans="1:62">
      <c r="A21" t="s">
        <v>25</v>
      </c>
      <c r="C21" t="s">
        <v>2228</v>
      </c>
      <c r="D21" t="s">
        <v>2265</v>
      </c>
      <c r="E21" t="s">
        <v>2266</v>
      </c>
      <c r="F21" t="s">
        <v>2267</v>
      </c>
      <c r="H21" t="s">
        <v>2249</v>
      </c>
      <c r="J21" t="s">
        <v>24</v>
      </c>
      <c r="L21" t="s">
        <v>24</v>
      </c>
      <c r="M21" t="b">
        <v>1</v>
      </c>
      <c r="O21" t="s">
        <v>2232</v>
      </c>
      <c r="P21" t="s">
        <v>2233</v>
      </c>
      <c r="Q21" t="s">
        <v>2232</v>
      </c>
      <c r="R21" t="s">
        <v>2233</v>
      </c>
      <c r="T21" t="s">
        <v>2232</v>
      </c>
      <c r="U21" t="s">
        <v>2250</v>
      </c>
      <c r="X21" t="s">
        <v>2234</v>
      </c>
      <c r="Y21" t="s">
        <v>2268</v>
      </c>
      <c r="Z21" t="s">
        <v>2232</v>
      </c>
      <c r="AA21" t="s">
        <v>2253</v>
      </c>
      <c r="AC21" t="s">
        <v>2254</v>
      </c>
      <c r="AD21" t="s">
        <v>2269</v>
      </c>
      <c r="AE21" t="s">
        <v>193</v>
      </c>
      <c r="AF21">
        <v>67964</v>
      </c>
      <c r="AH21" t="s">
        <v>2270</v>
      </c>
      <c r="AI21" t="s">
        <v>2271</v>
      </c>
      <c r="AJ21" t="s">
        <v>2257</v>
      </c>
      <c r="AK21" t="s">
        <v>193</v>
      </c>
      <c r="AM21" t="b">
        <v>0</v>
      </c>
      <c r="AN21" t="s">
        <v>193</v>
      </c>
      <c r="AO21" t="s">
        <v>2272</v>
      </c>
      <c r="AP21" t="s">
        <v>193</v>
      </c>
      <c r="AQ21" t="s">
        <v>2251</v>
      </c>
      <c r="AS21" t="s">
        <v>670</v>
      </c>
      <c r="AT21" t="s">
        <v>699</v>
      </c>
      <c r="AU21" t="s">
        <v>2234</v>
      </c>
      <c r="AV21" t="b">
        <v>0</v>
      </c>
      <c r="AW21" t="s">
        <v>193</v>
      </c>
      <c r="AX21" t="s">
        <v>2259</v>
      </c>
      <c r="AY21" t="s">
        <v>2273</v>
      </c>
      <c r="AZ21" t="s">
        <v>2274</v>
      </c>
      <c r="BA21" t="s">
        <v>2245</v>
      </c>
      <c r="BB21" t="s">
        <v>2275</v>
      </c>
      <c r="BC21" t="b">
        <v>0</v>
      </c>
      <c r="BD21" t="s">
        <v>2276</v>
      </c>
      <c r="BE21" t="b">
        <v>0</v>
      </c>
      <c r="BF21" t="s">
        <v>2277</v>
      </c>
      <c r="BG21" t="s">
        <v>2278</v>
      </c>
      <c r="BI21">
        <v>41085806</v>
      </c>
      <c r="BJ21" t="s">
        <v>25</v>
      </c>
    </row>
    <row r="22" spans="1:62">
      <c r="A22" t="s">
        <v>26</v>
      </c>
      <c r="C22" t="s">
        <v>2228</v>
      </c>
      <c r="D22" t="s">
        <v>2265</v>
      </c>
      <c r="E22" t="s">
        <v>2279</v>
      </c>
      <c r="F22" t="s">
        <v>2280</v>
      </c>
      <c r="H22" t="s">
        <v>2249</v>
      </c>
      <c r="J22" t="s">
        <v>24</v>
      </c>
      <c r="L22" t="s">
        <v>24</v>
      </c>
      <c r="M22" t="b">
        <v>0</v>
      </c>
      <c r="O22" t="s">
        <v>2232</v>
      </c>
      <c r="P22" t="s">
        <v>2233</v>
      </c>
      <c r="Q22" t="s">
        <v>2232</v>
      </c>
      <c r="R22" t="s">
        <v>2233</v>
      </c>
      <c r="T22" t="s">
        <v>2232</v>
      </c>
      <c r="U22" t="s">
        <v>2250</v>
      </c>
      <c r="W22" t="s">
        <v>2251</v>
      </c>
      <c r="X22" t="s">
        <v>2234</v>
      </c>
      <c r="Y22" t="s">
        <v>2281</v>
      </c>
      <c r="Z22" t="s">
        <v>2232</v>
      </c>
      <c r="AA22" t="s">
        <v>2253</v>
      </c>
      <c r="AB22" t="s">
        <v>2251</v>
      </c>
      <c r="AC22" t="s">
        <v>2254</v>
      </c>
      <c r="AD22" t="s">
        <v>2269</v>
      </c>
      <c r="AE22" t="s">
        <v>193</v>
      </c>
      <c r="AF22">
        <v>84441</v>
      </c>
      <c r="AH22" t="s">
        <v>2256</v>
      </c>
      <c r="AI22" t="s">
        <v>2282</v>
      </c>
      <c r="AJ22" t="s">
        <v>2257</v>
      </c>
      <c r="AK22" t="s">
        <v>193</v>
      </c>
      <c r="AM22" t="b">
        <v>0</v>
      </c>
      <c r="AN22" t="s">
        <v>193</v>
      </c>
      <c r="AO22" t="s">
        <v>2283</v>
      </c>
      <c r="AP22" t="s">
        <v>193</v>
      </c>
      <c r="AS22" t="s">
        <v>670</v>
      </c>
      <c r="AT22" t="s">
        <v>699</v>
      </c>
      <c r="AU22" t="s">
        <v>2234</v>
      </c>
      <c r="AV22" t="b">
        <v>0</v>
      </c>
      <c r="AW22" t="s">
        <v>193</v>
      </c>
      <c r="AX22" t="s">
        <v>2259</v>
      </c>
      <c r="AY22" t="s">
        <v>2284</v>
      </c>
      <c r="AZ22" t="s">
        <v>2285</v>
      </c>
      <c r="BA22" t="s">
        <v>2245</v>
      </c>
      <c r="BB22" t="s">
        <v>2286</v>
      </c>
      <c r="BC22" t="b">
        <v>0</v>
      </c>
      <c r="BD22" t="s">
        <v>2287</v>
      </c>
      <c r="BE22" t="b">
        <v>0</v>
      </c>
      <c r="BF22" t="s">
        <v>2288</v>
      </c>
      <c r="BG22" t="s">
        <v>193</v>
      </c>
      <c r="BI22">
        <v>40151520</v>
      </c>
      <c r="BJ22" t="s">
        <v>26</v>
      </c>
    </row>
    <row r="23" spans="1:62">
      <c r="A23" t="s">
        <v>27</v>
      </c>
      <c r="C23" t="s">
        <v>2228</v>
      </c>
      <c r="D23" t="s">
        <v>2265</v>
      </c>
      <c r="E23" t="s">
        <v>2289</v>
      </c>
      <c r="F23" t="s">
        <v>2280</v>
      </c>
      <c r="H23" t="s">
        <v>2249</v>
      </c>
      <c r="J23" t="s">
        <v>24</v>
      </c>
      <c r="L23" t="s">
        <v>24</v>
      </c>
      <c r="M23" t="b">
        <v>0</v>
      </c>
      <c r="O23" t="s">
        <v>2232</v>
      </c>
      <c r="P23" t="s">
        <v>2233</v>
      </c>
      <c r="Q23" t="s">
        <v>2232</v>
      </c>
      <c r="R23" t="s">
        <v>2233</v>
      </c>
      <c r="T23" t="s">
        <v>2232</v>
      </c>
      <c r="U23" t="s">
        <v>2250</v>
      </c>
      <c r="W23" t="s">
        <v>2251</v>
      </c>
      <c r="X23" t="s">
        <v>2234</v>
      </c>
      <c r="Y23" t="s">
        <v>2290</v>
      </c>
      <c r="Z23" t="s">
        <v>2232</v>
      </c>
      <c r="AA23" t="s">
        <v>2253</v>
      </c>
      <c r="AB23" t="s">
        <v>2251</v>
      </c>
      <c r="AC23" t="s">
        <v>2254</v>
      </c>
      <c r="AD23" t="s">
        <v>2269</v>
      </c>
      <c r="AE23" t="s">
        <v>193</v>
      </c>
      <c r="AF23">
        <v>59975</v>
      </c>
      <c r="AH23" t="s">
        <v>2291</v>
      </c>
      <c r="AI23" t="s">
        <v>2292</v>
      </c>
      <c r="AJ23" t="s">
        <v>946</v>
      </c>
      <c r="AK23" t="s">
        <v>193</v>
      </c>
      <c r="AM23" t="b">
        <v>0</v>
      </c>
      <c r="AN23" t="s">
        <v>193</v>
      </c>
      <c r="AO23" t="s">
        <v>2293</v>
      </c>
      <c r="AP23" t="s">
        <v>193</v>
      </c>
      <c r="AS23" t="s">
        <v>670</v>
      </c>
      <c r="AT23" t="s">
        <v>699</v>
      </c>
      <c r="AU23" t="s">
        <v>2234</v>
      </c>
      <c r="AV23" t="b">
        <v>0</v>
      </c>
      <c r="AW23" t="s">
        <v>193</v>
      </c>
      <c r="AX23" t="s">
        <v>2259</v>
      </c>
      <c r="AY23" t="s">
        <v>2294</v>
      </c>
      <c r="AZ23" t="s">
        <v>2295</v>
      </c>
      <c r="BA23" t="s">
        <v>2245</v>
      </c>
      <c r="BB23" t="s">
        <v>2296</v>
      </c>
      <c r="BC23" t="b">
        <v>0</v>
      </c>
      <c r="BD23" t="s">
        <v>2297</v>
      </c>
      <c r="BE23" t="b">
        <v>1</v>
      </c>
      <c r="BF23" t="s">
        <v>2298</v>
      </c>
      <c r="BG23" t="s">
        <v>2299</v>
      </c>
      <c r="BI23">
        <v>38557627</v>
      </c>
      <c r="BJ23" t="s">
        <v>27</v>
      </c>
    </row>
    <row r="24" spans="1:62">
      <c r="A24" t="s">
        <v>28</v>
      </c>
      <c r="C24" t="s">
        <v>2228</v>
      </c>
      <c r="D24" t="s">
        <v>2265</v>
      </c>
      <c r="E24" t="s">
        <v>2300</v>
      </c>
      <c r="F24" t="s">
        <v>2248</v>
      </c>
      <c r="H24" t="s">
        <v>2249</v>
      </c>
      <c r="J24" t="s">
        <v>24</v>
      </c>
      <c r="L24" t="s">
        <v>24</v>
      </c>
      <c r="M24" t="b">
        <v>1</v>
      </c>
      <c r="O24" t="s">
        <v>2232</v>
      </c>
      <c r="P24" t="s">
        <v>2233</v>
      </c>
      <c r="Q24" t="s">
        <v>2232</v>
      </c>
      <c r="R24" t="s">
        <v>2233</v>
      </c>
      <c r="T24" t="s">
        <v>2232</v>
      </c>
      <c r="U24" t="s">
        <v>2250</v>
      </c>
      <c r="W24" t="s">
        <v>2251</v>
      </c>
      <c r="X24" t="s">
        <v>2234</v>
      </c>
      <c r="Y24" t="s">
        <v>2301</v>
      </c>
      <c r="Z24" t="s">
        <v>2232</v>
      </c>
      <c r="AA24" t="s">
        <v>2253</v>
      </c>
      <c r="AB24" t="s">
        <v>2251</v>
      </c>
      <c r="AC24" t="s">
        <v>2254</v>
      </c>
      <c r="AD24" t="s">
        <v>2302</v>
      </c>
      <c r="AE24" t="s">
        <v>193</v>
      </c>
      <c r="AF24">
        <v>54062</v>
      </c>
      <c r="AH24" t="s">
        <v>2303</v>
      </c>
      <c r="AI24" t="s">
        <v>2304</v>
      </c>
      <c r="AJ24" t="s">
        <v>2257</v>
      </c>
      <c r="AK24" t="s">
        <v>193</v>
      </c>
      <c r="AM24" t="b">
        <v>0</v>
      </c>
      <c r="AN24" t="s">
        <v>193</v>
      </c>
      <c r="AO24" t="s">
        <v>2305</v>
      </c>
      <c r="AP24" t="s">
        <v>193</v>
      </c>
      <c r="AU24" t="s">
        <v>2234</v>
      </c>
      <c r="AV24" t="b">
        <v>0</v>
      </c>
      <c r="AW24" t="s">
        <v>193</v>
      </c>
      <c r="AX24" t="s">
        <v>2259</v>
      </c>
      <c r="AY24" t="s">
        <v>2306</v>
      </c>
      <c r="AZ24" t="s">
        <v>2307</v>
      </c>
      <c r="BA24" t="s">
        <v>2245</v>
      </c>
      <c r="BB24" t="s">
        <v>2308</v>
      </c>
      <c r="BC24" t="b">
        <v>0</v>
      </c>
      <c r="BD24" t="s">
        <v>2309</v>
      </c>
      <c r="BE24" t="b">
        <v>1</v>
      </c>
      <c r="BF24" t="s">
        <v>2310</v>
      </c>
      <c r="BG24" t="s">
        <v>2311</v>
      </c>
      <c r="BI24">
        <v>41218565</v>
      </c>
      <c r="BJ24" t="s">
        <v>28</v>
      </c>
    </row>
    <row r="25" spans="1:62">
      <c r="A25" t="s">
        <v>29</v>
      </c>
      <c r="C25" t="s">
        <v>2228</v>
      </c>
      <c r="D25" t="s">
        <v>2265</v>
      </c>
      <c r="E25" t="s">
        <v>2312</v>
      </c>
      <c r="F25" t="s">
        <v>2267</v>
      </c>
      <c r="H25" t="s">
        <v>2249</v>
      </c>
      <c r="J25" t="s">
        <v>24</v>
      </c>
      <c r="L25" t="s">
        <v>24</v>
      </c>
      <c r="M25" t="b">
        <v>0</v>
      </c>
      <c r="O25" t="s">
        <v>2232</v>
      </c>
      <c r="P25" t="s">
        <v>2233</v>
      </c>
      <c r="Q25" t="s">
        <v>2232</v>
      </c>
      <c r="R25" t="s">
        <v>2233</v>
      </c>
      <c r="T25" t="s">
        <v>2232</v>
      </c>
      <c r="U25" t="s">
        <v>2250</v>
      </c>
      <c r="X25" t="s">
        <v>2234</v>
      </c>
      <c r="Y25" t="s">
        <v>2313</v>
      </c>
      <c r="Z25" t="s">
        <v>2232</v>
      </c>
      <c r="AA25" t="s">
        <v>2253</v>
      </c>
      <c r="AC25" t="s">
        <v>2254</v>
      </c>
      <c r="AD25" t="s">
        <v>2269</v>
      </c>
      <c r="AE25" t="s">
        <v>193</v>
      </c>
      <c r="AF25">
        <v>46159</v>
      </c>
      <c r="AH25" t="s">
        <v>2314</v>
      </c>
      <c r="AI25" t="s">
        <v>2315</v>
      </c>
      <c r="AJ25" t="s">
        <v>2316</v>
      </c>
      <c r="AK25" t="s">
        <v>193</v>
      </c>
      <c r="AM25" t="b">
        <v>0</v>
      </c>
      <c r="AN25" t="s">
        <v>193</v>
      </c>
      <c r="AO25" t="s">
        <v>2317</v>
      </c>
      <c r="AP25" t="s">
        <v>193</v>
      </c>
      <c r="AQ25" t="s">
        <v>2251</v>
      </c>
      <c r="AS25" t="s">
        <v>670</v>
      </c>
      <c r="AT25" t="s">
        <v>699</v>
      </c>
      <c r="AU25" t="s">
        <v>2234</v>
      </c>
      <c r="AV25" t="b">
        <v>0</v>
      </c>
      <c r="AW25" t="s">
        <v>193</v>
      </c>
      <c r="AX25" t="s">
        <v>193</v>
      </c>
      <c r="AY25" t="s">
        <v>2318</v>
      </c>
      <c r="AZ25" t="s">
        <v>2319</v>
      </c>
      <c r="BA25" t="s">
        <v>2245</v>
      </c>
      <c r="BB25" t="s">
        <v>2320</v>
      </c>
      <c r="BC25" t="b">
        <v>0</v>
      </c>
      <c r="BD25" t="s">
        <v>2321</v>
      </c>
      <c r="BE25" t="b">
        <v>0</v>
      </c>
      <c r="BF25" t="s">
        <v>2322</v>
      </c>
      <c r="BG25" t="s">
        <v>193</v>
      </c>
      <c r="BI25">
        <v>40055487</v>
      </c>
      <c r="BJ25" t="s">
        <v>29</v>
      </c>
    </row>
    <row r="26" spans="1:62">
      <c r="A26" t="s">
        <v>30</v>
      </c>
      <c r="C26" t="s">
        <v>2228</v>
      </c>
      <c r="D26" t="s">
        <v>2265</v>
      </c>
      <c r="E26" t="s">
        <v>2323</v>
      </c>
      <c r="F26" t="s">
        <v>2280</v>
      </c>
      <c r="H26" t="s">
        <v>2249</v>
      </c>
      <c r="J26" t="s">
        <v>24</v>
      </c>
      <c r="L26" t="s">
        <v>24</v>
      </c>
      <c r="M26" t="b">
        <v>0</v>
      </c>
      <c r="O26" t="s">
        <v>2232</v>
      </c>
      <c r="P26" t="s">
        <v>2233</v>
      </c>
      <c r="Q26" t="s">
        <v>2232</v>
      </c>
      <c r="R26" t="s">
        <v>2233</v>
      </c>
      <c r="T26" t="s">
        <v>2232</v>
      </c>
      <c r="U26" t="s">
        <v>2250</v>
      </c>
      <c r="W26" t="s">
        <v>2251</v>
      </c>
      <c r="X26" t="s">
        <v>2234</v>
      </c>
      <c r="Y26" t="s">
        <v>2324</v>
      </c>
      <c r="Z26" t="s">
        <v>2232</v>
      </c>
      <c r="AA26" t="s">
        <v>2253</v>
      </c>
      <c r="AB26" t="s">
        <v>2251</v>
      </c>
      <c r="AC26" t="s">
        <v>2254</v>
      </c>
      <c r="AD26" t="s">
        <v>2269</v>
      </c>
      <c r="AE26" t="s">
        <v>193</v>
      </c>
      <c r="AF26">
        <v>101174</v>
      </c>
      <c r="AH26" t="s">
        <v>2291</v>
      </c>
      <c r="AI26" t="s">
        <v>2325</v>
      </c>
      <c r="AJ26" t="s">
        <v>2316</v>
      </c>
      <c r="AK26" t="s">
        <v>193</v>
      </c>
      <c r="AM26" t="b">
        <v>0</v>
      </c>
      <c r="AN26" t="s">
        <v>193</v>
      </c>
      <c r="AO26" t="s">
        <v>2326</v>
      </c>
      <c r="AP26" t="s">
        <v>193</v>
      </c>
      <c r="AS26" t="s">
        <v>670</v>
      </c>
      <c r="AT26" t="s">
        <v>699</v>
      </c>
      <c r="AU26" t="s">
        <v>2234</v>
      </c>
      <c r="AV26" t="b">
        <v>0</v>
      </c>
      <c r="AW26" t="s">
        <v>193</v>
      </c>
      <c r="AX26" t="s">
        <v>193</v>
      </c>
      <c r="AY26" t="s">
        <v>2327</v>
      </c>
      <c r="AZ26" t="s">
        <v>2328</v>
      </c>
      <c r="BA26" t="s">
        <v>2245</v>
      </c>
      <c r="BB26" t="s">
        <v>2329</v>
      </c>
      <c r="BC26" t="b">
        <v>0</v>
      </c>
      <c r="BD26" t="s">
        <v>2330</v>
      </c>
      <c r="BE26" t="b">
        <v>0</v>
      </c>
      <c r="BF26" t="s">
        <v>2331</v>
      </c>
      <c r="BG26" t="s">
        <v>193</v>
      </c>
      <c r="BI26">
        <v>39345655</v>
      </c>
      <c r="BJ26" t="s">
        <v>30</v>
      </c>
    </row>
    <row r="27" spans="1:62">
      <c r="A27" t="s">
        <v>31</v>
      </c>
      <c r="C27" t="s">
        <v>2228</v>
      </c>
      <c r="D27" t="s">
        <v>914</v>
      </c>
      <c r="E27" t="s">
        <v>2332</v>
      </c>
      <c r="F27" t="s">
        <v>2333</v>
      </c>
      <c r="H27" t="s">
        <v>667</v>
      </c>
      <c r="I27" t="s">
        <v>2231</v>
      </c>
      <c r="J27" t="s">
        <v>32</v>
      </c>
      <c r="K27">
        <v>3062402</v>
      </c>
      <c r="L27" t="s">
        <v>32</v>
      </c>
      <c r="M27" t="b">
        <v>0</v>
      </c>
      <c r="O27" t="s">
        <v>2232</v>
      </c>
      <c r="P27" t="s">
        <v>2233</v>
      </c>
      <c r="Q27" t="s">
        <v>2232</v>
      </c>
      <c r="R27" t="s">
        <v>2233</v>
      </c>
      <c r="V27" t="s">
        <v>2334</v>
      </c>
      <c r="W27" t="s">
        <v>2335</v>
      </c>
      <c r="X27" t="s">
        <v>2234</v>
      </c>
      <c r="Y27" t="s">
        <v>2336</v>
      </c>
      <c r="Z27" t="s">
        <v>2236</v>
      </c>
      <c r="AA27" t="s">
        <v>2237</v>
      </c>
      <c r="AB27" t="s">
        <v>2236</v>
      </c>
      <c r="AC27" t="s">
        <v>2337</v>
      </c>
      <c r="AD27" t="s">
        <v>2338</v>
      </c>
      <c r="AE27" t="s">
        <v>193</v>
      </c>
      <c r="AF27">
        <v>59859</v>
      </c>
      <c r="AH27" t="s">
        <v>2339</v>
      </c>
      <c r="AI27" t="s">
        <v>2340</v>
      </c>
      <c r="AJ27" t="s">
        <v>2341</v>
      </c>
      <c r="AK27" t="s">
        <v>193</v>
      </c>
      <c r="AM27" t="b">
        <v>0</v>
      </c>
      <c r="AN27" t="s">
        <v>193</v>
      </c>
      <c r="AO27" t="s">
        <v>2342</v>
      </c>
      <c r="AP27" t="s">
        <v>193</v>
      </c>
      <c r="AU27" t="s">
        <v>2234</v>
      </c>
      <c r="AV27" t="b">
        <v>0</v>
      </c>
      <c r="AW27" t="s">
        <v>193</v>
      </c>
      <c r="AX27" t="s">
        <v>193</v>
      </c>
      <c r="AY27" t="s">
        <v>2343</v>
      </c>
      <c r="AZ27" t="s">
        <v>2344</v>
      </c>
      <c r="BA27" t="s">
        <v>2245</v>
      </c>
      <c r="BB27" t="s">
        <v>1040</v>
      </c>
      <c r="BC27" t="b">
        <v>0</v>
      </c>
      <c r="BD27" t="s">
        <v>2345</v>
      </c>
      <c r="BE27" t="b">
        <v>0</v>
      </c>
      <c r="BF27" t="s">
        <v>2346</v>
      </c>
      <c r="BG27" t="s">
        <v>193</v>
      </c>
      <c r="BI27">
        <v>40952759</v>
      </c>
      <c r="BJ27" t="s">
        <v>31</v>
      </c>
    </row>
    <row r="28" spans="1:62">
      <c r="A28" t="s">
        <v>33</v>
      </c>
      <c r="C28" t="s">
        <v>2228</v>
      </c>
      <c r="D28" t="s">
        <v>914</v>
      </c>
      <c r="E28" t="s">
        <v>2347</v>
      </c>
      <c r="F28" t="s">
        <v>2267</v>
      </c>
      <c r="J28" t="s">
        <v>34</v>
      </c>
      <c r="L28" t="s">
        <v>34</v>
      </c>
      <c r="M28" t="b">
        <v>0</v>
      </c>
      <c r="O28" t="s">
        <v>2232</v>
      </c>
      <c r="P28" t="s">
        <v>2233</v>
      </c>
      <c r="Q28" t="s">
        <v>2232</v>
      </c>
      <c r="R28" t="s">
        <v>2233</v>
      </c>
      <c r="T28" t="s">
        <v>2232</v>
      </c>
      <c r="U28" t="s">
        <v>2250</v>
      </c>
      <c r="V28" t="s">
        <v>2348</v>
      </c>
      <c r="X28" t="s">
        <v>2234</v>
      </c>
      <c r="Y28" t="s">
        <v>2349</v>
      </c>
      <c r="Z28" t="s">
        <v>2232</v>
      </c>
      <c r="AA28" t="s">
        <v>2253</v>
      </c>
      <c r="AC28" t="s">
        <v>2350</v>
      </c>
      <c r="AD28" t="s">
        <v>2351</v>
      </c>
      <c r="AE28" t="s">
        <v>193</v>
      </c>
      <c r="AF28">
        <v>112711</v>
      </c>
      <c r="AH28" t="s">
        <v>2314</v>
      </c>
      <c r="AI28" t="s">
        <v>2315</v>
      </c>
      <c r="AJ28" t="s">
        <v>2352</v>
      </c>
      <c r="AK28" t="s">
        <v>193</v>
      </c>
      <c r="AM28" t="b">
        <v>0</v>
      </c>
      <c r="AN28" t="s">
        <v>193</v>
      </c>
      <c r="AO28" t="s">
        <v>2353</v>
      </c>
      <c r="AP28" t="s">
        <v>193</v>
      </c>
      <c r="AQ28" t="s">
        <v>2251</v>
      </c>
      <c r="AS28" t="s">
        <v>670</v>
      </c>
      <c r="AT28" t="s">
        <v>699</v>
      </c>
      <c r="AU28" t="s">
        <v>2234</v>
      </c>
      <c r="AV28" t="b">
        <v>0</v>
      </c>
      <c r="AW28" t="s">
        <v>193</v>
      </c>
      <c r="AX28" t="s">
        <v>193</v>
      </c>
      <c r="AY28" t="s">
        <v>2354</v>
      </c>
      <c r="AZ28" t="s">
        <v>2355</v>
      </c>
      <c r="BA28" t="s">
        <v>2245</v>
      </c>
      <c r="BB28" t="s">
        <v>2356</v>
      </c>
      <c r="BC28" t="b">
        <v>0</v>
      </c>
      <c r="BD28" t="s">
        <v>2357</v>
      </c>
      <c r="BE28" t="b">
        <v>0</v>
      </c>
      <c r="BF28" t="s">
        <v>2353</v>
      </c>
      <c r="BG28" t="s">
        <v>193</v>
      </c>
      <c r="BI28">
        <v>41370416</v>
      </c>
      <c r="BJ28" t="s">
        <v>33</v>
      </c>
    </row>
    <row r="29" spans="1:62">
      <c r="A29" t="s">
        <v>35</v>
      </c>
      <c r="C29" t="s">
        <v>2228</v>
      </c>
      <c r="D29" t="s">
        <v>914</v>
      </c>
      <c r="E29" t="s">
        <v>193</v>
      </c>
      <c r="F29" t="s">
        <v>2358</v>
      </c>
      <c r="H29" t="s">
        <v>2230</v>
      </c>
      <c r="I29" t="s">
        <v>2231</v>
      </c>
      <c r="J29" t="s">
        <v>36</v>
      </c>
      <c r="K29">
        <v>3223149</v>
      </c>
      <c r="L29" t="s">
        <v>36</v>
      </c>
      <c r="M29" t="b">
        <v>1</v>
      </c>
      <c r="O29" t="s">
        <v>2232</v>
      </c>
      <c r="P29" t="s">
        <v>2233</v>
      </c>
      <c r="Q29" t="s">
        <v>2232</v>
      </c>
      <c r="R29" t="s">
        <v>2233</v>
      </c>
      <c r="X29" t="s">
        <v>2234</v>
      </c>
      <c r="Y29" t="s">
        <v>2359</v>
      </c>
      <c r="Z29" t="s">
        <v>2236</v>
      </c>
      <c r="AA29" t="s">
        <v>2237</v>
      </c>
      <c r="AC29" t="s">
        <v>2360</v>
      </c>
      <c r="AD29" t="s">
        <v>2361</v>
      </c>
      <c r="AE29" t="s">
        <v>193</v>
      </c>
      <c r="AF29">
        <v>140771</v>
      </c>
      <c r="AH29" t="s">
        <v>2362</v>
      </c>
      <c r="AI29" t="s">
        <v>2363</v>
      </c>
      <c r="AJ29" t="s">
        <v>1070</v>
      </c>
      <c r="AK29" t="s">
        <v>193</v>
      </c>
      <c r="AM29" t="b">
        <v>0</v>
      </c>
      <c r="AN29" t="s">
        <v>193</v>
      </c>
      <c r="AO29" t="s">
        <v>2364</v>
      </c>
      <c r="AP29" t="s">
        <v>193</v>
      </c>
      <c r="AQ29" t="s">
        <v>2365</v>
      </c>
      <c r="AU29" t="s">
        <v>2234</v>
      </c>
      <c r="AV29" t="b">
        <v>0</v>
      </c>
      <c r="AW29" t="s">
        <v>193</v>
      </c>
      <c r="AX29" t="s">
        <v>2259</v>
      </c>
      <c r="AY29" t="s">
        <v>2366</v>
      </c>
      <c r="AZ29" t="s">
        <v>2367</v>
      </c>
      <c r="BA29" t="s">
        <v>2245</v>
      </c>
      <c r="BB29" t="s">
        <v>1074</v>
      </c>
      <c r="BC29" t="b">
        <v>0</v>
      </c>
      <c r="BD29" t="s">
        <v>2368</v>
      </c>
      <c r="BE29" t="b">
        <v>1</v>
      </c>
      <c r="BF29" t="s">
        <v>2369</v>
      </c>
      <c r="BG29" t="s">
        <v>2370</v>
      </c>
      <c r="BI29">
        <v>41398674</v>
      </c>
      <c r="BJ29" t="s">
        <v>35</v>
      </c>
    </row>
    <row r="30" spans="1:62">
      <c r="A30" t="s">
        <v>37</v>
      </c>
      <c r="C30" t="s">
        <v>2228</v>
      </c>
      <c r="D30" t="s">
        <v>914</v>
      </c>
      <c r="E30" t="s">
        <v>193</v>
      </c>
      <c r="F30" t="s">
        <v>2248</v>
      </c>
      <c r="H30" t="s">
        <v>2249</v>
      </c>
      <c r="J30" t="s">
        <v>38</v>
      </c>
      <c r="L30" t="s">
        <v>38</v>
      </c>
      <c r="M30" t="b">
        <v>0</v>
      </c>
      <c r="O30" t="s">
        <v>2232</v>
      </c>
      <c r="P30" t="s">
        <v>2233</v>
      </c>
      <c r="Q30" t="s">
        <v>2232</v>
      </c>
      <c r="R30" t="s">
        <v>2233</v>
      </c>
      <c r="T30" t="s">
        <v>2232</v>
      </c>
      <c r="U30" t="s">
        <v>2250</v>
      </c>
      <c r="V30" t="s">
        <v>2371</v>
      </c>
      <c r="W30" t="s">
        <v>2372</v>
      </c>
      <c r="X30" t="s">
        <v>2234</v>
      </c>
      <c r="Y30" t="s">
        <v>2373</v>
      </c>
      <c r="Z30" t="s">
        <v>2236</v>
      </c>
      <c r="AA30" t="s">
        <v>2237</v>
      </c>
      <c r="AB30" t="s">
        <v>2374</v>
      </c>
      <c r="AC30" t="s">
        <v>2375</v>
      </c>
      <c r="AD30" t="s">
        <v>2376</v>
      </c>
      <c r="AE30" t="s">
        <v>193</v>
      </c>
      <c r="AF30">
        <v>96510</v>
      </c>
      <c r="AH30" t="s">
        <v>2303</v>
      </c>
      <c r="AI30" t="s">
        <v>2377</v>
      </c>
      <c r="AJ30" t="s">
        <v>1088</v>
      </c>
      <c r="AK30" t="s">
        <v>193</v>
      </c>
      <c r="AM30" t="b">
        <v>0</v>
      </c>
      <c r="AN30" t="s">
        <v>193</v>
      </c>
      <c r="AO30" t="s">
        <v>2378</v>
      </c>
      <c r="AP30" t="s">
        <v>193</v>
      </c>
      <c r="AU30" t="s">
        <v>2234</v>
      </c>
      <c r="AV30" t="b">
        <v>0</v>
      </c>
      <c r="AW30" t="s">
        <v>193</v>
      </c>
      <c r="AX30" t="s">
        <v>193</v>
      </c>
      <c r="AY30" t="s">
        <v>2379</v>
      </c>
      <c r="AZ30" t="s">
        <v>2380</v>
      </c>
      <c r="BA30" t="s">
        <v>2245</v>
      </c>
      <c r="BB30" t="s">
        <v>1092</v>
      </c>
      <c r="BC30" t="b">
        <v>0</v>
      </c>
      <c r="BD30" t="s">
        <v>2381</v>
      </c>
      <c r="BE30" t="b">
        <v>0</v>
      </c>
      <c r="BF30" t="s">
        <v>2382</v>
      </c>
      <c r="BG30" t="s">
        <v>193</v>
      </c>
      <c r="BI30">
        <v>41130226</v>
      </c>
      <c r="BJ30" t="s">
        <v>37</v>
      </c>
    </row>
    <row r="31" spans="1:62">
      <c r="A31" t="s">
        <v>39</v>
      </c>
      <c r="C31" t="s">
        <v>2228</v>
      </c>
      <c r="D31" t="s">
        <v>914</v>
      </c>
      <c r="E31" t="s">
        <v>193</v>
      </c>
      <c r="F31" t="s">
        <v>2383</v>
      </c>
      <c r="H31" t="s">
        <v>2249</v>
      </c>
      <c r="J31" t="s">
        <v>40</v>
      </c>
      <c r="L31" t="s">
        <v>40</v>
      </c>
      <c r="M31" t="b">
        <v>0</v>
      </c>
      <c r="O31" t="s">
        <v>2232</v>
      </c>
      <c r="P31" t="s">
        <v>2233</v>
      </c>
      <c r="Q31" t="s">
        <v>2232</v>
      </c>
      <c r="R31" t="s">
        <v>2233</v>
      </c>
      <c r="T31" t="s">
        <v>2232</v>
      </c>
      <c r="U31" t="s">
        <v>2250</v>
      </c>
      <c r="W31" t="s">
        <v>2384</v>
      </c>
      <c r="X31" t="s">
        <v>2234</v>
      </c>
      <c r="Y31" t="s">
        <v>2385</v>
      </c>
      <c r="Z31" t="s">
        <v>2236</v>
      </c>
      <c r="AA31" t="s">
        <v>2237</v>
      </c>
      <c r="AB31" t="s">
        <v>2386</v>
      </c>
      <c r="AC31" t="s">
        <v>2387</v>
      </c>
      <c r="AD31" t="s">
        <v>2388</v>
      </c>
      <c r="AE31" t="s">
        <v>193</v>
      </c>
      <c r="AF31">
        <v>191289</v>
      </c>
      <c r="AH31" t="s">
        <v>2389</v>
      </c>
      <c r="AI31" t="s">
        <v>2390</v>
      </c>
      <c r="AJ31" t="s">
        <v>2391</v>
      </c>
      <c r="AK31" t="s">
        <v>193</v>
      </c>
      <c r="AM31" t="b">
        <v>0</v>
      </c>
      <c r="AN31" t="s">
        <v>193</v>
      </c>
      <c r="AO31" t="s">
        <v>2392</v>
      </c>
      <c r="AP31" t="s">
        <v>193</v>
      </c>
      <c r="AU31" t="s">
        <v>2234</v>
      </c>
      <c r="AV31" t="b">
        <v>0</v>
      </c>
      <c r="AW31" t="s">
        <v>193</v>
      </c>
      <c r="AX31" t="s">
        <v>193</v>
      </c>
      <c r="AY31" t="s">
        <v>2393</v>
      </c>
      <c r="AZ31" t="s">
        <v>2394</v>
      </c>
      <c r="BA31" t="s">
        <v>2245</v>
      </c>
      <c r="BB31" t="s">
        <v>1109</v>
      </c>
      <c r="BC31" t="b">
        <v>0</v>
      </c>
      <c r="BD31" t="s">
        <v>2395</v>
      </c>
      <c r="BE31" t="b">
        <v>1</v>
      </c>
      <c r="BF31" t="s">
        <v>2396</v>
      </c>
      <c r="BG31" t="s">
        <v>2397</v>
      </c>
      <c r="BI31">
        <v>40988766</v>
      </c>
      <c r="BJ31" t="s">
        <v>39</v>
      </c>
    </row>
    <row r="32" spans="1:62">
      <c r="A32" t="s">
        <v>41</v>
      </c>
      <c r="C32" t="s">
        <v>2228</v>
      </c>
      <c r="D32" t="s">
        <v>914</v>
      </c>
      <c r="E32" t="s">
        <v>193</v>
      </c>
      <c r="F32" t="s">
        <v>2248</v>
      </c>
      <c r="H32" t="s">
        <v>2249</v>
      </c>
      <c r="J32" t="s">
        <v>42</v>
      </c>
      <c r="L32" t="s">
        <v>42</v>
      </c>
      <c r="M32" t="b">
        <v>0</v>
      </c>
      <c r="O32" t="s">
        <v>2232</v>
      </c>
      <c r="P32" t="s">
        <v>2233</v>
      </c>
      <c r="Q32" t="s">
        <v>2232</v>
      </c>
      <c r="R32" t="s">
        <v>2233</v>
      </c>
      <c r="T32" t="s">
        <v>2232</v>
      </c>
      <c r="U32" t="s">
        <v>2250</v>
      </c>
      <c r="W32" t="s">
        <v>2251</v>
      </c>
      <c r="X32" t="s">
        <v>2234</v>
      </c>
      <c r="Y32" t="s">
        <v>2398</v>
      </c>
      <c r="Z32" t="s">
        <v>2236</v>
      </c>
      <c r="AA32" t="s">
        <v>2237</v>
      </c>
      <c r="AB32" t="s">
        <v>2251</v>
      </c>
      <c r="AC32" t="s">
        <v>2399</v>
      </c>
      <c r="AD32" t="s">
        <v>2343</v>
      </c>
      <c r="AE32" t="s">
        <v>193</v>
      </c>
      <c r="AF32">
        <v>184923</v>
      </c>
      <c r="AH32" t="s">
        <v>2291</v>
      </c>
      <c r="AI32" t="s">
        <v>2400</v>
      </c>
      <c r="AJ32" t="s">
        <v>1124</v>
      </c>
      <c r="AK32" t="s">
        <v>193</v>
      </c>
      <c r="AM32" t="b">
        <v>0</v>
      </c>
      <c r="AN32" t="s">
        <v>193</v>
      </c>
      <c r="AO32" t="s">
        <v>2401</v>
      </c>
      <c r="AP32" t="s">
        <v>193</v>
      </c>
      <c r="AU32" t="s">
        <v>2234</v>
      </c>
      <c r="AV32" t="b">
        <v>0</v>
      </c>
      <c r="AW32" t="s">
        <v>193</v>
      </c>
      <c r="AX32" t="s">
        <v>2259</v>
      </c>
      <c r="AY32" t="s">
        <v>2402</v>
      </c>
      <c r="AZ32" t="s">
        <v>2403</v>
      </c>
      <c r="BA32" t="s">
        <v>2245</v>
      </c>
      <c r="BB32" t="s">
        <v>1128</v>
      </c>
      <c r="BC32" t="b">
        <v>0</v>
      </c>
      <c r="BD32" t="s">
        <v>2404</v>
      </c>
      <c r="BE32" t="b">
        <v>0</v>
      </c>
      <c r="BF32" t="s">
        <v>2405</v>
      </c>
      <c r="BG32" t="s">
        <v>193</v>
      </c>
      <c r="BI32">
        <v>41388391</v>
      </c>
      <c r="BJ32" t="s">
        <v>41</v>
      </c>
    </row>
    <row r="33" spans="1:62">
      <c r="A33" t="s">
        <v>43</v>
      </c>
      <c r="C33" t="s">
        <v>2228</v>
      </c>
      <c r="D33" t="s">
        <v>914</v>
      </c>
      <c r="E33" t="s">
        <v>2406</v>
      </c>
      <c r="F33" t="s">
        <v>2407</v>
      </c>
      <c r="H33" t="s">
        <v>2230</v>
      </c>
      <c r="I33" t="s">
        <v>2231</v>
      </c>
      <c r="J33" t="s">
        <v>44</v>
      </c>
      <c r="K33">
        <v>3211810</v>
      </c>
      <c r="L33" t="s">
        <v>44</v>
      </c>
      <c r="M33" t="b">
        <v>0</v>
      </c>
      <c r="O33" t="s">
        <v>2232</v>
      </c>
      <c r="P33" t="s">
        <v>2233</v>
      </c>
      <c r="Q33" t="s">
        <v>2232</v>
      </c>
      <c r="R33" t="s">
        <v>2233</v>
      </c>
      <c r="W33" t="s">
        <v>2408</v>
      </c>
      <c r="X33" t="s">
        <v>2234</v>
      </c>
      <c r="Y33" t="s">
        <v>2409</v>
      </c>
      <c r="Z33" t="s">
        <v>2236</v>
      </c>
      <c r="AA33" t="s">
        <v>2237</v>
      </c>
      <c r="AB33" t="s">
        <v>2232</v>
      </c>
      <c r="AC33" t="s">
        <v>2410</v>
      </c>
      <c r="AD33" t="s">
        <v>2411</v>
      </c>
      <c r="AE33" t="s">
        <v>193</v>
      </c>
      <c r="AF33">
        <v>9459</v>
      </c>
      <c r="AH33" t="s">
        <v>2314</v>
      </c>
      <c r="AI33" t="s">
        <v>2412</v>
      </c>
      <c r="AJ33" t="s">
        <v>1145</v>
      </c>
      <c r="AK33" t="s">
        <v>193</v>
      </c>
      <c r="AM33" t="b">
        <v>0</v>
      </c>
      <c r="AN33" t="s">
        <v>193</v>
      </c>
      <c r="AO33" t="s">
        <v>2413</v>
      </c>
      <c r="AP33" t="s">
        <v>193</v>
      </c>
      <c r="AS33" t="s">
        <v>670</v>
      </c>
      <c r="AT33" t="s">
        <v>699</v>
      </c>
      <c r="AU33" t="s">
        <v>2234</v>
      </c>
      <c r="AV33" t="b">
        <v>0</v>
      </c>
      <c r="AW33" t="s">
        <v>193</v>
      </c>
      <c r="AX33" t="s">
        <v>2259</v>
      </c>
      <c r="AY33" t="s">
        <v>2414</v>
      </c>
      <c r="AZ33" t="s">
        <v>2415</v>
      </c>
      <c r="BA33" t="s">
        <v>2245</v>
      </c>
      <c r="BB33" t="s">
        <v>1151</v>
      </c>
      <c r="BC33" t="b">
        <v>0</v>
      </c>
      <c r="BD33" t="s">
        <v>2416</v>
      </c>
      <c r="BE33" t="b">
        <v>0</v>
      </c>
      <c r="BF33" t="s">
        <v>2417</v>
      </c>
      <c r="BG33" t="s">
        <v>193</v>
      </c>
      <c r="BI33">
        <v>41369527</v>
      </c>
      <c r="BJ33" t="s">
        <v>43</v>
      </c>
    </row>
    <row r="34" spans="1:62">
      <c r="A34" t="s">
        <v>45</v>
      </c>
      <c r="C34" t="s">
        <v>2228</v>
      </c>
      <c r="D34" t="s">
        <v>914</v>
      </c>
      <c r="E34" t="s">
        <v>193</v>
      </c>
      <c r="F34" t="s">
        <v>2267</v>
      </c>
      <c r="H34" t="s">
        <v>2249</v>
      </c>
      <c r="J34" t="s">
        <v>46</v>
      </c>
      <c r="L34" t="s">
        <v>46</v>
      </c>
      <c r="M34" t="b">
        <v>0</v>
      </c>
      <c r="O34" t="s">
        <v>2232</v>
      </c>
      <c r="P34" t="s">
        <v>2233</v>
      </c>
      <c r="Q34" t="s">
        <v>2232</v>
      </c>
      <c r="R34" t="s">
        <v>2233</v>
      </c>
      <c r="T34" t="s">
        <v>2232</v>
      </c>
      <c r="U34" t="s">
        <v>2250</v>
      </c>
      <c r="V34" t="s">
        <v>2418</v>
      </c>
      <c r="X34" t="s">
        <v>2234</v>
      </c>
      <c r="Y34" t="s">
        <v>2419</v>
      </c>
      <c r="Z34" t="s">
        <v>2232</v>
      </c>
      <c r="AA34" t="s">
        <v>2253</v>
      </c>
      <c r="AC34" t="s">
        <v>2418</v>
      </c>
      <c r="AD34" t="s">
        <v>2343</v>
      </c>
      <c r="AE34" t="s">
        <v>193</v>
      </c>
      <c r="AF34">
        <v>86630</v>
      </c>
      <c r="AH34" t="s">
        <v>2303</v>
      </c>
      <c r="AI34" t="s">
        <v>2315</v>
      </c>
      <c r="AJ34" t="s">
        <v>1163</v>
      </c>
      <c r="AK34" t="s">
        <v>193</v>
      </c>
      <c r="AM34" t="b">
        <v>0</v>
      </c>
      <c r="AN34" t="s">
        <v>193</v>
      </c>
      <c r="AO34" t="s">
        <v>2420</v>
      </c>
      <c r="AP34" t="s">
        <v>193</v>
      </c>
      <c r="AQ34" t="s">
        <v>2421</v>
      </c>
      <c r="AS34" t="s">
        <v>670</v>
      </c>
      <c r="AT34" t="s">
        <v>699</v>
      </c>
      <c r="AU34" t="s">
        <v>2234</v>
      </c>
      <c r="AV34" t="b">
        <v>0</v>
      </c>
      <c r="AW34" t="s">
        <v>193</v>
      </c>
      <c r="AX34" t="s">
        <v>193</v>
      </c>
      <c r="AY34" t="s">
        <v>2422</v>
      </c>
      <c r="AZ34" t="s">
        <v>2423</v>
      </c>
      <c r="BA34" t="s">
        <v>2245</v>
      </c>
      <c r="BB34" t="s">
        <v>2424</v>
      </c>
      <c r="BC34" t="b">
        <v>0</v>
      </c>
      <c r="BD34" t="s">
        <v>2425</v>
      </c>
      <c r="BE34" t="b">
        <v>0</v>
      </c>
      <c r="BF34" t="s">
        <v>2343</v>
      </c>
      <c r="BG34" t="s">
        <v>193</v>
      </c>
      <c r="BI34">
        <v>41390598</v>
      </c>
      <c r="BJ34" t="s">
        <v>45</v>
      </c>
    </row>
    <row r="35" spans="1:62">
      <c r="A35" t="s">
        <v>47</v>
      </c>
      <c r="C35" t="s">
        <v>2228</v>
      </c>
      <c r="D35" t="s">
        <v>914</v>
      </c>
      <c r="E35" t="s">
        <v>193</v>
      </c>
      <c r="F35" t="s">
        <v>2426</v>
      </c>
      <c r="H35" t="s">
        <v>2230</v>
      </c>
      <c r="I35" t="s">
        <v>2231</v>
      </c>
      <c r="J35" t="s">
        <v>48</v>
      </c>
      <c r="K35">
        <v>3223435</v>
      </c>
      <c r="L35" t="s">
        <v>48</v>
      </c>
      <c r="M35" t="b">
        <v>0</v>
      </c>
      <c r="O35" t="s">
        <v>2232</v>
      </c>
      <c r="P35" t="s">
        <v>2233</v>
      </c>
      <c r="Q35" t="s">
        <v>2232</v>
      </c>
      <c r="R35" t="s">
        <v>2233</v>
      </c>
      <c r="V35" t="s">
        <v>2427</v>
      </c>
      <c r="W35" t="s">
        <v>2428</v>
      </c>
      <c r="X35" t="s">
        <v>2234</v>
      </c>
      <c r="Y35" t="s">
        <v>2429</v>
      </c>
      <c r="Z35" t="s">
        <v>2236</v>
      </c>
      <c r="AA35" t="s">
        <v>2237</v>
      </c>
      <c r="AB35" t="s">
        <v>2430</v>
      </c>
      <c r="AC35" t="s">
        <v>2431</v>
      </c>
      <c r="AD35" t="s">
        <v>2432</v>
      </c>
      <c r="AE35" t="s">
        <v>193</v>
      </c>
      <c r="AF35">
        <v>155790</v>
      </c>
      <c r="AH35" t="s">
        <v>2433</v>
      </c>
      <c r="AI35" t="s">
        <v>2241</v>
      </c>
      <c r="AJ35" t="s">
        <v>1181</v>
      </c>
      <c r="AK35" t="s">
        <v>193</v>
      </c>
      <c r="AM35" t="b">
        <v>0</v>
      </c>
      <c r="AN35" t="s">
        <v>193</v>
      </c>
      <c r="AO35" t="s">
        <v>2434</v>
      </c>
      <c r="AP35" t="s">
        <v>193</v>
      </c>
      <c r="AS35" t="s">
        <v>670</v>
      </c>
      <c r="AT35" t="s">
        <v>699</v>
      </c>
      <c r="AU35" t="s">
        <v>2234</v>
      </c>
      <c r="AV35" t="b">
        <v>0</v>
      </c>
      <c r="AW35" t="s">
        <v>193</v>
      </c>
      <c r="AX35" t="s">
        <v>193</v>
      </c>
      <c r="AY35" t="s">
        <v>2435</v>
      </c>
      <c r="AZ35" t="s">
        <v>2436</v>
      </c>
      <c r="BA35" t="s">
        <v>2245</v>
      </c>
      <c r="BB35" t="s">
        <v>1185</v>
      </c>
      <c r="BC35" t="b">
        <v>0</v>
      </c>
      <c r="BD35" t="s">
        <v>2437</v>
      </c>
      <c r="BE35" t="b">
        <v>1</v>
      </c>
      <c r="BF35" t="s">
        <v>2438</v>
      </c>
      <c r="BG35" t="s">
        <v>2439</v>
      </c>
      <c r="BI35">
        <v>41393805</v>
      </c>
      <c r="BJ35" t="s">
        <v>47</v>
      </c>
    </row>
    <row r="36" spans="1:62">
      <c r="A36" t="s">
        <v>49</v>
      </c>
      <c r="C36" t="s">
        <v>2228</v>
      </c>
      <c r="D36" t="s">
        <v>914</v>
      </c>
      <c r="E36" t="s">
        <v>193</v>
      </c>
      <c r="F36" t="s">
        <v>2248</v>
      </c>
      <c r="H36" t="s">
        <v>2249</v>
      </c>
      <c r="J36" t="s">
        <v>50</v>
      </c>
      <c r="L36" t="s">
        <v>50</v>
      </c>
      <c r="M36" t="b">
        <v>0</v>
      </c>
      <c r="O36" t="s">
        <v>2232</v>
      </c>
      <c r="P36" t="s">
        <v>2233</v>
      </c>
      <c r="Q36" t="s">
        <v>2232</v>
      </c>
      <c r="R36" t="s">
        <v>2233</v>
      </c>
      <c r="T36" t="s">
        <v>2232</v>
      </c>
      <c r="U36" t="s">
        <v>2250</v>
      </c>
      <c r="W36" t="s">
        <v>2335</v>
      </c>
      <c r="X36" t="s">
        <v>2234</v>
      </c>
      <c r="Y36" t="s">
        <v>2440</v>
      </c>
      <c r="Z36" t="s">
        <v>2236</v>
      </c>
      <c r="AA36" t="s">
        <v>2237</v>
      </c>
      <c r="AB36" t="s">
        <v>2236</v>
      </c>
      <c r="AC36" t="s">
        <v>2441</v>
      </c>
      <c r="AD36" t="s">
        <v>2442</v>
      </c>
      <c r="AE36" t="s">
        <v>193</v>
      </c>
      <c r="AF36">
        <v>53827</v>
      </c>
      <c r="AH36" t="s">
        <v>2291</v>
      </c>
      <c r="AI36" t="s">
        <v>2241</v>
      </c>
      <c r="AJ36" t="s">
        <v>2443</v>
      </c>
      <c r="AK36" t="s">
        <v>193</v>
      </c>
      <c r="AM36" t="b">
        <v>0</v>
      </c>
      <c r="AN36" t="s">
        <v>193</v>
      </c>
      <c r="AO36" t="s">
        <v>2444</v>
      </c>
      <c r="AP36" t="s">
        <v>193</v>
      </c>
      <c r="AU36" t="s">
        <v>2234</v>
      </c>
      <c r="AV36" t="b">
        <v>0</v>
      </c>
      <c r="AW36" t="s">
        <v>193</v>
      </c>
      <c r="AX36" t="s">
        <v>193</v>
      </c>
      <c r="AY36" t="s">
        <v>2445</v>
      </c>
      <c r="AZ36" t="s">
        <v>2446</v>
      </c>
      <c r="BA36" t="s">
        <v>2245</v>
      </c>
      <c r="BB36" t="s">
        <v>1202</v>
      </c>
      <c r="BC36" t="b">
        <v>0</v>
      </c>
      <c r="BD36" t="s">
        <v>2447</v>
      </c>
      <c r="BE36" t="b">
        <v>0</v>
      </c>
      <c r="BF36" t="s">
        <v>2448</v>
      </c>
      <c r="BG36" t="s">
        <v>193</v>
      </c>
      <c r="BI36">
        <v>41315606</v>
      </c>
      <c r="BJ36" t="s">
        <v>49</v>
      </c>
    </row>
    <row r="37" spans="1:62">
      <c r="A37" t="s">
        <v>51</v>
      </c>
      <c r="C37" t="s">
        <v>2228</v>
      </c>
      <c r="D37" t="s">
        <v>914</v>
      </c>
      <c r="E37" t="s">
        <v>2449</v>
      </c>
      <c r="F37" t="s">
        <v>2426</v>
      </c>
      <c r="H37" t="s">
        <v>2230</v>
      </c>
      <c r="I37" t="s">
        <v>2231</v>
      </c>
      <c r="J37" t="s">
        <v>52</v>
      </c>
      <c r="K37">
        <v>3189644</v>
      </c>
      <c r="L37" t="s">
        <v>52</v>
      </c>
      <c r="M37" t="b">
        <v>0</v>
      </c>
      <c r="O37" t="s">
        <v>2232</v>
      </c>
      <c r="P37" t="s">
        <v>2233</v>
      </c>
      <c r="Q37" t="s">
        <v>2232</v>
      </c>
      <c r="R37" t="s">
        <v>2233</v>
      </c>
      <c r="V37" t="s">
        <v>2450</v>
      </c>
      <c r="W37" t="s">
        <v>2451</v>
      </c>
      <c r="X37" t="s">
        <v>2234</v>
      </c>
      <c r="Y37" t="s">
        <v>2452</v>
      </c>
      <c r="Z37" t="s">
        <v>2236</v>
      </c>
      <c r="AA37" t="s">
        <v>2237</v>
      </c>
      <c r="AB37" t="s">
        <v>2421</v>
      </c>
      <c r="AC37" t="s">
        <v>2453</v>
      </c>
      <c r="AD37" t="s">
        <v>2454</v>
      </c>
      <c r="AE37" t="s">
        <v>193</v>
      </c>
      <c r="AF37">
        <v>70150</v>
      </c>
      <c r="AH37" t="s">
        <v>2314</v>
      </c>
      <c r="AI37" t="s">
        <v>2282</v>
      </c>
      <c r="AJ37" t="s">
        <v>2455</v>
      </c>
      <c r="AK37" t="s">
        <v>193</v>
      </c>
      <c r="AM37" t="b">
        <v>0</v>
      </c>
      <c r="AN37" t="s">
        <v>193</v>
      </c>
      <c r="AO37" t="s">
        <v>2456</v>
      </c>
      <c r="AP37" t="s">
        <v>193</v>
      </c>
      <c r="AS37" t="s">
        <v>670</v>
      </c>
      <c r="AT37" t="s">
        <v>699</v>
      </c>
      <c r="AU37" t="s">
        <v>2234</v>
      </c>
      <c r="AV37" t="b">
        <v>0</v>
      </c>
      <c r="AW37" t="s">
        <v>193</v>
      </c>
      <c r="AX37" t="s">
        <v>2259</v>
      </c>
      <c r="AY37" t="s">
        <v>2457</v>
      </c>
      <c r="AZ37" t="s">
        <v>2458</v>
      </c>
      <c r="BA37" t="s">
        <v>2245</v>
      </c>
      <c r="BB37" t="s">
        <v>1218</v>
      </c>
      <c r="BC37" t="b">
        <v>0</v>
      </c>
      <c r="BD37" t="s">
        <v>2459</v>
      </c>
      <c r="BE37" t="b">
        <v>1</v>
      </c>
      <c r="BF37" t="s">
        <v>2460</v>
      </c>
      <c r="BG37" t="s">
        <v>2461</v>
      </c>
      <c r="BI37">
        <v>41313544</v>
      </c>
      <c r="BJ37" t="s">
        <v>51</v>
      </c>
    </row>
    <row r="38" spans="1:62">
      <c r="A38" t="s">
        <v>53</v>
      </c>
      <c r="C38" t="s">
        <v>2228</v>
      </c>
      <c r="D38" t="s">
        <v>914</v>
      </c>
      <c r="E38" t="s">
        <v>193</v>
      </c>
      <c r="F38" t="s">
        <v>2248</v>
      </c>
      <c r="H38" t="s">
        <v>2249</v>
      </c>
      <c r="J38" t="s">
        <v>54</v>
      </c>
      <c r="L38" t="s">
        <v>54</v>
      </c>
      <c r="M38" t="b">
        <v>0</v>
      </c>
      <c r="O38" t="s">
        <v>2232</v>
      </c>
      <c r="P38" t="s">
        <v>2233</v>
      </c>
      <c r="Q38" t="s">
        <v>2232</v>
      </c>
      <c r="R38" t="s">
        <v>2233</v>
      </c>
      <c r="T38" t="s">
        <v>2232</v>
      </c>
      <c r="U38" t="s">
        <v>2250</v>
      </c>
      <c r="X38" t="s">
        <v>2234</v>
      </c>
      <c r="Y38" t="s">
        <v>2462</v>
      </c>
      <c r="Z38" t="s">
        <v>2232</v>
      </c>
      <c r="AA38" t="s">
        <v>2253</v>
      </c>
      <c r="AC38" t="s">
        <v>2463</v>
      </c>
      <c r="AD38" t="s">
        <v>2464</v>
      </c>
      <c r="AE38" t="s">
        <v>193</v>
      </c>
      <c r="AF38">
        <v>128827</v>
      </c>
      <c r="AH38" t="s">
        <v>2465</v>
      </c>
      <c r="AI38" t="s">
        <v>2466</v>
      </c>
      <c r="AJ38" t="s">
        <v>2467</v>
      </c>
      <c r="AK38" t="s">
        <v>193</v>
      </c>
      <c r="AM38" t="b">
        <v>0</v>
      </c>
      <c r="AN38" t="s">
        <v>193</v>
      </c>
      <c r="AO38" t="s">
        <v>2468</v>
      </c>
      <c r="AP38" t="s">
        <v>193</v>
      </c>
      <c r="AU38" t="s">
        <v>2234</v>
      </c>
      <c r="AV38" t="b">
        <v>0</v>
      </c>
      <c r="AW38" t="s">
        <v>193</v>
      </c>
      <c r="AX38" t="s">
        <v>193</v>
      </c>
      <c r="AY38" t="s">
        <v>2469</v>
      </c>
      <c r="AZ38" t="s">
        <v>2470</v>
      </c>
      <c r="BA38" t="s">
        <v>2245</v>
      </c>
      <c r="BB38" t="s">
        <v>1235</v>
      </c>
      <c r="BC38" t="b">
        <v>0</v>
      </c>
      <c r="BD38" t="s">
        <v>2471</v>
      </c>
      <c r="BE38" t="b">
        <v>1</v>
      </c>
      <c r="BF38" t="s">
        <v>2468</v>
      </c>
      <c r="BG38" t="s">
        <v>2472</v>
      </c>
      <c r="BI38">
        <v>41135028</v>
      </c>
      <c r="BJ38" t="s">
        <v>53</v>
      </c>
    </row>
    <row r="39" spans="1:62">
      <c r="A39" t="s">
        <v>55</v>
      </c>
      <c r="C39" t="s">
        <v>2228</v>
      </c>
      <c r="D39" t="s">
        <v>914</v>
      </c>
      <c r="E39" t="s">
        <v>193</v>
      </c>
      <c r="F39" t="s">
        <v>2267</v>
      </c>
      <c r="H39" t="s">
        <v>2249</v>
      </c>
      <c r="J39" t="s">
        <v>56</v>
      </c>
      <c r="L39" t="s">
        <v>56</v>
      </c>
      <c r="M39" t="b">
        <v>0</v>
      </c>
      <c r="O39" t="s">
        <v>2232</v>
      </c>
      <c r="P39" t="s">
        <v>2233</v>
      </c>
      <c r="Q39" t="s">
        <v>2232</v>
      </c>
      <c r="R39" t="s">
        <v>2233</v>
      </c>
      <c r="T39" t="s">
        <v>2232</v>
      </c>
      <c r="U39" t="s">
        <v>2250</v>
      </c>
      <c r="V39" t="s">
        <v>2473</v>
      </c>
      <c r="X39" t="s">
        <v>2234</v>
      </c>
      <c r="Y39" t="s">
        <v>2474</v>
      </c>
      <c r="Z39" t="s">
        <v>2236</v>
      </c>
      <c r="AA39" t="s">
        <v>2237</v>
      </c>
      <c r="AC39" t="s">
        <v>2475</v>
      </c>
      <c r="AD39" t="s">
        <v>2343</v>
      </c>
      <c r="AE39" t="s">
        <v>193</v>
      </c>
      <c r="AF39">
        <v>107390</v>
      </c>
      <c r="AH39" t="s">
        <v>2240</v>
      </c>
      <c r="AI39" t="s">
        <v>2363</v>
      </c>
      <c r="AJ39" t="s">
        <v>2476</v>
      </c>
      <c r="AK39" t="s">
        <v>193</v>
      </c>
      <c r="AM39" t="b">
        <v>1</v>
      </c>
      <c r="AN39" t="s">
        <v>2477</v>
      </c>
      <c r="AO39" t="s">
        <v>2478</v>
      </c>
      <c r="AP39" t="s">
        <v>193</v>
      </c>
      <c r="AQ39" t="s">
        <v>2251</v>
      </c>
      <c r="AS39" t="s">
        <v>670</v>
      </c>
      <c r="AT39" t="s">
        <v>699</v>
      </c>
      <c r="AU39" t="s">
        <v>2234</v>
      </c>
      <c r="AV39" t="b">
        <v>0</v>
      </c>
      <c r="AW39" t="s">
        <v>193</v>
      </c>
      <c r="AX39" t="s">
        <v>193</v>
      </c>
      <c r="AY39" t="s">
        <v>2479</v>
      </c>
      <c r="AZ39" t="s">
        <v>2480</v>
      </c>
      <c r="BA39" t="s">
        <v>2245</v>
      </c>
      <c r="BB39" t="s">
        <v>1250</v>
      </c>
      <c r="BC39" t="b">
        <v>0</v>
      </c>
      <c r="BD39" t="s">
        <v>2481</v>
      </c>
      <c r="BE39" t="b">
        <v>1</v>
      </c>
      <c r="BF39" t="s">
        <v>2482</v>
      </c>
      <c r="BG39" t="s">
        <v>2483</v>
      </c>
      <c r="BI39">
        <v>41393779</v>
      </c>
      <c r="BJ39" t="s">
        <v>55</v>
      </c>
    </row>
    <row r="40" spans="1:62">
      <c r="A40" t="s">
        <v>57</v>
      </c>
      <c r="C40" t="s">
        <v>2228</v>
      </c>
      <c r="D40" t="s">
        <v>914</v>
      </c>
      <c r="E40" t="s">
        <v>193</v>
      </c>
      <c r="F40" t="s">
        <v>2484</v>
      </c>
      <c r="H40" t="s">
        <v>2249</v>
      </c>
      <c r="J40" t="s">
        <v>58</v>
      </c>
      <c r="L40" t="s">
        <v>58</v>
      </c>
      <c r="M40" t="b">
        <v>0</v>
      </c>
      <c r="O40" t="s">
        <v>2232</v>
      </c>
      <c r="P40" t="s">
        <v>2233</v>
      </c>
      <c r="Q40" t="s">
        <v>2232</v>
      </c>
      <c r="R40" t="s">
        <v>2233</v>
      </c>
      <c r="T40" t="s">
        <v>2232</v>
      </c>
      <c r="U40" t="s">
        <v>2250</v>
      </c>
      <c r="W40" t="s">
        <v>2485</v>
      </c>
      <c r="X40" t="s">
        <v>2234</v>
      </c>
      <c r="Y40" t="s">
        <v>2486</v>
      </c>
      <c r="Z40" t="s">
        <v>2232</v>
      </c>
      <c r="AA40" t="s">
        <v>2253</v>
      </c>
      <c r="AB40" t="s">
        <v>2487</v>
      </c>
      <c r="AC40" t="s">
        <v>2488</v>
      </c>
      <c r="AD40" t="s">
        <v>2442</v>
      </c>
      <c r="AE40" t="s">
        <v>193</v>
      </c>
      <c r="AF40">
        <v>196644</v>
      </c>
      <c r="AH40" t="s">
        <v>2291</v>
      </c>
      <c r="AI40" t="s">
        <v>2340</v>
      </c>
      <c r="AJ40" t="s">
        <v>1261</v>
      </c>
      <c r="AK40" t="s">
        <v>193</v>
      </c>
      <c r="AM40" t="b">
        <v>0</v>
      </c>
      <c r="AN40" t="s">
        <v>193</v>
      </c>
      <c r="AO40" t="s">
        <v>2489</v>
      </c>
      <c r="AP40" t="s">
        <v>193</v>
      </c>
      <c r="AU40" t="s">
        <v>2234</v>
      </c>
      <c r="AV40" t="b">
        <v>0</v>
      </c>
      <c r="AW40" t="s">
        <v>193</v>
      </c>
      <c r="AX40" t="s">
        <v>193</v>
      </c>
      <c r="AY40" t="s">
        <v>2490</v>
      </c>
      <c r="AZ40" t="s">
        <v>2491</v>
      </c>
      <c r="BA40" t="s">
        <v>2245</v>
      </c>
      <c r="BB40" t="s">
        <v>1265</v>
      </c>
      <c r="BC40" t="b">
        <v>0</v>
      </c>
      <c r="BD40" t="s">
        <v>2492</v>
      </c>
      <c r="BE40" t="b">
        <v>1</v>
      </c>
      <c r="BF40" t="s">
        <v>2493</v>
      </c>
      <c r="BG40" t="s">
        <v>2494</v>
      </c>
      <c r="BI40">
        <v>41359860</v>
      </c>
      <c r="BJ40" t="s">
        <v>57</v>
      </c>
    </row>
    <row r="41" spans="1:62">
      <c r="A41" t="s">
        <v>59</v>
      </c>
      <c r="C41" t="s">
        <v>2228</v>
      </c>
      <c r="D41" t="s">
        <v>914</v>
      </c>
      <c r="E41" t="s">
        <v>2495</v>
      </c>
      <c r="F41" t="s">
        <v>2496</v>
      </c>
      <c r="H41" t="s">
        <v>667</v>
      </c>
      <c r="I41" t="s">
        <v>2231</v>
      </c>
      <c r="J41" t="s">
        <v>60</v>
      </c>
      <c r="K41">
        <v>2629095</v>
      </c>
      <c r="L41" t="s">
        <v>60</v>
      </c>
      <c r="M41" t="b">
        <v>0</v>
      </c>
      <c r="O41" t="s">
        <v>2232</v>
      </c>
      <c r="P41" t="s">
        <v>2233</v>
      </c>
      <c r="Q41" t="s">
        <v>2232</v>
      </c>
      <c r="R41" t="s">
        <v>2233</v>
      </c>
      <c r="V41" t="s">
        <v>2450</v>
      </c>
      <c r="W41" t="s">
        <v>2408</v>
      </c>
      <c r="X41" t="s">
        <v>2234</v>
      </c>
      <c r="Y41" t="s">
        <v>2497</v>
      </c>
      <c r="Z41" t="s">
        <v>2236</v>
      </c>
      <c r="AA41" t="s">
        <v>2237</v>
      </c>
      <c r="AB41" t="s">
        <v>2232</v>
      </c>
      <c r="AC41" t="s">
        <v>2498</v>
      </c>
      <c r="AD41" t="s">
        <v>2499</v>
      </c>
      <c r="AE41" t="s">
        <v>193</v>
      </c>
      <c r="AF41">
        <v>11378</v>
      </c>
      <c r="AH41" t="s">
        <v>2500</v>
      </c>
      <c r="AI41" t="s">
        <v>2501</v>
      </c>
      <c r="AJ41" t="s">
        <v>1261</v>
      </c>
      <c r="AK41" t="s">
        <v>193</v>
      </c>
      <c r="AM41" t="b">
        <v>1</v>
      </c>
      <c r="AN41" t="s">
        <v>2502</v>
      </c>
      <c r="AO41" t="s">
        <v>2503</v>
      </c>
      <c r="AP41" t="s">
        <v>193</v>
      </c>
      <c r="AU41" t="s">
        <v>2234</v>
      </c>
      <c r="AV41" t="b">
        <v>0</v>
      </c>
      <c r="AW41" t="s">
        <v>193</v>
      </c>
      <c r="AX41" t="s">
        <v>2259</v>
      </c>
      <c r="AY41" t="s">
        <v>2504</v>
      </c>
      <c r="AZ41" t="s">
        <v>2497</v>
      </c>
      <c r="BA41" t="s">
        <v>2245</v>
      </c>
      <c r="BB41" t="s">
        <v>1280</v>
      </c>
      <c r="BC41" t="b">
        <v>0</v>
      </c>
      <c r="BD41" t="s">
        <v>2505</v>
      </c>
      <c r="BE41" t="b">
        <v>0</v>
      </c>
      <c r="BF41" t="s">
        <v>2503</v>
      </c>
      <c r="BG41" t="s">
        <v>193</v>
      </c>
      <c r="BI41">
        <v>39193215</v>
      </c>
      <c r="BJ41" t="s">
        <v>59</v>
      </c>
    </row>
    <row r="42" spans="1:62">
      <c r="A42" t="s">
        <v>61</v>
      </c>
      <c r="C42" t="s">
        <v>2228</v>
      </c>
      <c r="D42" t="s">
        <v>914</v>
      </c>
      <c r="E42" t="s">
        <v>193</v>
      </c>
      <c r="F42" t="s">
        <v>2506</v>
      </c>
      <c r="J42" t="s">
        <v>62</v>
      </c>
      <c r="L42" t="s">
        <v>62</v>
      </c>
      <c r="M42" t="b">
        <v>0</v>
      </c>
      <c r="O42" t="s">
        <v>2232</v>
      </c>
      <c r="P42" t="s">
        <v>2233</v>
      </c>
      <c r="Q42" t="s">
        <v>2232</v>
      </c>
      <c r="R42" t="s">
        <v>2233</v>
      </c>
      <c r="T42" t="s">
        <v>2232</v>
      </c>
      <c r="U42" t="s">
        <v>2250</v>
      </c>
      <c r="V42" t="s">
        <v>2507</v>
      </c>
      <c r="W42" t="s">
        <v>1922</v>
      </c>
      <c r="X42" t="s">
        <v>2234</v>
      </c>
      <c r="Y42" t="s">
        <v>2508</v>
      </c>
      <c r="Z42" t="s">
        <v>2232</v>
      </c>
      <c r="AA42" t="s">
        <v>2253</v>
      </c>
      <c r="AB42" t="s">
        <v>2509</v>
      </c>
      <c r="AC42" t="s">
        <v>2507</v>
      </c>
      <c r="AD42" t="s">
        <v>2510</v>
      </c>
      <c r="AE42" t="s">
        <v>193</v>
      </c>
      <c r="AF42">
        <v>190000</v>
      </c>
      <c r="AH42" t="s">
        <v>2511</v>
      </c>
      <c r="AI42" t="s">
        <v>2512</v>
      </c>
      <c r="AJ42" t="s">
        <v>2513</v>
      </c>
      <c r="AK42" t="s">
        <v>193</v>
      </c>
      <c r="AM42" t="b">
        <v>0</v>
      </c>
      <c r="AN42" t="s">
        <v>193</v>
      </c>
      <c r="AO42" t="s">
        <v>2514</v>
      </c>
      <c r="AP42" t="s">
        <v>193</v>
      </c>
      <c r="AS42" t="s">
        <v>670</v>
      </c>
      <c r="AT42" t="s">
        <v>699</v>
      </c>
      <c r="AU42" t="s">
        <v>2234</v>
      </c>
      <c r="AV42" t="b">
        <v>0</v>
      </c>
      <c r="AW42" t="s">
        <v>193</v>
      </c>
      <c r="AX42" t="s">
        <v>193</v>
      </c>
      <c r="AY42" t="s">
        <v>2515</v>
      </c>
      <c r="AZ42" t="s">
        <v>2516</v>
      </c>
      <c r="BA42" t="s">
        <v>2245</v>
      </c>
      <c r="BB42" t="s">
        <v>2517</v>
      </c>
      <c r="BC42" t="b">
        <v>0</v>
      </c>
      <c r="BD42" t="s">
        <v>2518</v>
      </c>
      <c r="BE42" t="b">
        <v>1</v>
      </c>
      <c r="BF42" t="s">
        <v>2519</v>
      </c>
      <c r="BG42" t="s">
        <v>2520</v>
      </c>
      <c r="BI42">
        <v>39854943</v>
      </c>
      <c r="BJ42" t="s">
        <v>61</v>
      </c>
    </row>
    <row r="43" spans="1:62">
      <c r="A43" t="s">
        <v>63</v>
      </c>
      <c r="C43" t="s">
        <v>2228</v>
      </c>
      <c r="D43" t="s">
        <v>914</v>
      </c>
      <c r="E43" t="s">
        <v>193</v>
      </c>
      <c r="F43" t="s">
        <v>2280</v>
      </c>
      <c r="H43" t="s">
        <v>2249</v>
      </c>
      <c r="J43" t="s">
        <v>64</v>
      </c>
      <c r="L43" t="s">
        <v>64</v>
      </c>
      <c r="M43" t="b">
        <v>0</v>
      </c>
      <c r="O43" t="s">
        <v>2232</v>
      </c>
      <c r="P43" t="s">
        <v>2233</v>
      </c>
      <c r="Q43" t="s">
        <v>2232</v>
      </c>
      <c r="R43" t="s">
        <v>2233</v>
      </c>
      <c r="T43" t="s">
        <v>2232</v>
      </c>
      <c r="U43" t="s">
        <v>2250</v>
      </c>
      <c r="V43" t="s">
        <v>2521</v>
      </c>
      <c r="W43" t="s">
        <v>2335</v>
      </c>
      <c r="X43" t="s">
        <v>2234</v>
      </c>
      <c r="Y43" t="s">
        <v>2440</v>
      </c>
      <c r="Z43" t="s">
        <v>2236</v>
      </c>
      <c r="AA43" t="s">
        <v>2237</v>
      </c>
      <c r="AB43" t="s">
        <v>2232</v>
      </c>
      <c r="AC43" t="s">
        <v>2375</v>
      </c>
      <c r="AD43" t="s">
        <v>2522</v>
      </c>
      <c r="AE43" t="s">
        <v>193</v>
      </c>
      <c r="AF43">
        <v>36041</v>
      </c>
      <c r="AH43" t="s">
        <v>2291</v>
      </c>
      <c r="AI43" t="s">
        <v>2292</v>
      </c>
      <c r="AJ43" t="s">
        <v>1088</v>
      </c>
      <c r="AK43" t="s">
        <v>193</v>
      </c>
      <c r="AM43" t="b">
        <v>0</v>
      </c>
      <c r="AN43" t="s">
        <v>193</v>
      </c>
      <c r="AO43" t="s">
        <v>2523</v>
      </c>
      <c r="AP43" t="s">
        <v>193</v>
      </c>
      <c r="AS43" t="s">
        <v>670</v>
      </c>
      <c r="AT43" t="s">
        <v>699</v>
      </c>
      <c r="AU43" t="s">
        <v>2234</v>
      </c>
      <c r="AV43" t="b">
        <v>0</v>
      </c>
      <c r="AW43" t="s">
        <v>193</v>
      </c>
      <c r="AX43" t="s">
        <v>2259</v>
      </c>
      <c r="AY43" t="s">
        <v>2524</v>
      </c>
      <c r="AZ43" t="s">
        <v>2525</v>
      </c>
      <c r="BA43" t="s">
        <v>2245</v>
      </c>
      <c r="BB43" t="s">
        <v>1305</v>
      </c>
      <c r="BC43" t="b">
        <v>0</v>
      </c>
      <c r="BD43" t="s">
        <v>2526</v>
      </c>
      <c r="BE43" t="b">
        <v>0</v>
      </c>
      <c r="BF43" t="s">
        <v>2527</v>
      </c>
      <c r="BG43" t="s">
        <v>193</v>
      </c>
      <c r="BI43">
        <v>41189526</v>
      </c>
      <c r="BJ43" t="s">
        <v>63</v>
      </c>
    </row>
    <row r="44" spans="1:62">
      <c r="A44" t="s">
        <v>65</v>
      </c>
      <c r="C44" t="s">
        <v>2228</v>
      </c>
      <c r="D44" t="s">
        <v>914</v>
      </c>
      <c r="E44" t="s">
        <v>193</v>
      </c>
      <c r="F44" t="s">
        <v>2267</v>
      </c>
      <c r="H44" t="s">
        <v>2249</v>
      </c>
      <c r="J44" t="s">
        <v>66</v>
      </c>
      <c r="L44" t="s">
        <v>66</v>
      </c>
      <c r="M44" t="b">
        <v>0</v>
      </c>
      <c r="O44" t="s">
        <v>2232</v>
      </c>
      <c r="P44" t="s">
        <v>2233</v>
      </c>
      <c r="Q44" t="s">
        <v>2232</v>
      </c>
      <c r="R44" t="s">
        <v>2233</v>
      </c>
      <c r="T44" t="s">
        <v>2232</v>
      </c>
      <c r="U44" t="s">
        <v>2250</v>
      </c>
      <c r="V44" t="s">
        <v>2528</v>
      </c>
      <c r="X44" t="s">
        <v>2234</v>
      </c>
      <c r="Y44" t="s">
        <v>2529</v>
      </c>
      <c r="Z44" t="s">
        <v>2236</v>
      </c>
      <c r="AA44" t="s">
        <v>2237</v>
      </c>
      <c r="AC44" t="s">
        <v>2530</v>
      </c>
      <c r="AD44" t="s">
        <v>2318</v>
      </c>
      <c r="AE44" t="s">
        <v>193</v>
      </c>
      <c r="AF44">
        <v>102399</v>
      </c>
      <c r="AH44" t="s">
        <v>2256</v>
      </c>
      <c r="AI44" t="s">
        <v>2315</v>
      </c>
      <c r="AJ44" t="s">
        <v>2531</v>
      </c>
      <c r="AK44" t="s">
        <v>193</v>
      </c>
      <c r="AM44" t="b">
        <v>0</v>
      </c>
      <c r="AN44" t="s">
        <v>193</v>
      </c>
      <c r="AO44" t="s">
        <v>2532</v>
      </c>
      <c r="AP44" t="s">
        <v>193</v>
      </c>
      <c r="AQ44" t="s">
        <v>2533</v>
      </c>
      <c r="AS44" t="s">
        <v>670</v>
      </c>
      <c r="AT44" t="s">
        <v>699</v>
      </c>
      <c r="AU44" t="s">
        <v>2234</v>
      </c>
      <c r="AV44" t="b">
        <v>0</v>
      </c>
      <c r="AW44" t="s">
        <v>193</v>
      </c>
      <c r="AX44" t="s">
        <v>2259</v>
      </c>
      <c r="AY44" t="s">
        <v>2534</v>
      </c>
      <c r="AZ44" t="s">
        <v>2535</v>
      </c>
      <c r="BA44" t="s">
        <v>2245</v>
      </c>
      <c r="BB44" t="s">
        <v>1320</v>
      </c>
      <c r="BC44" t="b">
        <v>0</v>
      </c>
      <c r="BD44" t="s">
        <v>2536</v>
      </c>
      <c r="BE44" t="b">
        <v>1</v>
      </c>
      <c r="BF44" t="s">
        <v>2537</v>
      </c>
      <c r="BG44" t="s">
        <v>2538</v>
      </c>
      <c r="BI44">
        <v>41187820</v>
      </c>
      <c r="BJ44" t="s">
        <v>65</v>
      </c>
    </row>
    <row r="45" spans="1:62">
      <c r="A45" t="s">
        <v>67</v>
      </c>
      <c r="C45" t="s">
        <v>2228</v>
      </c>
      <c r="D45" t="s">
        <v>914</v>
      </c>
      <c r="E45" t="s">
        <v>2539</v>
      </c>
      <c r="F45" t="s">
        <v>2358</v>
      </c>
      <c r="H45" t="s">
        <v>2230</v>
      </c>
      <c r="I45" t="s">
        <v>2231</v>
      </c>
      <c r="J45" t="s">
        <v>68</v>
      </c>
      <c r="K45">
        <v>3112320</v>
      </c>
      <c r="L45" t="s">
        <v>68</v>
      </c>
      <c r="M45" t="b">
        <v>0</v>
      </c>
      <c r="O45" t="s">
        <v>2232</v>
      </c>
      <c r="P45" t="s">
        <v>2233</v>
      </c>
      <c r="Q45" t="s">
        <v>2232</v>
      </c>
      <c r="R45" t="s">
        <v>2233</v>
      </c>
      <c r="V45" t="s">
        <v>2540</v>
      </c>
      <c r="X45" t="s">
        <v>2234</v>
      </c>
      <c r="Y45" t="s">
        <v>2541</v>
      </c>
      <c r="Z45" t="s">
        <v>2236</v>
      </c>
      <c r="AA45" t="s">
        <v>2237</v>
      </c>
      <c r="AC45" t="s">
        <v>2542</v>
      </c>
      <c r="AD45" t="s">
        <v>2543</v>
      </c>
      <c r="AE45" t="s">
        <v>193</v>
      </c>
      <c r="AF45">
        <v>57631</v>
      </c>
      <c r="AH45" t="s">
        <v>2314</v>
      </c>
      <c r="AI45" t="s">
        <v>2315</v>
      </c>
      <c r="AJ45" t="s">
        <v>1333</v>
      </c>
      <c r="AK45" t="s">
        <v>193</v>
      </c>
      <c r="AM45" t="b">
        <v>0</v>
      </c>
      <c r="AN45" t="s">
        <v>193</v>
      </c>
      <c r="AO45" t="s">
        <v>2544</v>
      </c>
      <c r="AP45" t="s">
        <v>193</v>
      </c>
      <c r="AQ45" t="s">
        <v>2251</v>
      </c>
      <c r="AU45" t="s">
        <v>2234</v>
      </c>
      <c r="AV45" t="b">
        <v>0</v>
      </c>
      <c r="AW45" t="s">
        <v>193</v>
      </c>
      <c r="AX45" t="s">
        <v>2259</v>
      </c>
      <c r="AY45" t="s">
        <v>2545</v>
      </c>
      <c r="AZ45" t="s">
        <v>2546</v>
      </c>
      <c r="BA45" t="s">
        <v>2245</v>
      </c>
      <c r="BB45" t="s">
        <v>1337</v>
      </c>
      <c r="BC45" t="b">
        <v>0</v>
      </c>
      <c r="BD45" t="s">
        <v>2547</v>
      </c>
      <c r="BE45" t="b">
        <v>1</v>
      </c>
      <c r="BF45" t="s">
        <v>2548</v>
      </c>
      <c r="BG45" t="s">
        <v>2549</v>
      </c>
      <c r="BI45">
        <v>41194026</v>
      </c>
      <c r="BJ45" t="s">
        <v>67</v>
      </c>
    </row>
    <row r="46" spans="1:62">
      <c r="A46" t="s">
        <v>69</v>
      </c>
      <c r="C46" t="s">
        <v>2228</v>
      </c>
      <c r="D46" t="s">
        <v>914</v>
      </c>
      <c r="E46" t="s">
        <v>2550</v>
      </c>
      <c r="F46" t="s">
        <v>2407</v>
      </c>
      <c r="H46" t="s">
        <v>2230</v>
      </c>
      <c r="I46" t="s">
        <v>2231</v>
      </c>
      <c r="J46" t="s">
        <v>70</v>
      </c>
      <c r="K46">
        <v>3177220</v>
      </c>
      <c r="L46" t="s">
        <v>70</v>
      </c>
      <c r="M46" t="b">
        <v>0</v>
      </c>
      <c r="O46" t="s">
        <v>2232</v>
      </c>
      <c r="P46" t="s">
        <v>2233</v>
      </c>
      <c r="Q46" t="s">
        <v>2232</v>
      </c>
      <c r="R46" t="s">
        <v>2233</v>
      </c>
      <c r="V46" t="s">
        <v>2551</v>
      </c>
      <c r="W46" t="s">
        <v>2552</v>
      </c>
      <c r="X46" t="s">
        <v>2234</v>
      </c>
      <c r="Y46" t="s">
        <v>2553</v>
      </c>
      <c r="Z46" t="s">
        <v>2236</v>
      </c>
      <c r="AA46" t="s">
        <v>2237</v>
      </c>
      <c r="AB46" t="s">
        <v>2554</v>
      </c>
      <c r="AC46" t="s">
        <v>2555</v>
      </c>
      <c r="AD46" t="s">
        <v>2556</v>
      </c>
      <c r="AE46" t="s">
        <v>193</v>
      </c>
      <c r="AF46">
        <v>153169</v>
      </c>
      <c r="AH46" t="s">
        <v>2291</v>
      </c>
      <c r="AI46" t="s">
        <v>2557</v>
      </c>
      <c r="AJ46" t="s">
        <v>2558</v>
      </c>
      <c r="AK46" t="s">
        <v>193</v>
      </c>
      <c r="AM46" t="b">
        <v>0</v>
      </c>
      <c r="AN46" t="s">
        <v>193</v>
      </c>
      <c r="AO46" t="s">
        <v>2559</v>
      </c>
      <c r="AP46" t="s">
        <v>193</v>
      </c>
      <c r="AS46" t="s">
        <v>670</v>
      </c>
      <c r="AT46" t="s">
        <v>699</v>
      </c>
      <c r="AU46" t="s">
        <v>2234</v>
      </c>
      <c r="AV46" t="b">
        <v>0</v>
      </c>
      <c r="AW46" t="s">
        <v>193</v>
      </c>
      <c r="AX46" t="s">
        <v>193</v>
      </c>
      <c r="AY46" t="s">
        <v>2560</v>
      </c>
      <c r="AZ46" t="s">
        <v>2561</v>
      </c>
      <c r="BA46" t="s">
        <v>2245</v>
      </c>
      <c r="BB46" t="s">
        <v>1352</v>
      </c>
      <c r="BC46" t="b">
        <v>0</v>
      </c>
      <c r="BD46" t="s">
        <v>2562</v>
      </c>
      <c r="BE46" t="b">
        <v>0</v>
      </c>
      <c r="BF46" t="s">
        <v>2563</v>
      </c>
      <c r="BG46" t="s">
        <v>193</v>
      </c>
      <c r="BI46">
        <v>41274924</v>
      </c>
      <c r="BJ46" t="s">
        <v>69</v>
      </c>
    </row>
    <row r="47" spans="1:62">
      <c r="A47" t="s">
        <v>71</v>
      </c>
      <c r="C47" t="s">
        <v>2228</v>
      </c>
      <c r="D47" t="s">
        <v>914</v>
      </c>
      <c r="E47" t="s">
        <v>193</v>
      </c>
      <c r="F47" t="s">
        <v>2229</v>
      </c>
      <c r="H47" t="s">
        <v>667</v>
      </c>
      <c r="I47" t="s">
        <v>2231</v>
      </c>
      <c r="J47" t="s">
        <v>72</v>
      </c>
      <c r="K47">
        <v>3170728</v>
      </c>
      <c r="L47" t="s">
        <v>72</v>
      </c>
      <c r="M47" t="b">
        <v>0</v>
      </c>
      <c r="O47" t="s">
        <v>2232</v>
      </c>
      <c r="P47" t="s">
        <v>2233</v>
      </c>
      <c r="Q47" t="s">
        <v>2232</v>
      </c>
      <c r="R47" t="s">
        <v>2233</v>
      </c>
      <c r="W47" t="s">
        <v>2564</v>
      </c>
      <c r="X47" t="s">
        <v>2234</v>
      </c>
      <c r="Y47" t="s">
        <v>2565</v>
      </c>
      <c r="Z47" t="s">
        <v>2236</v>
      </c>
      <c r="AA47" t="s">
        <v>2237</v>
      </c>
      <c r="AB47" t="s">
        <v>2564</v>
      </c>
      <c r="AC47" t="s">
        <v>2566</v>
      </c>
      <c r="AD47" t="s">
        <v>2567</v>
      </c>
      <c r="AE47" t="s">
        <v>193</v>
      </c>
      <c r="AF47">
        <v>77886</v>
      </c>
      <c r="AH47" t="s">
        <v>2270</v>
      </c>
      <c r="AI47" t="s">
        <v>2568</v>
      </c>
      <c r="AJ47" t="s">
        <v>1368</v>
      </c>
      <c r="AK47" t="s">
        <v>193</v>
      </c>
      <c r="AM47" t="b">
        <v>0</v>
      </c>
      <c r="AN47" t="s">
        <v>193</v>
      </c>
      <c r="AO47" t="s">
        <v>2569</v>
      </c>
      <c r="AP47" t="s">
        <v>193</v>
      </c>
      <c r="AU47" t="s">
        <v>2234</v>
      </c>
      <c r="AV47" t="b">
        <v>0</v>
      </c>
      <c r="AW47" t="s">
        <v>193</v>
      </c>
      <c r="AX47" t="s">
        <v>193</v>
      </c>
      <c r="AY47" t="s">
        <v>2570</v>
      </c>
      <c r="AZ47" t="s">
        <v>2571</v>
      </c>
      <c r="BA47" t="s">
        <v>2245</v>
      </c>
      <c r="BB47" t="s">
        <v>1372</v>
      </c>
      <c r="BC47" t="b">
        <v>0</v>
      </c>
      <c r="BD47" t="s">
        <v>2572</v>
      </c>
      <c r="BE47" t="b">
        <v>1</v>
      </c>
      <c r="BF47" t="s">
        <v>2569</v>
      </c>
      <c r="BG47" t="s">
        <v>2573</v>
      </c>
      <c r="BI47">
        <v>41270430</v>
      </c>
      <c r="BJ47" t="s">
        <v>71</v>
      </c>
    </row>
    <row r="48" spans="1:62">
      <c r="A48" t="s">
        <v>73</v>
      </c>
      <c r="C48" t="s">
        <v>2228</v>
      </c>
      <c r="D48" t="s">
        <v>914</v>
      </c>
      <c r="E48" t="s">
        <v>2574</v>
      </c>
      <c r="F48" t="s">
        <v>2575</v>
      </c>
      <c r="H48" t="s">
        <v>2230</v>
      </c>
      <c r="I48" t="s">
        <v>2231</v>
      </c>
      <c r="J48" t="s">
        <v>74</v>
      </c>
      <c r="K48">
        <v>3178252</v>
      </c>
      <c r="L48" t="s">
        <v>74</v>
      </c>
      <c r="M48" t="b">
        <v>0</v>
      </c>
      <c r="O48" t="s">
        <v>2232</v>
      </c>
      <c r="P48" t="s">
        <v>2233</v>
      </c>
      <c r="Q48" t="s">
        <v>2232</v>
      </c>
      <c r="R48" t="s">
        <v>2233</v>
      </c>
      <c r="V48" t="s">
        <v>2576</v>
      </c>
      <c r="X48" t="s">
        <v>2234</v>
      </c>
      <c r="Y48" t="s">
        <v>2577</v>
      </c>
      <c r="Z48" t="s">
        <v>2236</v>
      </c>
      <c r="AA48" t="s">
        <v>2237</v>
      </c>
      <c r="AC48" t="s">
        <v>2578</v>
      </c>
      <c r="AD48" t="s">
        <v>2556</v>
      </c>
      <c r="AE48" t="s">
        <v>193</v>
      </c>
      <c r="AF48">
        <v>146529</v>
      </c>
      <c r="AH48" t="s">
        <v>2339</v>
      </c>
      <c r="AI48" t="s">
        <v>2315</v>
      </c>
      <c r="AJ48" t="s">
        <v>1382</v>
      </c>
      <c r="AK48" t="s">
        <v>193</v>
      </c>
      <c r="AM48" t="b">
        <v>0</v>
      </c>
      <c r="AN48" t="s">
        <v>193</v>
      </c>
      <c r="AO48" t="s">
        <v>2579</v>
      </c>
      <c r="AP48" t="s">
        <v>193</v>
      </c>
      <c r="AQ48" t="s">
        <v>2580</v>
      </c>
      <c r="AU48" t="s">
        <v>2234</v>
      </c>
      <c r="AV48" t="b">
        <v>0</v>
      </c>
      <c r="AW48" t="s">
        <v>193</v>
      </c>
      <c r="AX48" t="s">
        <v>2259</v>
      </c>
      <c r="AY48" t="s">
        <v>2581</v>
      </c>
      <c r="AZ48" t="s">
        <v>2582</v>
      </c>
      <c r="BA48" t="s">
        <v>2245</v>
      </c>
      <c r="BB48" t="s">
        <v>1386</v>
      </c>
      <c r="BC48" t="b">
        <v>0</v>
      </c>
      <c r="BD48" t="s">
        <v>2583</v>
      </c>
      <c r="BE48" t="b">
        <v>0</v>
      </c>
      <c r="BF48" t="s">
        <v>2584</v>
      </c>
      <c r="BG48" t="s">
        <v>193</v>
      </c>
      <c r="BI48">
        <v>41259286</v>
      </c>
      <c r="BJ48" t="s">
        <v>73</v>
      </c>
    </row>
    <row r="49" spans="1:62">
      <c r="A49" t="s">
        <v>75</v>
      </c>
      <c r="C49" t="s">
        <v>193</v>
      </c>
      <c r="D49" t="s">
        <v>680</v>
      </c>
      <c r="E49" t="s">
        <v>2585</v>
      </c>
      <c r="F49" t="s">
        <v>193</v>
      </c>
      <c r="M49" t="b">
        <v>0</v>
      </c>
      <c r="BD49" t="s">
        <v>2586</v>
      </c>
      <c r="BE49" t="b">
        <v>1</v>
      </c>
      <c r="BF49" t="s">
        <v>2587</v>
      </c>
      <c r="BG49" t="s">
        <v>193</v>
      </c>
      <c r="BI49">
        <v>41254301</v>
      </c>
      <c r="BJ49" t="s">
        <v>75</v>
      </c>
    </row>
    <row r="50" spans="1:62">
      <c r="A50" t="s">
        <v>77</v>
      </c>
      <c r="C50" t="s">
        <v>2228</v>
      </c>
      <c r="D50" t="s">
        <v>914</v>
      </c>
      <c r="E50" t="s">
        <v>193</v>
      </c>
      <c r="F50" t="s">
        <v>2426</v>
      </c>
      <c r="H50" t="s">
        <v>2230</v>
      </c>
      <c r="I50" t="s">
        <v>2231</v>
      </c>
      <c r="J50" t="s">
        <v>52</v>
      </c>
      <c r="K50">
        <v>3148103</v>
      </c>
      <c r="L50" t="s">
        <v>52</v>
      </c>
      <c r="M50" t="b">
        <v>0</v>
      </c>
      <c r="O50" t="s">
        <v>2232</v>
      </c>
      <c r="P50" t="s">
        <v>2233</v>
      </c>
      <c r="Q50" t="s">
        <v>2232</v>
      </c>
      <c r="R50" t="s">
        <v>2233</v>
      </c>
      <c r="V50" t="s">
        <v>2450</v>
      </c>
      <c r="W50" t="s">
        <v>2428</v>
      </c>
      <c r="X50" t="s">
        <v>2234</v>
      </c>
      <c r="Y50" t="s">
        <v>2588</v>
      </c>
      <c r="Z50" t="s">
        <v>2236</v>
      </c>
      <c r="AA50" t="s">
        <v>2237</v>
      </c>
      <c r="AB50" t="s">
        <v>2236</v>
      </c>
      <c r="AC50" t="s">
        <v>2453</v>
      </c>
      <c r="AD50" t="s">
        <v>2318</v>
      </c>
      <c r="AE50" t="s">
        <v>193</v>
      </c>
      <c r="AF50">
        <v>122972</v>
      </c>
      <c r="AH50" t="s">
        <v>2256</v>
      </c>
      <c r="AI50" t="s">
        <v>2589</v>
      </c>
      <c r="AJ50" t="s">
        <v>2455</v>
      </c>
      <c r="AK50" t="s">
        <v>193</v>
      </c>
      <c r="AM50" t="b">
        <v>0</v>
      </c>
      <c r="AN50" t="s">
        <v>193</v>
      </c>
      <c r="AO50" t="s">
        <v>2590</v>
      </c>
      <c r="AP50" t="s">
        <v>193</v>
      </c>
      <c r="AS50" t="s">
        <v>670</v>
      </c>
      <c r="AT50" t="s">
        <v>699</v>
      </c>
      <c r="AU50" t="s">
        <v>2234</v>
      </c>
      <c r="AV50" t="b">
        <v>0</v>
      </c>
      <c r="AW50" t="s">
        <v>193</v>
      </c>
      <c r="AX50" t="s">
        <v>2259</v>
      </c>
      <c r="AY50" t="s">
        <v>2591</v>
      </c>
      <c r="AZ50" t="s">
        <v>2592</v>
      </c>
      <c r="BA50" t="s">
        <v>2245</v>
      </c>
      <c r="BB50" t="s">
        <v>1414</v>
      </c>
      <c r="BC50" t="b">
        <v>0</v>
      </c>
      <c r="BD50" t="s">
        <v>2593</v>
      </c>
      <c r="BE50" t="b">
        <v>1</v>
      </c>
      <c r="BF50" t="s">
        <v>2594</v>
      </c>
      <c r="BG50" t="s">
        <v>2595</v>
      </c>
      <c r="BI50">
        <v>41247540</v>
      </c>
      <c r="BJ50" t="s">
        <v>77</v>
      </c>
    </row>
    <row r="51" spans="1:62">
      <c r="A51" t="s">
        <v>78</v>
      </c>
      <c r="C51" t="s">
        <v>2228</v>
      </c>
      <c r="D51" t="s">
        <v>914</v>
      </c>
      <c r="E51" t="s">
        <v>193</v>
      </c>
      <c r="F51" t="s">
        <v>2426</v>
      </c>
      <c r="H51" t="s">
        <v>2230</v>
      </c>
      <c r="I51" t="s">
        <v>2231</v>
      </c>
      <c r="J51" t="s">
        <v>79</v>
      </c>
      <c r="K51">
        <v>3171792</v>
      </c>
      <c r="L51" t="s">
        <v>79</v>
      </c>
      <c r="M51" t="b">
        <v>0</v>
      </c>
      <c r="O51" t="s">
        <v>2232</v>
      </c>
      <c r="P51" t="s">
        <v>2233</v>
      </c>
      <c r="Q51" t="s">
        <v>2232</v>
      </c>
      <c r="R51" t="s">
        <v>2233</v>
      </c>
      <c r="V51" t="s">
        <v>2596</v>
      </c>
      <c r="W51" t="s">
        <v>2408</v>
      </c>
      <c r="X51" t="s">
        <v>2234</v>
      </c>
      <c r="Y51" t="s">
        <v>2597</v>
      </c>
      <c r="Z51" t="s">
        <v>2236</v>
      </c>
      <c r="AA51" t="s">
        <v>2237</v>
      </c>
      <c r="AB51" t="s">
        <v>2232</v>
      </c>
      <c r="AC51" t="s">
        <v>2598</v>
      </c>
      <c r="AD51" t="s">
        <v>2567</v>
      </c>
      <c r="AE51" t="s">
        <v>193</v>
      </c>
      <c r="AF51">
        <v>60177</v>
      </c>
      <c r="AH51" t="s">
        <v>2314</v>
      </c>
      <c r="AI51" t="s">
        <v>2282</v>
      </c>
      <c r="AJ51" t="s">
        <v>2599</v>
      </c>
      <c r="AK51" t="s">
        <v>193</v>
      </c>
      <c r="AM51" t="b">
        <v>0</v>
      </c>
      <c r="AN51" t="s">
        <v>193</v>
      </c>
      <c r="AO51" t="s">
        <v>2600</v>
      </c>
      <c r="AP51" t="s">
        <v>193</v>
      </c>
      <c r="AS51" t="s">
        <v>670</v>
      </c>
      <c r="AT51" t="s">
        <v>699</v>
      </c>
      <c r="AU51" t="s">
        <v>2234</v>
      </c>
      <c r="AV51" t="b">
        <v>0</v>
      </c>
      <c r="AW51" t="s">
        <v>193</v>
      </c>
      <c r="AX51" t="s">
        <v>2259</v>
      </c>
      <c r="AY51" t="s">
        <v>2601</v>
      </c>
      <c r="AZ51" t="s">
        <v>2602</v>
      </c>
      <c r="BA51" t="s">
        <v>2245</v>
      </c>
      <c r="BB51" t="s">
        <v>1428</v>
      </c>
      <c r="BC51" t="b">
        <v>0</v>
      </c>
      <c r="BD51" t="s">
        <v>2603</v>
      </c>
      <c r="BE51" t="b">
        <v>1</v>
      </c>
      <c r="BF51" t="s">
        <v>2604</v>
      </c>
      <c r="BG51" t="s">
        <v>2472</v>
      </c>
      <c r="BI51">
        <v>41238114</v>
      </c>
      <c r="BJ51" t="s">
        <v>78</v>
      </c>
    </row>
    <row r="52" spans="1:62">
      <c r="A52" t="s">
        <v>80</v>
      </c>
      <c r="C52" t="s">
        <v>2228</v>
      </c>
      <c r="D52" t="s">
        <v>914</v>
      </c>
      <c r="E52" t="s">
        <v>193</v>
      </c>
      <c r="F52" t="s">
        <v>2605</v>
      </c>
      <c r="H52" t="s">
        <v>2230</v>
      </c>
      <c r="I52" t="s">
        <v>2231</v>
      </c>
      <c r="J52" t="s">
        <v>81</v>
      </c>
      <c r="K52">
        <v>3099749</v>
      </c>
      <c r="L52" t="s">
        <v>81</v>
      </c>
      <c r="M52" t="b">
        <v>0</v>
      </c>
      <c r="O52" t="s">
        <v>2232</v>
      </c>
      <c r="P52" t="s">
        <v>2233</v>
      </c>
      <c r="Q52" t="s">
        <v>2232</v>
      </c>
      <c r="R52" t="s">
        <v>2233</v>
      </c>
      <c r="V52" t="s">
        <v>2606</v>
      </c>
      <c r="X52" t="s">
        <v>2234</v>
      </c>
      <c r="Y52" t="s">
        <v>2607</v>
      </c>
      <c r="Z52" t="s">
        <v>2236</v>
      </c>
      <c r="AA52" t="s">
        <v>2237</v>
      </c>
      <c r="AC52" t="s">
        <v>2608</v>
      </c>
      <c r="AD52" t="s">
        <v>2609</v>
      </c>
      <c r="AE52" t="s">
        <v>193</v>
      </c>
      <c r="AF52">
        <v>102619</v>
      </c>
      <c r="AH52" t="s">
        <v>2465</v>
      </c>
      <c r="AI52" t="s">
        <v>2610</v>
      </c>
      <c r="AJ52" t="s">
        <v>1439</v>
      </c>
      <c r="AK52" t="s">
        <v>193</v>
      </c>
      <c r="AM52" t="b">
        <v>1</v>
      </c>
      <c r="AN52" t="s">
        <v>2502</v>
      </c>
      <c r="AO52" t="s">
        <v>2611</v>
      </c>
      <c r="AP52" t="s">
        <v>193</v>
      </c>
      <c r="AU52" t="s">
        <v>2234</v>
      </c>
      <c r="AV52" t="b">
        <v>0</v>
      </c>
      <c r="AW52" t="s">
        <v>193</v>
      </c>
      <c r="AX52" t="s">
        <v>193</v>
      </c>
      <c r="AY52" t="s">
        <v>2612</v>
      </c>
      <c r="AZ52" t="s">
        <v>2613</v>
      </c>
      <c r="BA52" t="s">
        <v>2245</v>
      </c>
      <c r="BB52" t="s">
        <v>1443</v>
      </c>
      <c r="BC52" t="b">
        <v>0</v>
      </c>
      <c r="BD52" t="s">
        <v>2614</v>
      </c>
      <c r="BE52" t="b">
        <v>0</v>
      </c>
      <c r="BF52" t="s">
        <v>2615</v>
      </c>
      <c r="BG52" t="s">
        <v>193</v>
      </c>
      <c r="BI52">
        <v>41128990</v>
      </c>
      <c r="BJ52" t="s">
        <v>80</v>
      </c>
    </row>
    <row r="53" spans="1:62">
      <c r="A53" t="s">
        <v>82</v>
      </c>
      <c r="C53" t="s">
        <v>2228</v>
      </c>
      <c r="D53" t="s">
        <v>914</v>
      </c>
      <c r="E53" t="s">
        <v>193</v>
      </c>
      <c r="F53" t="s">
        <v>2616</v>
      </c>
      <c r="H53" t="s">
        <v>2230</v>
      </c>
      <c r="J53" t="s">
        <v>83</v>
      </c>
      <c r="L53" t="s">
        <v>83</v>
      </c>
      <c r="M53" t="b">
        <v>0</v>
      </c>
      <c r="O53" t="s">
        <v>2232</v>
      </c>
      <c r="P53" t="s">
        <v>2233</v>
      </c>
      <c r="Q53" t="s">
        <v>2232</v>
      </c>
      <c r="R53" t="s">
        <v>2233</v>
      </c>
      <c r="V53" t="s">
        <v>2617</v>
      </c>
      <c r="W53" t="s">
        <v>2618</v>
      </c>
      <c r="X53" t="s">
        <v>2234</v>
      </c>
      <c r="Y53" t="s">
        <v>2619</v>
      </c>
      <c r="Z53" t="s">
        <v>2236</v>
      </c>
      <c r="AA53" t="s">
        <v>2237</v>
      </c>
      <c r="AB53" t="s">
        <v>2374</v>
      </c>
      <c r="AC53" t="s">
        <v>2620</v>
      </c>
      <c r="AD53" t="s">
        <v>2621</v>
      </c>
      <c r="AE53" t="s">
        <v>193</v>
      </c>
      <c r="AF53">
        <v>125271</v>
      </c>
      <c r="AH53" t="s">
        <v>2362</v>
      </c>
      <c r="AI53" t="s">
        <v>2292</v>
      </c>
      <c r="AJ53" t="s">
        <v>1454</v>
      </c>
      <c r="AK53" t="s">
        <v>193</v>
      </c>
      <c r="AM53" t="b">
        <v>0</v>
      </c>
      <c r="AN53" t="s">
        <v>193</v>
      </c>
      <c r="AO53" t="s">
        <v>2622</v>
      </c>
      <c r="AP53" t="s">
        <v>193</v>
      </c>
      <c r="AS53" t="s">
        <v>670</v>
      </c>
      <c r="AT53" t="s">
        <v>699</v>
      </c>
      <c r="AU53" t="s">
        <v>2234</v>
      </c>
      <c r="AV53" t="b">
        <v>0</v>
      </c>
      <c r="AW53" t="s">
        <v>193</v>
      </c>
      <c r="AX53" t="s">
        <v>193</v>
      </c>
      <c r="AY53" t="s">
        <v>2623</v>
      </c>
      <c r="AZ53" t="s">
        <v>2624</v>
      </c>
      <c r="BA53" t="s">
        <v>2245</v>
      </c>
      <c r="BB53" t="s">
        <v>1458</v>
      </c>
      <c r="BC53" t="b">
        <v>0</v>
      </c>
      <c r="BD53" t="s">
        <v>2625</v>
      </c>
      <c r="BE53" t="b">
        <v>1</v>
      </c>
      <c r="BF53" t="s">
        <v>2626</v>
      </c>
      <c r="BG53" t="s">
        <v>2627</v>
      </c>
      <c r="BI53">
        <v>41120507</v>
      </c>
      <c r="BJ53" t="s">
        <v>82</v>
      </c>
    </row>
    <row r="54" spans="1:62">
      <c r="A54" t="s">
        <v>84</v>
      </c>
      <c r="C54" t="s">
        <v>2228</v>
      </c>
      <c r="D54" t="s">
        <v>914</v>
      </c>
      <c r="E54" t="s">
        <v>2628</v>
      </c>
      <c r="F54" t="s">
        <v>2426</v>
      </c>
      <c r="H54" t="s">
        <v>2230</v>
      </c>
      <c r="I54" t="s">
        <v>2231</v>
      </c>
      <c r="J54" t="s">
        <v>85</v>
      </c>
      <c r="K54">
        <v>3167652</v>
      </c>
      <c r="L54" t="s">
        <v>85</v>
      </c>
      <c r="M54" t="b">
        <v>0</v>
      </c>
      <c r="O54" t="s">
        <v>2232</v>
      </c>
      <c r="P54" t="s">
        <v>2233</v>
      </c>
      <c r="Q54" t="s">
        <v>2232</v>
      </c>
      <c r="R54" t="s">
        <v>2233</v>
      </c>
      <c r="V54" t="s">
        <v>2629</v>
      </c>
      <c r="W54" t="s">
        <v>2408</v>
      </c>
      <c r="X54" t="s">
        <v>2234</v>
      </c>
      <c r="Y54" t="s">
        <v>2630</v>
      </c>
      <c r="Z54" t="s">
        <v>2236</v>
      </c>
      <c r="AA54" t="s">
        <v>2237</v>
      </c>
      <c r="AB54" t="s">
        <v>2421</v>
      </c>
      <c r="AC54" t="s">
        <v>2631</v>
      </c>
      <c r="AD54" t="s">
        <v>2302</v>
      </c>
      <c r="AE54" t="s">
        <v>193</v>
      </c>
      <c r="AF54">
        <v>67798</v>
      </c>
      <c r="AH54" t="s">
        <v>2314</v>
      </c>
      <c r="AI54" t="s">
        <v>2282</v>
      </c>
      <c r="AJ54" t="s">
        <v>1470</v>
      </c>
      <c r="AK54" t="s">
        <v>193</v>
      </c>
      <c r="AM54" t="b">
        <v>0</v>
      </c>
      <c r="AN54" t="s">
        <v>193</v>
      </c>
      <c r="AO54" t="s">
        <v>2632</v>
      </c>
      <c r="AP54" t="s">
        <v>193</v>
      </c>
      <c r="AS54" t="s">
        <v>670</v>
      </c>
      <c r="AT54" t="s">
        <v>699</v>
      </c>
      <c r="AU54" t="s">
        <v>2234</v>
      </c>
      <c r="AV54" t="b">
        <v>0</v>
      </c>
      <c r="AW54" t="s">
        <v>193</v>
      </c>
      <c r="AX54" t="s">
        <v>193</v>
      </c>
      <c r="AY54" t="s">
        <v>2633</v>
      </c>
      <c r="AZ54" t="s">
        <v>2630</v>
      </c>
      <c r="BA54" t="s">
        <v>2245</v>
      </c>
      <c r="BB54" t="s">
        <v>1474</v>
      </c>
      <c r="BC54" t="b">
        <v>0</v>
      </c>
      <c r="BD54" t="s">
        <v>2634</v>
      </c>
      <c r="BE54" t="b">
        <v>0</v>
      </c>
      <c r="BF54" t="s">
        <v>2635</v>
      </c>
      <c r="BG54" t="s">
        <v>193</v>
      </c>
      <c r="BI54">
        <v>41228721</v>
      </c>
      <c r="BJ54" t="s">
        <v>84</v>
      </c>
    </row>
    <row r="55" spans="1:62">
      <c r="A55" t="s">
        <v>86</v>
      </c>
      <c r="C55" t="s">
        <v>2228</v>
      </c>
      <c r="D55" t="s">
        <v>914</v>
      </c>
      <c r="E55" t="s">
        <v>2636</v>
      </c>
      <c r="F55" t="s">
        <v>2358</v>
      </c>
      <c r="H55" t="s">
        <v>2230</v>
      </c>
      <c r="I55" t="s">
        <v>2231</v>
      </c>
      <c r="J55" t="s">
        <v>87</v>
      </c>
      <c r="K55">
        <v>3121717</v>
      </c>
      <c r="L55" t="s">
        <v>87</v>
      </c>
      <c r="M55" t="b">
        <v>0</v>
      </c>
      <c r="O55" t="s">
        <v>2232</v>
      </c>
      <c r="P55" t="s">
        <v>2233</v>
      </c>
      <c r="Q55" t="s">
        <v>2232</v>
      </c>
      <c r="R55" t="s">
        <v>2233</v>
      </c>
      <c r="X55" t="s">
        <v>2234</v>
      </c>
      <c r="Y55" t="s">
        <v>2637</v>
      </c>
      <c r="Z55" t="s">
        <v>2236</v>
      </c>
      <c r="AA55" t="s">
        <v>2237</v>
      </c>
      <c r="AC55" t="s">
        <v>2638</v>
      </c>
      <c r="AD55" t="s">
        <v>2639</v>
      </c>
      <c r="AE55" t="s">
        <v>193</v>
      </c>
      <c r="AF55">
        <v>83673</v>
      </c>
      <c r="AH55" t="s">
        <v>2270</v>
      </c>
      <c r="AI55" t="s">
        <v>2363</v>
      </c>
      <c r="AJ55" t="s">
        <v>2640</v>
      </c>
      <c r="AK55" t="s">
        <v>193</v>
      </c>
      <c r="AM55" t="b">
        <v>0</v>
      </c>
      <c r="AN55" t="s">
        <v>193</v>
      </c>
      <c r="AO55" t="s">
        <v>2641</v>
      </c>
      <c r="AP55" t="s">
        <v>193</v>
      </c>
      <c r="AQ55" t="s">
        <v>2374</v>
      </c>
      <c r="AU55" t="s">
        <v>2234</v>
      </c>
      <c r="AV55" t="b">
        <v>0</v>
      </c>
      <c r="AW55" t="s">
        <v>193</v>
      </c>
      <c r="AX55" t="s">
        <v>2259</v>
      </c>
      <c r="AY55" t="s">
        <v>2642</v>
      </c>
      <c r="AZ55" t="s">
        <v>2643</v>
      </c>
      <c r="BA55" t="s">
        <v>2245</v>
      </c>
      <c r="BB55" t="s">
        <v>1488</v>
      </c>
      <c r="BC55" t="b">
        <v>0</v>
      </c>
      <c r="BD55" t="s">
        <v>2644</v>
      </c>
      <c r="BE55" t="b">
        <v>0</v>
      </c>
      <c r="BF55" t="s">
        <v>2645</v>
      </c>
      <c r="BG55" t="s">
        <v>193</v>
      </c>
      <c r="BI55">
        <v>41222823</v>
      </c>
      <c r="BJ55" t="s">
        <v>86</v>
      </c>
    </row>
    <row r="56" spans="1:62">
      <c r="A56" t="s">
        <v>88</v>
      </c>
      <c r="C56" t="s">
        <v>2228</v>
      </c>
      <c r="D56" t="s">
        <v>914</v>
      </c>
      <c r="E56" t="s">
        <v>193</v>
      </c>
      <c r="F56" t="s">
        <v>2646</v>
      </c>
      <c r="H56" t="s">
        <v>2230</v>
      </c>
      <c r="I56" t="s">
        <v>2231</v>
      </c>
      <c r="J56" t="s">
        <v>89</v>
      </c>
      <c r="K56">
        <v>3150808</v>
      </c>
      <c r="L56" t="s">
        <v>89</v>
      </c>
      <c r="M56" t="b">
        <v>0</v>
      </c>
      <c r="O56" t="s">
        <v>2232</v>
      </c>
      <c r="P56" t="s">
        <v>2233</v>
      </c>
      <c r="Q56" t="s">
        <v>2232</v>
      </c>
      <c r="R56" t="s">
        <v>2233</v>
      </c>
      <c r="V56" t="s">
        <v>2427</v>
      </c>
      <c r="W56" t="s">
        <v>2428</v>
      </c>
      <c r="X56" t="s">
        <v>2234</v>
      </c>
      <c r="Y56" t="s">
        <v>2647</v>
      </c>
      <c r="Z56" t="s">
        <v>2236</v>
      </c>
      <c r="AA56" t="s">
        <v>2237</v>
      </c>
      <c r="AB56" t="s">
        <v>2430</v>
      </c>
      <c r="AC56" t="s">
        <v>2648</v>
      </c>
      <c r="AD56" t="s">
        <v>2649</v>
      </c>
      <c r="AE56" t="s">
        <v>193</v>
      </c>
      <c r="AF56">
        <v>91500</v>
      </c>
      <c r="AH56" t="s">
        <v>2303</v>
      </c>
      <c r="AI56" t="s">
        <v>2650</v>
      </c>
      <c r="AJ56" t="s">
        <v>1498</v>
      </c>
      <c r="AK56" t="s">
        <v>193</v>
      </c>
      <c r="AM56" t="b">
        <v>0</v>
      </c>
      <c r="AN56" t="s">
        <v>193</v>
      </c>
      <c r="AO56" t="s">
        <v>2651</v>
      </c>
      <c r="AP56" t="s">
        <v>193</v>
      </c>
      <c r="AS56" t="s">
        <v>670</v>
      </c>
      <c r="AT56" t="s">
        <v>699</v>
      </c>
      <c r="AU56" t="s">
        <v>2234</v>
      </c>
      <c r="AV56" t="b">
        <v>0</v>
      </c>
      <c r="AW56" t="s">
        <v>193</v>
      </c>
      <c r="AX56" t="s">
        <v>193</v>
      </c>
      <c r="AY56" t="s">
        <v>2652</v>
      </c>
      <c r="AZ56" t="s">
        <v>2653</v>
      </c>
      <c r="BA56" t="s">
        <v>2245</v>
      </c>
      <c r="BB56" t="s">
        <v>1502</v>
      </c>
      <c r="BC56" t="b">
        <v>0</v>
      </c>
      <c r="BD56" t="s">
        <v>2654</v>
      </c>
      <c r="BE56" t="b">
        <v>0</v>
      </c>
      <c r="BF56" t="s">
        <v>2655</v>
      </c>
      <c r="BG56" t="s">
        <v>193</v>
      </c>
      <c r="BI56">
        <v>41203439</v>
      </c>
      <c r="BJ56" t="s">
        <v>88</v>
      </c>
    </row>
    <row r="57" spans="1:62">
      <c r="A57" t="s">
        <v>90</v>
      </c>
      <c r="C57" t="s">
        <v>2228</v>
      </c>
      <c r="D57" t="s">
        <v>914</v>
      </c>
      <c r="E57" t="s">
        <v>193</v>
      </c>
      <c r="F57" t="s">
        <v>2656</v>
      </c>
      <c r="H57" t="s">
        <v>2230</v>
      </c>
      <c r="I57" t="s">
        <v>2231</v>
      </c>
      <c r="J57" t="s">
        <v>83</v>
      </c>
      <c r="K57">
        <v>3157294</v>
      </c>
      <c r="L57" t="s">
        <v>83</v>
      </c>
      <c r="M57" t="b">
        <v>0</v>
      </c>
      <c r="O57" t="s">
        <v>2232</v>
      </c>
      <c r="P57" t="s">
        <v>2233</v>
      </c>
      <c r="Q57" t="s">
        <v>2232</v>
      </c>
      <c r="R57" t="s">
        <v>2233</v>
      </c>
      <c r="V57" t="s">
        <v>2617</v>
      </c>
      <c r="X57" t="s">
        <v>2234</v>
      </c>
      <c r="Y57" t="s">
        <v>2657</v>
      </c>
      <c r="Z57" t="s">
        <v>2236</v>
      </c>
      <c r="AA57" t="s">
        <v>2237</v>
      </c>
      <c r="AC57" t="s">
        <v>2620</v>
      </c>
      <c r="AD57" t="s">
        <v>2658</v>
      </c>
      <c r="AE57" t="s">
        <v>193</v>
      </c>
      <c r="AF57">
        <v>125140</v>
      </c>
      <c r="AH57" t="s">
        <v>2303</v>
      </c>
      <c r="AI57" t="s">
        <v>2363</v>
      </c>
      <c r="AJ57" t="s">
        <v>1454</v>
      </c>
      <c r="AK57" t="s">
        <v>193</v>
      </c>
      <c r="AM57" t="b">
        <v>0</v>
      </c>
      <c r="AN57" t="s">
        <v>193</v>
      </c>
      <c r="AO57" t="s">
        <v>2659</v>
      </c>
      <c r="AP57" t="s">
        <v>193</v>
      </c>
      <c r="AQ57" t="s">
        <v>2580</v>
      </c>
      <c r="AS57" t="s">
        <v>670</v>
      </c>
      <c r="AT57" t="s">
        <v>699</v>
      </c>
      <c r="AU57" t="s">
        <v>2234</v>
      </c>
      <c r="AV57" t="b">
        <v>0</v>
      </c>
      <c r="AW57" t="s">
        <v>193</v>
      </c>
      <c r="AX57" t="s">
        <v>193</v>
      </c>
      <c r="AY57" t="s">
        <v>2660</v>
      </c>
      <c r="AZ57" t="s">
        <v>2661</v>
      </c>
      <c r="BA57" t="s">
        <v>2245</v>
      </c>
      <c r="BB57" t="s">
        <v>1512</v>
      </c>
      <c r="BC57" t="b">
        <v>0</v>
      </c>
      <c r="BD57" t="s">
        <v>2662</v>
      </c>
      <c r="BE57" t="b">
        <v>0</v>
      </c>
      <c r="BF57" t="s">
        <v>2663</v>
      </c>
      <c r="BG57" t="s">
        <v>193</v>
      </c>
      <c r="BI57">
        <v>41192737</v>
      </c>
      <c r="BJ57" t="s">
        <v>90</v>
      </c>
    </row>
    <row r="58" spans="1:62">
      <c r="A58" t="s">
        <v>91</v>
      </c>
      <c r="C58" t="s">
        <v>2228</v>
      </c>
      <c r="D58" t="s">
        <v>914</v>
      </c>
      <c r="E58" t="s">
        <v>2664</v>
      </c>
      <c r="F58" t="s">
        <v>2665</v>
      </c>
      <c r="H58" t="s">
        <v>2249</v>
      </c>
      <c r="J58" t="s">
        <v>92</v>
      </c>
      <c r="L58" t="s">
        <v>92</v>
      </c>
      <c r="M58" t="b">
        <v>0</v>
      </c>
      <c r="O58" t="s">
        <v>2232</v>
      </c>
      <c r="P58" t="s">
        <v>2233</v>
      </c>
      <c r="Q58" t="s">
        <v>2232</v>
      </c>
      <c r="R58" t="s">
        <v>2233</v>
      </c>
      <c r="T58" t="s">
        <v>2232</v>
      </c>
      <c r="U58" t="s">
        <v>2250</v>
      </c>
      <c r="V58" t="s">
        <v>2666</v>
      </c>
      <c r="X58" t="s">
        <v>2234</v>
      </c>
      <c r="Y58" t="s">
        <v>2667</v>
      </c>
      <c r="Z58" t="s">
        <v>2236</v>
      </c>
      <c r="AA58" t="s">
        <v>2237</v>
      </c>
      <c r="AC58" t="s">
        <v>2668</v>
      </c>
      <c r="AD58" t="s">
        <v>2649</v>
      </c>
      <c r="AE58" t="s">
        <v>193</v>
      </c>
      <c r="AF58">
        <v>49364</v>
      </c>
      <c r="AH58" t="s">
        <v>2240</v>
      </c>
      <c r="AI58" t="s">
        <v>2363</v>
      </c>
      <c r="AJ58" t="s">
        <v>1523</v>
      </c>
      <c r="AK58" t="s">
        <v>193</v>
      </c>
      <c r="AM58" t="b">
        <v>1</v>
      </c>
      <c r="AN58" t="s">
        <v>2477</v>
      </c>
      <c r="AO58" t="s">
        <v>2669</v>
      </c>
      <c r="AP58" t="s">
        <v>193</v>
      </c>
      <c r="AQ58" t="s">
        <v>2421</v>
      </c>
      <c r="AU58" t="s">
        <v>2234</v>
      </c>
      <c r="AV58" t="b">
        <v>0</v>
      </c>
      <c r="AW58" t="s">
        <v>193</v>
      </c>
      <c r="AX58" t="s">
        <v>193</v>
      </c>
      <c r="AY58" t="s">
        <v>2670</v>
      </c>
      <c r="AZ58" t="s">
        <v>2671</v>
      </c>
      <c r="BA58" t="s">
        <v>2245</v>
      </c>
      <c r="BB58" t="s">
        <v>1527</v>
      </c>
      <c r="BC58" t="b">
        <v>0</v>
      </c>
      <c r="BD58" t="s">
        <v>2672</v>
      </c>
      <c r="BE58" t="b">
        <v>0</v>
      </c>
      <c r="BF58" t="s">
        <v>2673</v>
      </c>
      <c r="BG58" t="s">
        <v>193</v>
      </c>
      <c r="BI58">
        <v>41189810</v>
      </c>
      <c r="BJ58" t="s">
        <v>91</v>
      </c>
    </row>
    <row r="59" spans="1:62">
      <c r="A59" t="s">
        <v>93</v>
      </c>
      <c r="C59" t="s">
        <v>2228</v>
      </c>
      <c r="D59" t="s">
        <v>914</v>
      </c>
      <c r="E59" t="s">
        <v>193</v>
      </c>
      <c r="F59" t="s">
        <v>2426</v>
      </c>
      <c r="H59" t="s">
        <v>2230</v>
      </c>
      <c r="I59" t="s">
        <v>2231</v>
      </c>
      <c r="J59" t="s">
        <v>94</v>
      </c>
      <c r="K59">
        <v>3127897</v>
      </c>
      <c r="L59" t="s">
        <v>94</v>
      </c>
      <c r="M59" t="b">
        <v>0</v>
      </c>
      <c r="O59" t="s">
        <v>2232</v>
      </c>
      <c r="P59" t="s">
        <v>2233</v>
      </c>
      <c r="Q59" t="s">
        <v>2232</v>
      </c>
      <c r="R59" t="s">
        <v>2233</v>
      </c>
      <c r="W59" t="s">
        <v>2335</v>
      </c>
      <c r="X59" t="s">
        <v>2234</v>
      </c>
      <c r="Y59" t="s">
        <v>2674</v>
      </c>
      <c r="Z59" t="s">
        <v>2236</v>
      </c>
      <c r="AA59" t="s">
        <v>2237</v>
      </c>
      <c r="AB59" t="s">
        <v>2421</v>
      </c>
      <c r="AC59" t="s">
        <v>2675</v>
      </c>
      <c r="AD59" t="s">
        <v>2649</v>
      </c>
      <c r="AE59" t="s">
        <v>193</v>
      </c>
      <c r="AF59">
        <v>20156</v>
      </c>
      <c r="AH59" t="s">
        <v>2676</v>
      </c>
      <c r="AI59" t="s">
        <v>2412</v>
      </c>
      <c r="AJ59" t="s">
        <v>2677</v>
      </c>
      <c r="AK59" t="s">
        <v>193</v>
      </c>
      <c r="AM59" t="b">
        <v>0</v>
      </c>
      <c r="AN59" t="s">
        <v>193</v>
      </c>
      <c r="AO59" t="s">
        <v>2678</v>
      </c>
      <c r="AP59" t="s">
        <v>193</v>
      </c>
      <c r="AS59" t="s">
        <v>670</v>
      </c>
      <c r="AT59" t="s">
        <v>699</v>
      </c>
      <c r="AU59" t="s">
        <v>2234</v>
      </c>
      <c r="AV59" t="b">
        <v>0</v>
      </c>
      <c r="AW59" t="s">
        <v>193</v>
      </c>
      <c r="AX59" t="s">
        <v>193</v>
      </c>
      <c r="AY59" t="s">
        <v>2679</v>
      </c>
      <c r="AZ59" t="s">
        <v>2674</v>
      </c>
      <c r="BA59" t="s">
        <v>2245</v>
      </c>
      <c r="BB59" t="s">
        <v>1549</v>
      </c>
      <c r="BC59" t="b">
        <v>0</v>
      </c>
      <c r="BD59" t="s">
        <v>2680</v>
      </c>
      <c r="BE59" t="b">
        <v>0</v>
      </c>
      <c r="BF59" t="s">
        <v>2678</v>
      </c>
      <c r="BG59" t="s">
        <v>193</v>
      </c>
      <c r="BI59">
        <v>41169630</v>
      </c>
      <c r="BJ59" t="s">
        <v>93</v>
      </c>
    </row>
    <row r="60" spans="1:62">
      <c r="A60" t="s">
        <v>95</v>
      </c>
      <c r="C60" t="s">
        <v>2228</v>
      </c>
      <c r="D60" t="s">
        <v>914</v>
      </c>
      <c r="E60" t="s">
        <v>2681</v>
      </c>
      <c r="F60" t="s">
        <v>2407</v>
      </c>
      <c r="H60" t="s">
        <v>2249</v>
      </c>
      <c r="I60" t="s">
        <v>2231</v>
      </c>
      <c r="J60" t="s">
        <v>96</v>
      </c>
      <c r="K60">
        <v>3151089</v>
      </c>
      <c r="L60" t="s">
        <v>96</v>
      </c>
      <c r="M60" t="b">
        <v>1</v>
      </c>
      <c r="O60" t="s">
        <v>2232</v>
      </c>
      <c r="P60" t="s">
        <v>2233</v>
      </c>
      <c r="Q60" t="s">
        <v>2232</v>
      </c>
      <c r="R60" t="s">
        <v>2233</v>
      </c>
      <c r="T60" t="s">
        <v>2232</v>
      </c>
      <c r="U60" t="s">
        <v>2250</v>
      </c>
      <c r="W60" t="s">
        <v>2682</v>
      </c>
      <c r="X60" t="s">
        <v>2234</v>
      </c>
      <c r="Y60" t="s">
        <v>2683</v>
      </c>
      <c r="Z60" t="s">
        <v>2236</v>
      </c>
      <c r="AA60" t="s">
        <v>2237</v>
      </c>
      <c r="AB60" t="s">
        <v>2684</v>
      </c>
      <c r="AC60" t="s">
        <v>2685</v>
      </c>
      <c r="AD60" t="s">
        <v>2649</v>
      </c>
      <c r="AE60" t="s">
        <v>193</v>
      </c>
      <c r="AF60">
        <v>113554</v>
      </c>
      <c r="AH60" t="s">
        <v>2339</v>
      </c>
      <c r="AI60" t="s">
        <v>2686</v>
      </c>
      <c r="AJ60" t="s">
        <v>2687</v>
      </c>
      <c r="AK60" t="s">
        <v>193</v>
      </c>
      <c r="AM60" t="b">
        <v>1</v>
      </c>
      <c r="AN60" t="s">
        <v>2477</v>
      </c>
      <c r="AO60" t="s">
        <v>2688</v>
      </c>
      <c r="AP60" t="s">
        <v>193</v>
      </c>
      <c r="AS60" t="s">
        <v>670</v>
      </c>
      <c r="AT60" t="s">
        <v>699</v>
      </c>
      <c r="AU60" t="s">
        <v>2234</v>
      </c>
      <c r="AV60" t="b">
        <v>0</v>
      </c>
      <c r="AW60" t="s">
        <v>193</v>
      </c>
      <c r="AX60" t="s">
        <v>2259</v>
      </c>
      <c r="AY60" t="s">
        <v>2689</v>
      </c>
      <c r="AZ60" t="s">
        <v>2690</v>
      </c>
      <c r="BA60" t="s">
        <v>2245</v>
      </c>
      <c r="BB60" t="s">
        <v>1565</v>
      </c>
      <c r="BC60" t="b">
        <v>0</v>
      </c>
      <c r="BD60" t="s">
        <v>2691</v>
      </c>
      <c r="BE60" t="b">
        <v>1</v>
      </c>
      <c r="BF60" t="s">
        <v>2692</v>
      </c>
      <c r="BG60" t="s">
        <v>2693</v>
      </c>
      <c r="BI60">
        <v>41179282</v>
      </c>
      <c r="BJ60" t="s">
        <v>95</v>
      </c>
    </row>
    <row r="61" spans="1:62">
      <c r="A61" t="s">
        <v>97</v>
      </c>
      <c r="C61" t="s">
        <v>2228</v>
      </c>
      <c r="D61" t="s">
        <v>914</v>
      </c>
      <c r="E61" t="s">
        <v>2694</v>
      </c>
      <c r="F61" t="s">
        <v>2229</v>
      </c>
      <c r="H61" t="s">
        <v>2230</v>
      </c>
      <c r="I61" t="s">
        <v>2231</v>
      </c>
      <c r="J61" t="s">
        <v>98</v>
      </c>
      <c r="K61">
        <v>3112802</v>
      </c>
      <c r="L61" t="s">
        <v>98</v>
      </c>
      <c r="M61" t="b">
        <v>0</v>
      </c>
      <c r="O61" t="s">
        <v>2232</v>
      </c>
      <c r="P61" t="s">
        <v>2233</v>
      </c>
      <c r="Q61" t="s">
        <v>2232</v>
      </c>
      <c r="R61" t="s">
        <v>2233</v>
      </c>
      <c r="W61" t="s">
        <v>2251</v>
      </c>
      <c r="X61" t="s">
        <v>2234</v>
      </c>
      <c r="Y61" t="s">
        <v>2695</v>
      </c>
      <c r="Z61" t="s">
        <v>2236</v>
      </c>
      <c r="AA61" t="s">
        <v>2237</v>
      </c>
      <c r="AB61" t="s">
        <v>2251</v>
      </c>
      <c r="AC61" t="s">
        <v>2696</v>
      </c>
      <c r="AD61" t="s">
        <v>2543</v>
      </c>
      <c r="AE61" t="s">
        <v>193</v>
      </c>
      <c r="AF61">
        <v>62874</v>
      </c>
      <c r="AH61" t="s">
        <v>2314</v>
      </c>
      <c r="AI61" t="s">
        <v>2304</v>
      </c>
      <c r="AJ61" t="s">
        <v>1578</v>
      </c>
      <c r="AK61" t="s">
        <v>193</v>
      </c>
      <c r="AM61" t="b">
        <v>0</v>
      </c>
      <c r="AN61" t="s">
        <v>193</v>
      </c>
      <c r="AO61" t="s">
        <v>2697</v>
      </c>
      <c r="AP61" t="s">
        <v>193</v>
      </c>
      <c r="AU61" t="s">
        <v>2234</v>
      </c>
      <c r="AV61" t="b">
        <v>0</v>
      </c>
      <c r="AW61" t="s">
        <v>193</v>
      </c>
      <c r="AX61" t="s">
        <v>193</v>
      </c>
      <c r="AY61" t="s">
        <v>2698</v>
      </c>
      <c r="AZ61" t="s">
        <v>2695</v>
      </c>
      <c r="BA61" t="s">
        <v>2245</v>
      </c>
      <c r="BB61" t="s">
        <v>1582</v>
      </c>
      <c r="BC61" t="b">
        <v>0</v>
      </c>
      <c r="BD61" t="s">
        <v>2699</v>
      </c>
      <c r="BE61" t="b">
        <v>0</v>
      </c>
      <c r="BF61" t="s">
        <v>2700</v>
      </c>
      <c r="BG61" t="s">
        <v>193</v>
      </c>
      <c r="BI61">
        <v>41161416</v>
      </c>
      <c r="BJ61" t="s">
        <v>97</v>
      </c>
    </row>
    <row r="62" spans="1:62">
      <c r="A62" t="s">
        <v>99</v>
      </c>
      <c r="C62" t="s">
        <v>2228</v>
      </c>
      <c r="D62" t="s">
        <v>914</v>
      </c>
      <c r="E62" t="s">
        <v>193</v>
      </c>
      <c r="F62" t="s">
        <v>2616</v>
      </c>
      <c r="H62" t="s">
        <v>2230</v>
      </c>
      <c r="I62" t="s">
        <v>2231</v>
      </c>
      <c r="J62" t="s">
        <v>52</v>
      </c>
      <c r="K62">
        <v>3115394</v>
      </c>
      <c r="L62" t="s">
        <v>52</v>
      </c>
      <c r="M62" t="b">
        <v>0</v>
      </c>
      <c r="O62" t="s">
        <v>2232</v>
      </c>
      <c r="P62" t="s">
        <v>2233</v>
      </c>
      <c r="Q62" t="s">
        <v>2232</v>
      </c>
      <c r="R62" t="s">
        <v>2233</v>
      </c>
      <c r="V62" t="s">
        <v>2701</v>
      </c>
      <c r="W62" t="s">
        <v>2251</v>
      </c>
      <c r="X62" t="s">
        <v>2234</v>
      </c>
      <c r="Y62" t="s">
        <v>2702</v>
      </c>
      <c r="Z62" t="s">
        <v>2236</v>
      </c>
      <c r="AA62" t="s">
        <v>2237</v>
      </c>
      <c r="AB62" t="s">
        <v>2251</v>
      </c>
      <c r="AC62" t="s">
        <v>2453</v>
      </c>
      <c r="AD62" t="s">
        <v>2376</v>
      </c>
      <c r="AE62" t="s">
        <v>193</v>
      </c>
      <c r="AF62">
        <v>58351</v>
      </c>
      <c r="AH62" t="s">
        <v>2314</v>
      </c>
      <c r="AI62" t="s">
        <v>2703</v>
      </c>
      <c r="AJ62" t="s">
        <v>2455</v>
      </c>
      <c r="AK62" t="s">
        <v>193</v>
      </c>
      <c r="AM62" t="b">
        <v>0</v>
      </c>
      <c r="AN62" t="s">
        <v>193</v>
      </c>
      <c r="AO62" t="s">
        <v>2704</v>
      </c>
      <c r="AP62" t="s">
        <v>193</v>
      </c>
      <c r="AS62" t="s">
        <v>670</v>
      </c>
      <c r="AT62" t="s">
        <v>699</v>
      </c>
      <c r="AU62" t="s">
        <v>2234</v>
      </c>
      <c r="AV62" t="b">
        <v>0</v>
      </c>
      <c r="AW62" t="s">
        <v>193</v>
      </c>
      <c r="AX62" t="s">
        <v>2259</v>
      </c>
      <c r="AY62" t="s">
        <v>2705</v>
      </c>
      <c r="AZ62" t="s">
        <v>2706</v>
      </c>
      <c r="BA62" t="s">
        <v>2245</v>
      </c>
      <c r="BB62" t="s">
        <v>1594</v>
      </c>
      <c r="BC62" t="b">
        <v>0</v>
      </c>
      <c r="BD62" t="s">
        <v>2707</v>
      </c>
      <c r="BE62" t="b">
        <v>1</v>
      </c>
      <c r="BF62" t="s">
        <v>2708</v>
      </c>
      <c r="BG62" t="s">
        <v>2709</v>
      </c>
      <c r="BI62">
        <v>41151139</v>
      </c>
      <c r="BJ62" t="s">
        <v>99</v>
      </c>
    </row>
    <row r="63" spans="1:62">
      <c r="A63" t="s">
        <v>100</v>
      </c>
      <c r="C63" t="s">
        <v>2228</v>
      </c>
      <c r="D63" t="s">
        <v>914</v>
      </c>
      <c r="E63" t="s">
        <v>2710</v>
      </c>
      <c r="F63" t="s">
        <v>2280</v>
      </c>
      <c r="H63" t="s">
        <v>2249</v>
      </c>
      <c r="J63" t="s">
        <v>101</v>
      </c>
      <c r="L63" t="s">
        <v>101</v>
      </c>
      <c r="M63" t="b">
        <v>0</v>
      </c>
      <c r="O63" t="s">
        <v>2232</v>
      </c>
      <c r="P63" t="s">
        <v>2233</v>
      </c>
      <c r="Q63" t="s">
        <v>2232</v>
      </c>
      <c r="R63" t="s">
        <v>2233</v>
      </c>
      <c r="T63" t="s">
        <v>2232</v>
      </c>
      <c r="U63" t="s">
        <v>2250</v>
      </c>
      <c r="W63" t="s">
        <v>2451</v>
      </c>
      <c r="X63" t="s">
        <v>2234</v>
      </c>
      <c r="Y63" t="s">
        <v>2711</v>
      </c>
      <c r="Z63" t="s">
        <v>2236</v>
      </c>
      <c r="AA63" t="s">
        <v>2237</v>
      </c>
      <c r="AB63" t="s">
        <v>2712</v>
      </c>
      <c r="AC63" t="s">
        <v>2713</v>
      </c>
      <c r="AD63" t="s">
        <v>2714</v>
      </c>
      <c r="AE63" t="s">
        <v>193</v>
      </c>
      <c r="AF63">
        <v>72993</v>
      </c>
      <c r="AH63" t="s">
        <v>2715</v>
      </c>
      <c r="AI63" t="s">
        <v>2716</v>
      </c>
      <c r="AJ63" t="s">
        <v>1606</v>
      </c>
      <c r="AK63" t="s">
        <v>193</v>
      </c>
      <c r="AM63" t="b">
        <v>0</v>
      </c>
      <c r="AN63" t="s">
        <v>193</v>
      </c>
      <c r="AO63" t="s">
        <v>2717</v>
      </c>
      <c r="AP63" t="s">
        <v>193</v>
      </c>
      <c r="AS63" t="s">
        <v>670</v>
      </c>
      <c r="AT63" t="s">
        <v>699</v>
      </c>
      <c r="AU63" t="s">
        <v>2234</v>
      </c>
      <c r="AV63" t="b">
        <v>0</v>
      </c>
      <c r="AW63" t="s">
        <v>193</v>
      </c>
      <c r="AX63" t="s">
        <v>193</v>
      </c>
      <c r="AY63" t="s">
        <v>2718</v>
      </c>
      <c r="AZ63" t="s">
        <v>2719</v>
      </c>
      <c r="BA63" t="s">
        <v>2245</v>
      </c>
      <c r="BB63" t="s">
        <v>2720</v>
      </c>
      <c r="BC63" t="b">
        <v>0</v>
      </c>
      <c r="BD63" t="s">
        <v>2721</v>
      </c>
      <c r="BE63" t="b">
        <v>1</v>
      </c>
      <c r="BF63" t="s">
        <v>2722</v>
      </c>
      <c r="BG63" t="s">
        <v>2723</v>
      </c>
      <c r="BI63">
        <v>41149660</v>
      </c>
      <c r="BJ63" t="s">
        <v>100</v>
      </c>
    </row>
    <row r="64" spans="1:62">
      <c r="A64" t="s">
        <v>102</v>
      </c>
      <c r="C64" t="s">
        <v>193</v>
      </c>
      <c r="D64" t="s">
        <v>680</v>
      </c>
      <c r="E64" t="s">
        <v>2724</v>
      </c>
      <c r="F64" t="s">
        <v>193</v>
      </c>
      <c r="M64" t="b">
        <v>0</v>
      </c>
      <c r="BD64" t="s">
        <v>2725</v>
      </c>
      <c r="BE64" t="b">
        <v>0</v>
      </c>
      <c r="BF64" t="s">
        <v>2726</v>
      </c>
      <c r="BG64" t="s">
        <v>193</v>
      </c>
      <c r="BI64">
        <v>41148444</v>
      </c>
      <c r="BJ64" t="s">
        <v>102</v>
      </c>
    </row>
    <row r="65" spans="1:63">
      <c r="A65" t="s">
        <v>104</v>
      </c>
      <c r="C65" t="s">
        <v>2228</v>
      </c>
      <c r="D65" t="s">
        <v>914</v>
      </c>
      <c r="E65" t="s">
        <v>193</v>
      </c>
      <c r="F65" t="s">
        <v>2727</v>
      </c>
      <c r="H65" t="s">
        <v>2249</v>
      </c>
      <c r="J65" t="s">
        <v>105</v>
      </c>
      <c r="L65" t="s">
        <v>105</v>
      </c>
      <c r="M65" t="b">
        <v>0</v>
      </c>
      <c r="O65" t="s">
        <v>2232</v>
      </c>
      <c r="P65" t="s">
        <v>2233</v>
      </c>
      <c r="Q65" t="s">
        <v>2232</v>
      </c>
      <c r="R65" t="s">
        <v>2233</v>
      </c>
      <c r="T65" t="s">
        <v>2232</v>
      </c>
      <c r="U65" t="s">
        <v>2250</v>
      </c>
      <c r="V65" t="s">
        <v>2441</v>
      </c>
      <c r="W65" t="s">
        <v>2728</v>
      </c>
      <c r="X65" t="s">
        <v>2234</v>
      </c>
      <c r="Y65" t="s">
        <v>2729</v>
      </c>
      <c r="Z65" t="s">
        <v>2232</v>
      </c>
      <c r="AA65" t="s">
        <v>2253</v>
      </c>
      <c r="AB65" t="s">
        <v>2421</v>
      </c>
      <c r="AC65" t="s">
        <v>2441</v>
      </c>
      <c r="AD65" t="s">
        <v>2561</v>
      </c>
      <c r="AE65" t="s">
        <v>193</v>
      </c>
      <c r="AF65">
        <v>155435</v>
      </c>
      <c r="AH65" t="s">
        <v>2339</v>
      </c>
      <c r="AI65" t="s">
        <v>2730</v>
      </c>
      <c r="AJ65" t="s">
        <v>192</v>
      </c>
      <c r="AK65" t="s">
        <v>193</v>
      </c>
      <c r="AM65" t="b">
        <v>0</v>
      </c>
      <c r="AN65" t="s">
        <v>193</v>
      </c>
      <c r="AO65" t="s">
        <v>2731</v>
      </c>
      <c r="AP65" t="s">
        <v>193</v>
      </c>
      <c r="AU65" t="s">
        <v>2234</v>
      </c>
      <c r="AV65" t="b">
        <v>0</v>
      </c>
      <c r="AW65" t="s">
        <v>193</v>
      </c>
      <c r="AX65" t="s">
        <v>193</v>
      </c>
      <c r="AY65" t="s">
        <v>2732</v>
      </c>
      <c r="AZ65" t="s">
        <v>2733</v>
      </c>
      <c r="BA65" t="s">
        <v>2245</v>
      </c>
      <c r="BB65" t="s">
        <v>2734</v>
      </c>
      <c r="BC65" t="b">
        <v>0</v>
      </c>
      <c r="BD65" t="s">
        <v>2735</v>
      </c>
      <c r="BE65" t="b">
        <v>1</v>
      </c>
      <c r="BF65" t="s">
        <v>2736</v>
      </c>
      <c r="BG65" t="s">
        <v>2538</v>
      </c>
      <c r="BI65">
        <v>41146024</v>
      </c>
      <c r="BJ65" t="s">
        <v>104</v>
      </c>
    </row>
    <row r="66" spans="1:63">
      <c r="A66" t="s">
        <v>106</v>
      </c>
      <c r="C66" t="s">
        <v>2228</v>
      </c>
      <c r="D66" t="s">
        <v>914</v>
      </c>
      <c r="E66" t="s">
        <v>193</v>
      </c>
      <c r="F66" t="s">
        <v>2407</v>
      </c>
      <c r="H66" t="s">
        <v>2249</v>
      </c>
      <c r="J66" t="s">
        <v>107</v>
      </c>
      <c r="L66" t="s">
        <v>107</v>
      </c>
      <c r="M66" t="b">
        <v>0</v>
      </c>
      <c r="O66" t="s">
        <v>2232</v>
      </c>
      <c r="P66" t="s">
        <v>2233</v>
      </c>
      <c r="Q66" t="s">
        <v>2232</v>
      </c>
      <c r="R66" t="s">
        <v>2233</v>
      </c>
      <c r="T66" t="s">
        <v>2232</v>
      </c>
      <c r="U66" t="s">
        <v>2250</v>
      </c>
      <c r="W66" t="s">
        <v>2485</v>
      </c>
      <c r="X66" t="s">
        <v>2234</v>
      </c>
      <c r="Y66" t="s">
        <v>2737</v>
      </c>
      <c r="Z66" t="s">
        <v>2232</v>
      </c>
      <c r="AA66" t="s">
        <v>2253</v>
      </c>
      <c r="AB66" t="s">
        <v>2487</v>
      </c>
      <c r="AC66" t="s">
        <v>2441</v>
      </c>
      <c r="AD66" t="s">
        <v>2738</v>
      </c>
      <c r="AE66" t="s">
        <v>193</v>
      </c>
      <c r="AF66">
        <v>58899</v>
      </c>
      <c r="AH66" t="s">
        <v>2676</v>
      </c>
      <c r="AI66" t="s">
        <v>2739</v>
      </c>
      <c r="AJ66" t="s">
        <v>2740</v>
      </c>
      <c r="AK66" t="s">
        <v>193</v>
      </c>
      <c r="AM66" t="b">
        <v>0</v>
      </c>
      <c r="AN66" t="s">
        <v>193</v>
      </c>
      <c r="AO66" t="s">
        <v>2741</v>
      </c>
      <c r="AP66" t="s">
        <v>193</v>
      </c>
      <c r="AS66" t="s">
        <v>670</v>
      </c>
      <c r="AT66" t="s">
        <v>699</v>
      </c>
      <c r="AU66" t="s">
        <v>2234</v>
      </c>
      <c r="AV66" t="b">
        <v>0</v>
      </c>
      <c r="AW66" t="s">
        <v>193</v>
      </c>
      <c r="AX66" t="s">
        <v>193</v>
      </c>
      <c r="AY66" t="s">
        <v>2742</v>
      </c>
      <c r="AZ66" t="s">
        <v>2737</v>
      </c>
      <c r="BA66" t="s">
        <v>2245</v>
      </c>
      <c r="BB66" t="s">
        <v>1658</v>
      </c>
      <c r="BC66" t="b">
        <v>0</v>
      </c>
      <c r="BD66" t="s">
        <v>2743</v>
      </c>
      <c r="BE66" t="b">
        <v>0</v>
      </c>
      <c r="BF66" t="s">
        <v>2744</v>
      </c>
      <c r="BG66" t="s">
        <v>193</v>
      </c>
      <c r="BI66">
        <v>40403035</v>
      </c>
      <c r="BJ66" t="s">
        <v>106</v>
      </c>
    </row>
    <row r="67" spans="1:63">
      <c r="A67" t="s">
        <v>108</v>
      </c>
      <c r="C67" t="s">
        <v>2228</v>
      </c>
      <c r="D67" t="s">
        <v>914</v>
      </c>
      <c r="E67" t="s">
        <v>193</v>
      </c>
      <c r="F67" t="s">
        <v>2267</v>
      </c>
      <c r="H67" t="s">
        <v>2249</v>
      </c>
      <c r="J67" t="s">
        <v>109</v>
      </c>
      <c r="L67" t="s">
        <v>109</v>
      </c>
      <c r="M67" t="b">
        <v>0</v>
      </c>
      <c r="O67" t="s">
        <v>2232</v>
      </c>
      <c r="P67" t="s">
        <v>2233</v>
      </c>
      <c r="Q67" t="s">
        <v>2232</v>
      </c>
      <c r="R67" t="s">
        <v>2233</v>
      </c>
      <c r="T67" t="s">
        <v>2232</v>
      </c>
      <c r="U67" t="s">
        <v>2250</v>
      </c>
      <c r="V67" t="s">
        <v>2745</v>
      </c>
      <c r="X67" t="s">
        <v>2234</v>
      </c>
      <c r="Y67" t="s">
        <v>2746</v>
      </c>
      <c r="Z67" t="s">
        <v>2236</v>
      </c>
      <c r="AA67" t="s">
        <v>2237</v>
      </c>
      <c r="AC67" t="s">
        <v>2747</v>
      </c>
      <c r="AD67" t="s">
        <v>2748</v>
      </c>
      <c r="AE67" t="s">
        <v>193</v>
      </c>
      <c r="AF67">
        <v>77874</v>
      </c>
      <c r="AH67" t="s">
        <v>2676</v>
      </c>
      <c r="AI67" t="s">
        <v>2315</v>
      </c>
      <c r="AJ67" t="s">
        <v>2749</v>
      </c>
      <c r="AK67" t="s">
        <v>193</v>
      </c>
      <c r="AM67" t="b">
        <v>0</v>
      </c>
      <c r="AN67" t="s">
        <v>193</v>
      </c>
      <c r="AO67" t="s">
        <v>2750</v>
      </c>
      <c r="AP67" t="s">
        <v>193</v>
      </c>
      <c r="AQ67" t="s">
        <v>2421</v>
      </c>
      <c r="AS67" t="s">
        <v>670</v>
      </c>
      <c r="AT67" t="s">
        <v>699</v>
      </c>
      <c r="AU67" t="s">
        <v>2234</v>
      </c>
      <c r="AV67" t="b">
        <v>0</v>
      </c>
      <c r="AW67" t="s">
        <v>193</v>
      </c>
      <c r="AX67" t="s">
        <v>2259</v>
      </c>
      <c r="AY67" t="s">
        <v>2751</v>
      </c>
      <c r="AZ67" t="s">
        <v>2752</v>
      </c>
      <c r="BA67" t="s">
        <v>2245</v>
      </c>
      <c r="BB67" t="s">
        <v>1675</v>
      </c>
      <c r="BC67" t="b">
        <v>0</v>
      </c>
      <c r="BD67" t="s">
        <v>2753</v>
      </c>
      <c r="BE67" t="b">
        <v>1</v>
      </c>
      <c r="BF67" t="s">
        <v>2754</v>
      </c>
      <c r="BG67" t="s">
        <v>2755</v>
      </c>
      <c r="BI67">
        <v>40788412</v>
      </c>
      <c r="BJ67" t="s">
        <v>108</v>
      </c>
    </row>
    <row r="68" spans="1:63">
      <c r="A68" t="s">
        <v>110</v>
      </c>
      <c r="C68" t="s">
        <v>2228</v>
      </c>
      <c r="D68" t="s">
        <v>914</v>
      </c>
      <c r="E68" t="s">
        <v>193</v>
      </c>
      <c r="F68" t="s">
        <v>2333</v>
      </c>
      <c r="H68" t="s">
        <v>2230</v>
      </c>
      <c r="I68" t="s">
        <v>2231</v>
      </c>
      <c r="J68" t="s">
        <v>111</v>
      </c>
      <c r="K68">
        <v>2865081</v>
      </c>
      <c r="L68" t="s">
        <v>111</v>
      </c>
      <c r="M68" t="b">
        <v>0</v>
      </c>
      <c r="O68" t="s">
        <v>2232</v>
      </c>
      <c r="P68" t="s">
        <v>2233</v>
      </c>
      <c r="Q68" t="s">
        <v>2232</v>
      </c>
      <c r="R68" t="s">
        <v>2233</v>
      </c>
      <c r="V68" t="s">
        <v>2756</v>
      </c>
      <c r="W68" t="s">
        <v>2728</v>
      </c>
      <c r="X68" t="s">
        <v>2234</v>
      </c>
      <c r="Y68" t="s">
        <v>2757</v>
      </c>
      <c r="Z68" t="s">
        <v>2236</v>
      </c>
      <c r="AA68" t="s">
        <v>2237</v>
      </c>
      <c r="AB68" t="s">
        <v>2758</v>
      </c>
      <c r="AC68" t="s">
        <v>2759</v>
      </c>
      <c r="AD68" t="s">
        <v>2760</v>
      </c>
      <c r="AE68" t="s">
        <v>193</v>
      </c>
      <c r="AF68">
        <v>19473</v>
      </c>
      <c r="AH68" t="s">
        <v>2500</v>
      </c>
      <c r="AI68" t="s">
        <v>2501</v>
      </c>
      <c r="AJ68" t="s">
        <v>1686</v>
      </c>
      <c r="AK68" t="s">
        <v>193</v>
      </c>
      <c r="AM68" t="b">
        <v>0</v>
      </c>
      <c r="AN68" t="s">
        <v>193</v>
      </c>
      <c r="AO68" t="s">
        <v>2761</v>
      </c>
      <c r="AP68" t="s">
        <v>193</v>
      </c>
      <c r="AU68" t="s">
        <v>2234</v>
      </c>
      <c r="AV68" t="b">
        <v>0</v>
      </c>
      <c r="AW68" t="s">
        <v>193</v>
      </c>
      <c r="AX68" t="s">
        <v>2259</v>
      </c>
      <c r="AY68" t="s">
        <v>2762</v>
      </c>
      <c r="AZ68" t="s">
        <v>2757</v>
      </c>
      <c r="BA68" t="s">
        <v>2245</v>
      </c>
      <c r="BB68" t="s">
        <v>2763</v>
      </c>
      <c r="BC68" t="b">
        <v>0</v>
      </c>
      <c r="BD68" t="s">
        <v>2764</v>
      </c>
      <c r="BE68" t="b">
        <v>0</v>
      </c>
      <c r="BF68" t="s">
        <v>2761</v>
      </c>
      <c r="BG68" t="s">
        <v>193</v>
      </c>
      <c r="BI68">
        <v>40211340</v>
      </c>
      <c r="BJ68" t="s">
        <v>110</v>
      </c>
    </row>
    <row r="69" spans="1:63">
      <c r="A69" t="s">
        <v>112</v>
      </c>
      <c r="C69" t="s">
        <v>2228</v>
      </c>
      <c r="D69" t="s">
        <v>914</v>
      </c>
      <c r="E69" t="s">
        <v>193</v>
      </c>
      <c r="F69" t="s">
        <v>2280</v>
      </c>
      <c r="H69" t="s">
        <v>2249</v>
      </c>
      <c r="J69" t="s">
        <v>113</v>
      </c>
      <c r="L69" t="s">
        <v>113</v>
      </c>
      <c r="M69" t="b">
        <v>1</v>
      </c>
      <c r="O69" t="s">
        <v>2232</v>
      </c>
      <c r="P69" t="s">
        <v>2233</v>
      </c>
      <c r="Q69" t="s">
        <v>2232</v>
      </c>
      <c r="R69" t="s">
        <v>2233</v>
      </c>
      <c r="T69" t="s">
        <v>2232</v>
      </c>
      <c r="U69" t="s">
        <v>2250</v>
      </c>
      <c r="W69" t="s">
        <v>2251</v>
      </c>
      <c r="X69" t="s">
        <v>2234</v>
      </c>
      <c r="Y69" t="s">
        <v>2765</v>
      </c>
      <c r="Z69" t="s">
        <v>2236</v>
      </c>
      <c r="AA69" t="s">
        <v>2237</v>
      </c>
      <c r="AB69" t="s">
        <v>2251</v>
      </c>
      <c r="AC69" t="s">
        <v>2766</v>
      </c>
      <c r="AD69" t="s">
        <v>2767</v>
      </c>
      <c r="AE69" t="s">
        <v>193</v>
      </c>
      <c r="AF69">
        <v>60108</v>
      </c>
      <c r="AH69" t="s">
        <v>2303</v>
      </c>
      <c r="AI69" t="s">
        <v>2282</v>
      </c>
      <c r="AJ69" t="s">
        <v>2768</v>
      </c>
      <c r="AK69" t="s">
        <v>193</v>
      </c>
      <c r="AM69" t="b">
        <v>0</v>
      </c>
      <c r="AN69" t="s">
        <v>193</v>
      </c>
      <c r="AO69" t="s">
        <v>2769</v>
      </c>
      <c r="AP69" t="s">
        <v>193</v>
      </c>
      <c r="AS69" t="s">
        <v>670</v>
      </c>
      <c r="AT69" t="s">
        <v>699</v>
      </c>
      <c r="AU69" t="s">
        <v>2234</v>
      </c>
      <c r="AV69" t="b">
        <v>0</v>
      </c>
      <c r="AW69" t="s">
        <v>193</v>
      </c>
      <c r="AX69" t="s">
        <v>193</v>
      </c>
      <c r="AY69" t="s">
        <v>2770</v>
      </c>
      <c r="AZ69" t="s">
        <v>2771</v>
      </c>
      <c r="BA69" t="s">
        <v>2245</v>
      </c>
      <c r="BB69" t="s">
        <v>2772</v>
      </c>
      <c r="BC69" t="b">
        <v>0</v>
      </c>
      <c r="BD69" t="s">
        <v>2773</v>
      </c>
      <c r="BE69" t="b">
        <v>1</v>
      </c>
      <c r="BF69" t="s">
        <v>2767</v>
      </c>
      <c r="BG69" t="s">
        <v>2774</v>
      </c>
      <c r="BI69">
        <v>40349454</v>
      </c>
      <c r="BJ69" t="s">
        <v>112</v>
      </c>
    </row>
    <row r="70" spans="1:63">
      <c r="A70" t="s">
        <v>114</v>
      </c>
      <c r="BJ70" t="s">
        <v>114</v>
      </c>
      <c r="BK70" t="s">
        <v>2775</v>
      </c>
    </row>
    <row r="71" spans="1:63">
      <c r="A71" t="s">
        <v>116</v>
      </c>
      <c r="BJ71" t="s">
        <v>116</v>
      </c>
      <c r="BK71" t="s">
        <v>2776</v>
      </c>
    </row>
    <row r="72" spans="1:63">
      <c r="A72" t="s">
        <v>117</v>
      </c>
      <c r="C72" t="s">
        <v>2228</v>
      </c>
      <c r="D72" t="s">
        <v>914</v>
      </c>
      <c r="E72" t="s">
        <v>193</v>
      </c>
      <c r="F72" t="s">
        <v>2280</v>
      </c>
      <c r="H72" t="s">
        <v>2249</v>
      </c>
      <c r="J72" t="s">
        <v>118</v>
      </c>
      <c r="L72" t="s">
        <v>118</v>
      </c>
      <c r="M72" t="b">
        <v>0</v>
      </c>
      <c r="O72" t="s">
        <v>2232</v>
      </c>
      <c r="P72" t="s">
        <v>2233</v>
      </c>
      <c r="Q72" t="s">
        <v>2232</v>
      </c>
      <c r="R72" t="s">
        <v>2233</v>
      </c>
      <c r="T72" t="s">
        <v>2232</v>
      </c>
      <c r="U72" t="s">
        <v>2250</v>
      </c>
      <c r="W72" t="s">
        <v>2777</v>
      </c>
      <c r="X72" t="s">
        <v>2234</v>
      </c>
      <c r="Y72" t="s">
        <v>2778</v>
      </c>
      <c r="Z72" t="s">
        <v>2232</v>
      </c>
      <c r="AA72" t="s">
        <v>2253</v>
      </c>
      <c r="AB72" t="s">
        <v>2365</v>
      </c>
      <c r="AC72" t="s">
        <v>2779</v>
      </c>
      <c r="AD72" t="s">
        <v>2338</v>
      </c>
      <c r="AE72" t="s">
        <v>193</v>
      </c>
      <c r="AF72">
        <v>58611</v>
      </c>
      <c r="AH72" t="s">
        <v>2303</v>
      </c>
      <c r="AI72" t="s">
        <v>2703</v>
      </c>
      <c r="AJ72" t="s">
        <v>2780</v>
      </c>
      <c r="AK72" t="s">
        <v>193</v>
      </c>
      <c r="AM72" t="b">
        <v>0</v>
      </c>
      <c r="AN72" t="s">
        <v>193</v>
      </c>
      <c r="AO72" t="s">
        <v>2781</v>
      </c>
      <c r="AP72" t="s">
        <v>193</v>
      </c>
      <c r="AS72" t="s">
        <v>670</v>
      </c>
      <c r="AT72" t="s">
        <v>699</v>
      </c>
      <c r="AU72" t="s">
        <v>2234</v>
      </c>
      <c r="AV72" t="b">
        <v>0</v>
      </c>
      <c r="AW72" t="s">
        <v>193</v>
      </c>
      <c r="AX72" t="s">
        <v>2259</v>
      </c>
      <c r="AY72" t="s">
        <v>2782</v>
      </c>
      <c r="AZ72" t="s">
        <v>2783</v>
      </c>
      <c r="BA72" t="s">
        <v>2245</v>
      </c>
      <c r="BB72" t="s">
        <v>2784</v>
      </c>
      <c r="BC72" t="b">
        <v>0</v>
      </c>
      <c r="BD72" t="s">
        <v>2785</v>
      </c>
      <c r="BE72" t="b">
        <v>0</v>
      </c>
      <c r="BF72" t="s">
        <v>2781</v>
      </c>
      <c r="BG72" t="s">
        <v>193</v>
      </c>
      <c r="BI72">
        <v>40941213</v>
      </c>
      <c r="BJ72" t="s">
        <v>117</v>
      </c>
    </row>
    <row r="73" spans="1:63">
      <c r="A73" t="s">
        <v>119</v>
      </c>
      <c r="C73" t="s">
        <v>2228</v>
      </c>
      <c r="D73" t="s">
        <v>914</v>
      </c>
      <c r="E73" t="s">
        <v>2786</v>
      </c>
      <c r="F73" t="s">
        <v>2787</v>
      </c>
      <c r="H73" t="s">
        <v>2230</v>
      </c>
      <c r="I73" t="s">
        <v>2231</v>
      </c>
      <c r="J73" t="s">
        <v>120</v>
      </c>
      <c r="K73">
        <v>3037549</v>
      </c>
      <c r="L73" t="s">
        <v>120</v>
      </c>
      <c r="M73" t="b">
        <v>0</v>
      </c>
      <c r="O73" t="s">
        <v>2232</v>
      </c>
      <c r="P73" t="s">
        <v>2233</v>
      </c>
      <c r="Q73" t="s">
        <v>2232</v>
      </c>
      <c r="R73" t="s">
        <v>2233</v>
      </c>
      <c r="V73" t="s">
        <v>2788</v>
      </c>
      <c r="W73" t="s">
        <v>2428</v>
      </c>
      <c r="X73" t="s">
        <v>2234</v>
      </c>
      <c r="Y73" t="s">
        <v>2789</v>
      </c>
      <c r="Z73" t="s">
        <v>2236</v>
      </c>
      <c r="AA73" t="s">
        <v>2237</v>
      </c>
      <c r="AB73" t="s">
        <v>2487</v>
      </c>
      <c r="AC73" t="s">
        <v>2790</v>
      </c>
      <c r="AD73" t="s">
        <v>2791</v>
      </c>
      <c r="AE73" t="s">
        <v>193</v>
      </c>
      <c r="AF73">
        <v>106480</v>
      </c>
      <c r="AH73" t="s">
        <v>2339</v>
      </c>
      <c r="AI73" t="s">
        <v>2292</v>
      </c>
      <c r="AJ73" t="s">
        <v>1751</v>
      </c>
      <c r="AK73" t="s">
        <v>193</v>
      </c>
      <c r="AM73" t="b">
        <v>0</v>
      </c>
      <c r="AN73" t="s">
        <v>193</v>
      </c>
      <c r="AO73" t="s">
        <v>2792</v>
      </c>
      <c r="AP73" t="s">
        <v>193</v>
      </c>
      <c r="AU73" t="s">
        <v>2234</v>
      </c>
      <c r="AV73" t="b">
        <v>0</v>
      </c>
      <c r="AW73" t="s">
        <v>193</v>
      </c>
      <c r="AX73" t="s">
        <v>193</v>
      </c>
      <c r="AY73" t="s">
        <v>2793</v>
      </c>
      <c r="AZ73" t="s">
        <v>2794</v>
      </c>
      <c r="BA73" t="s">
        <v>2245</v>
      </c>
      <c r="BB73" t="s">
        <v>1755</v>
      </c>
      <c r="BC73" t="b">
        <v>0</v>
      </c>
      <c r="BD73" t="s">
        <v>2795</v>
      </c>
      <c r="BE73" t="b">
        <v>1</v>
      </c>
      <c r="BF73" t="s">
        <v>2796</v>
      </c>
      <c r="BG73" t="s">
        <v>2755</v>
      </c>
      <c r="BI73">
        <v>40943677</v>
      </c>
      <c r="BJ73" t="s">
        <v>119</v>
      </c>
    </row>
    <row r="74" spans="1:63">
      <c r="A74" t="s">
        <v>121</v>
      </c>
      <c r="C74" t="s">
        <v>2228</v>
      </c>
      <c r="D74" t="s">
        <v>914</v>
      </c>
      <c r="E74" t="s">
        <v>2797</v>
      </c>
      <c r="F74" t="s">
        <v>2248</v>
      </c>
      <c r="H74" t="s">
        <v>2249</v>
      </c>
      <c r="J74" t="s">
        <v>122</v>
      </c>
      <c r="L74" t="s">
        <v>122</v>
      </c>
      <c r="M74" t="b">
        <v>0</v>
      </c>
      <c r="O74" t="s">
        <v>2232</v>
      </c>
      <c r="P74" t="s">
        <v>2233</v>
      </c>
      <c r="Q74" t="s">
        <v>2232</v>
      </c>
      <c r="R74" t="s">
        <v>2233</v>
      </c>
      <c r="T74" t="s">
        <v>2232</v>
      </c>
      <c r="U74" t="s">
        <v>2250</v>
      </c>
      <c r="V74" t="s">
        <v>2668</v>
      </c>
      <c r="W74" t="s">
        <v>2798</v>
      </c>
      <c r="X74" t="s">
        <v>2234</v>
      </c>
      <c r="Y74" t="s">
        <v>2799</v>
      </c>
      <c r="Z74" t="s">
        <v>2236</v>
      </c>
      <c r="AA74" t="s">
        <v>2237</v>
      </c>
      <c r="AB74" t="s">
        <v>2232</v>
      </c>
      <c r="AC74" t="s">
        <v>2800</v>
      </c>
      <c r="AD74" t="s">
        <v>2801</v>
      </c>
      <c r="AE74" t="s">
        <v>193</v>
      </c>
      <c r="AF74">
        <v>109941</v>
      </c>
      <c r="AH74" t="s">
        <v>2314</v>
      </c>
      <c r="AI74" t="s">
        <v>2802</v>
      </c>
      <c r="AJ74" t="s">
        <v>2803</v>
      </c>
      <c r="AK74" t="s">
        <v>193</v>
      </c>
      <c r="AM74" t="b">
        <v>0</v>
      </c>
      <c r="AN74" t="s">
        <v>193</v>
      </c>
      <c r="AO74" t="s">
        <v>2804</v>
      </c>
      <c r="AP74" t="s">
        <v>193</v>
      </c>
      <c r="AU74" t="s">
        <v>2234</v>
      </c>
      <c r="AV74" t="b">
        <v>0</v>
      </c>
      <c r="AW74" t="s">
        <v>193</v>
      </c>
      <c r="AX74" t="s">
        <v>193</v>
      </c>
      <c r="AY74" t="s">
        <v>2805</v>
      </c>
      <c r="AZ74" t="s">
        <v>2799</v>
      </c>
      <c r="BA74" t="s">
        <v>2245</v>
      </c>
      <c r="BB74" t="s">
        <v>1771</v>
      </c>
      <c r="BC74" t="b">
        <v>0</v>
      </c>
      <c r="BD74" t="s">
        <v>2806</v>
      </c>
      <c r="BE74" t="b">
        <v>0</v>
      </c>
      <c r="BF74" t="s">
        <v>2804</v>
      </c>
      <c r="BG74" t="s">
        <v>193</v>
      </c>
      <c r="BI74">
        <v>40951140</v>
      </c>
      <c r="BJ74" t="s">
        <v>121</v>
      </c>
    </row>
    <row r="75" spans="1:63">
      <c r="A75" t="s">
        <v>123</v>
      </c>
      <c r="C75" t="s">
        <v>2228</v>
      </c>
      <c r="D75" t="s">
        <v>914</v>
      </c>
      <c r="E75" t="s">
        <v>2807</v>
      </c>
      <c r="F75" t="s">
        <v>2808</v>
      </c>
      <c r="J75" t="s">
        <v>124</v>
      </c>
      <c r="L75" t="s">
        <v>124</v>
      </c>
      <c r="M75" t="b">
        <v>0</v>
      </c>
      <c r="O75" t="s">
        <v>2232</v>
      </c>
      <c r="P75" t="s">
        <v>2233</v>
      </c>
      <c r="Q75" t="s">
        <v>2232</v>
      </c>
      <c r="R75" t="s">
        <v>2233</v>
      </c>
      <c r="T75" t="s">
        <v>2232</v>
      </c>
      <c r="U75" t="s">
        <v>2250</v>
      </c>
      <c r="V75" t="s">
        <v>2809</v>
      </c>
      <c r="W75" t="s">
        <v>2335</v>
      </c>
      <c r="X75" t="s">
        <v>2234</v>
      </c>
      <c r="Y75" t="s">
        <v>2810</v>
      </c>
      <c r="Z75" t="s">
        <v>2232</v>
      </c>
      <c r="AA75" t="s">
        <v>2253</v>
      </c>
      <c r="AB75" t="s">
        <v>2811</v>
      </c>
      <c r="AC75" t="s">
        <v>2812</v>
      </c>
      <c r="AD75" t="s">
        <v>2813</v>
      </c>
      <c r="AE75" t="s">
        <v>193</v>
      </c>
      <c r="AF75">
        <v>125364</v>
      </c>
      <c r="AH75" t="s">
        <v>2465</v>
      </c>
      <c r="AI75" t="s">
        <v>2814</v>
      </c>
      <c r="AJ75" t="s">
        <v>2815</v>
      </c>
      <c r="AK75" t="s">
        <v>193</v>
      </c>
      <c r="AM75" t="b">
        <v>0</v>
      </c>
      <c r="AN75" t="s">
        <v>193</v>
      </c>
      <c r="AO75" t="s">
        <v>2816</v>
      </c>
      <c r="AP75" t="s">
        <v>193</v>
      </c>
      <c r="AS75" t="s">
        <v>670</v>
      </c>
      <c r="AT75" t="s">
        <v>699</v>
      </c>
      <c r="AU75" t="s">
        <v>2234</v>
      </c>
      <c r="AV75" t="b">
        <v>0</v>
      </c>
      <c r="AW75" t="s">
        <v>193</v>
      </c>
      <c r="AX75" t="s">
        <v>193</v>
      </c>
      <c r="AY75" t="s">
        <v>2817</v>
      </c>
      <c r="AZ75" t="s">
        <v>2818</v>
      </c>
      <c r="BA75" t="s">
        <v>2245</v>
      </c>
      <c r="BB75" t="s">
        <v>2819</v>
      </c>
      <c r="BC75" t="b">
        <v>0</v>
      </c>
      <c r="BD75" t="s">
        <v>2820</v>
      </c>
      <c r="BE75" t="b">
        <v>0</v>
      </c>
      <c r="BF75" t="s">
        <v>2821</v>
      </c>
      <c r="BG75" t="s">
        <v>193</v>
      </c>
      <c r="BI75">
        <v>41289569</v>
      </c>
      <c r="BJ75" t="s">
        <v>123</v>
      </c>
    </row>
    <row r="76" spans="1:63">
      <c r="A76" t="s">
        <v>125</v>
      </c>
      <c r="BJ76" t="s">
        <v>125</v>
      </c>
      <c r="BK76" t="s">
        <v>2822</v>
      </c>
    </row>
    <row r="77" spans="1:63">
      <c r="A77" t="s">
        <v>127</v>
      </c>
      <c r="C77" t="s">
        <v>193</v>
      </c>
      <c r="D77" t="s">
        <v>680</v>
      </c>
      <c r="E77" t="s">
        <v>2823</v>
      </c>
      <c r="F77" t="s">
        <v>193</v>
      </c>
      <c r="M77" t="b">
        <v>0</v>
      </c>
      <c r="BD77" t="s">
        <v>2824</v>
      </c>
      <c r="BE77" t="b">
        <v>0</v>
      </c>
      <c r="BF77" t="s">
        <v>2825</v>
      </c>
      <c r="BG77" t="s">
        <v>193</v>
      </c>
      <c r="BI77">
        <v>41295732</v>
      </c>
      <c r="BJ77" t="s">
        <v>127</v>
      </c>
    </row>
    <row r="78" spans="1:63">
      <c r="A78" t="s">
        <v>129</v>
      </c>
      <c r="C78" t="s">
        <v>2228</v>
      </c>
      <c r="D78" t="s">
        <v>914</v>
      </c>
      <c r="E78" t="s">
        <v>2826</v>
      </c>
      <c r="F78" t="s">
        <v>2827</v>
      </c>
      <c r="H78" t="s">
        <v>2230</v>
      </c>
      <c r="I78" t="s">
        <v>2231</v>
      </c>
      <c r="J78" t="s">
        <v>130</v>
      </c>
      <c r="K78">
        <v>3173136</v>
      </c>
      <c r="L78" t="s">
        <v>130</v>
      </c>
      <c r="M78" t="b">
        <v>0</v>
      </c>
      <c r="O78" t="s">
        <v>2232</v>
      </c>
      <c r="P78" t="s">
        <v>2233</v>
      </c>
      <c r="Q78" t="s">
        <v>2232</v>
      </c>
      <c r="R78" t="s">
        <v>2233</v>
      </c>
      <c r="V78" t="s">
        <v>2828</v>
      </c>
      <c r="X78" t="s">
        <v>2234</v>
      </c>
      <c r="Y78" t="s">
        <v>2829</v>
      </c>
      <c r="Z78" t="s">
        <v>2236</v>
      </c>
      <c r="AA78" t="s">
        <v>2237</v>
      </c>
      <c r="AC78" t="s">
        <v>2830</v>
      </c>
      <c r="AD78" t="s">
        <v>2831</v>
      </c>
      <c r="AE78" t="s">
        <v>193</v>
      </c>
      <c r="AF78">
        <v>117038</v>
      </c>
      <c r="AH78" t="s">
        <v>2291</v>
      </c>
      <c r="AI78" t="s">
        <v>2832</v>
      </c>
      <c r="AJ78" t="s">
        <v>1832</v>
      </c>
      <c r="AK78" t="s">
        <v>193</v>
      </c>
      <c r="AM78" t="b">
        <v>1</v>
      </c>
      <c r="AN78" t="s">
        <v>2477</v>
      </c>
      <c r="AO78" t="s">
        <v>2833</v>
      </c>
      <c r="AP78" t="s">
        <v>193</v>
      </c>
      <c r="AQ78" t="s">
        <v>2834</v>
      </c>
      <c r="AS78" t="s">
        <v>670</v>
      </c>
      <c r="AT78" t="s">
        <v>699</v>
      </c>
      <c r="AU78" t="s">
        <v>2234</v>
      </c>
      <c r="AV78" t="b">
        <v>0</v>
      </c>
      <c r="AW78" t="s">
        <v>193</v>
      </c>
      <c r="AX78" t="s">
        <v>2259</v>
      </c>
      <c r="AY78" t="s">
        <v>2835</v>
      </c>
      <c r="AZ78" t="s">
        <v>2714</v>
      </c>
      <c r="BA78" t="s">
        <v>2245</v>
      </c>
      <c r="BB78" t="s">
        <v>1836</v>
      </c>
      <c r="BC78" t="b">
        <v>0</v>
      </c>
      <c r="BD78" t="s">
        <v>2836</v>
      </c>
      <c r="BE78" t="b">
        <v>1</v>
      </c>
      <c r="BF78" t="s">
        <v>2837</v>
      </c>
      <c r="BG78" t="s">
        <v>2755</v>
      </c>
      <c r="BI78">
        <v>41285870</v>
      </c>
      <c r="BJ78" t="s">
        <v>129</v>
      </c>
    </row>
    <row r="79" spans="1:63">
      <c r="A79" t="s">
        <v>131</v>
      </c>
      <c r="C79" t="s">
        <v>2228</v>
      </c>
      <c r="D79" t="s">
        <v>914</v>
      </c>
      <c r="E79" t="s">
        <v>2838</v>
      </c>
      <c r="F79" t="s">
        <v>2839</v>
      </c>
      <c r="H79" t="s">
        <v>2230</v>
      </c>
      <c r="I79" t="s">
        <v>2231</v>
      </c>
      <c r="J79" t="s">
        <v>132</v>
      </c>
      <c r="K79">
        <v>3176700</v>
      </c>
      <c r="L79" t="s">
        <v>132</v>
      </c>
      <c r="M79" t="b">
        <v>0</v>
      </c>
      <c r="O79" t="s">
        <v>2232</v>
      </c>
      <c r="P79" t="s">
        <v>2233</v>
      </c>
      <c r="Q79" t="s">
        <v>2232</v>
      </c>
      <c r="R79" t="s">
        <v>2233</v>
      </c>
      <c r="W79" t="s">
        <v>2840</v>
      </c>
      <c r="X79" t="s">
        <v>2234</v>
      </c>
      <c r="Y79" t="s">
        <v>2841</v>
      </c>
      <c r="Z79" t="s">
        <v>2236</v>
      </c>
      <c r="AA79" t="s">
        <v>2237</v>
      </c>
      <c r="AB79" t="s">
        <v>2421</v>
      </c>
      <c r="AC79" t="s">
        <v>2675</v>
      </c>
      <c r="AD79" t="s">
        <v>2556</v>
      </c>
      <c r="AE79" t="s">
        <v>193</v>
      </c>
      <c r="AF79">
        <v>177485</v>
      </c>
      <c r="AH79" t="s">
        <v>2291</v>
      </c>
      <c r="AI79" t="s">
        <v>2340</v>
      </c>
      <c r="AJ79" t="s">
        <v>1846</v>
      </c>
      <c r="AK79" t="s">
        <v>193</v>
      </c>
      <c r="AM79" t="b">
        <v>0</v>
      </c>
      <c r="AN79" t="s">
        <v>193</v>
      </c>
      <c r="AO79" t="s">
        <v>2842</v>
      </c>
      <c r="AP79" t="s">
        <v>193</v>
      </c>
      <c r="AU79" t="s">
        <v>2234</v>
      </c>
      <c r="AV79" t="b">
        <v>0</v>
      </c>
      <c r="AW79" t="s">
        <v>193</v>
      </c>
      <c r="AX79" t="s">
        <v>193</v>
      </c>
      <c r="AY79" t="s">
        <v>2843</v>
      </c>
      <c r="AZ79" t="s">
        <v>2844</v>
      </c>
      <c r="BA79" t="s">
        <v>2245</v>
      </c>
      <c r="BB79" t="s">
        <v>1850</v>
      </c>
      <c r="BC79" t="b">
        <v>0</v>
      </c>
      <c r="BD79" t="s">
        <v>2845</v>
      </c>
      <c r="BE79" t="b">
        <v>0</v>
      </c>
      <c r="BF79" t="s">
        <v>2846</v>
      </c>
      <c r="BG79" t="s">
        <v>193</v>
      </c>
      <c r="BI79">
        <v>41279771</v>
      </c>
      <c r="BJ79" t="s">
        <v>131</v>
      </c>
    </row>
    <row r="80" spans="1:63">
      <c r="A80" t="s">
        <v>133</v>
      </c>
      <c r="C80" t="s">
        <v>2228</v>
      </c>
      <c r="D80" t="s">
        <v>914</v>
      </c>
      <c r="E80" t="s">
        <v>193</v>
      </c>
      <c r="F80" t="s">
        <v>2847</v>
      </c>
      <c r="H80" t="s">
        <v>2230</v>
      </c>
      <c r="I80" t="s">
        <v>2231</v>
      </c>
      <c r="J80" t="s">
        <v>134</v>
      </c>
      <c r="K80">
        <v>2927322</v>
      </c>
      <c r="L80" t="s">
        <v>134</v>
      </c>
      <c r="M80" t="b">
        <v>0</v>
      </c>
      <c r="O80" t="s">
        <v>2232</v>
      </c>
      <c r="P80" t="s">
        <v>2233</v>
      </c>
      <c r="Q80" t="s">
        <v>2232</v>
      </c>
      <c r="R80" t="s">
        <v>2233</v>
      </c>
      <c r="V80" t="s">
        <v>2848</v>
      </c>
      <c r="X80" t="s">
        <v>2234</v>
      </c>
      <c r="Y80" t="s">
        <v>2849</v>
      </c>
      <c r="Z80" t="s">
        <v>2236</v>
      </c>
      <c r="AA80" t="s">
        <v>2237</v>
      </c>
      <c r="AC80" t="s">
        <v>2850</v>
      </c>
      <c r="AD80" t="s">
        <v>2284</v>
      </c>
      <c r="AE80" t="s">
        <v>193</v>
      </c>
      <c r="AF80">
        <v>124898</v>
      </c>
      <c r="AH80" t="s">
        <v>2240</v>
      </c>
      <c r="AI80" t="s">
        <v>2851</v>
      </c>
      <c r="AJ80" t="s">
        <v>2852</v>
      </c>
      <c r="AK80" t="s">
        <v>193</v>
      </c>
      <c r="AM80" t="b">
        <v>1</v>
      </c>
      <c r="AN80" t="s">
        <v>2502</v>
      </c>
      <c r="AO80" t="s">
        <v>2853</v>
      </c>
      <c r="AP80" t="s">
        <v>193</v>
      </c>
      <c r="AQ80" t="s">
        <v>2421</v>
      </c>
      <c r="AS80" t="s">
        <v>670</v>
      </c>
      <c r="AT80" t="s">
        <v>699</v>
      </c>
      <c r="AU80" t="s">
        <v>2234</v>
      </c>
      <c r="AV80" t="b">
        <v>0</v>
      </c>
      <c r="AW80" t="s">
        <v>193</v>
      </c>
      <c r="AX80" t="s">
        <v>193</v>
      </c>
      <c r="AY80" t="s">
        <v>2854</v>
      </c>
      <c r="AZ80" t="s">
        <v>2855</v>
      </c>
      <c r="BA80" t="s">
        <v>2245</v>
      </c>
      <c r="BB80" t="s">
        <v>1866</v>
      </c>
      <c r="BC80" t="b">
        <v>0</v>
      </c>
      <c r="BD80" t="s">
        <v>2856</v>
      </c>
      <c r="BE80" t="b">
        <v>0</v>
      </c>
      <c r="BF80" t="s">
        <v>2857</v>
      </c>
      <c r="BG80" t="s">
        <v>193</v>
      </c>
      <c r="BI80">
        <v>40500959</v>
      </c>
      <c r="BJ80" t="s">
        <v>133</v>
      </c>
    </row>
    <row r="81" spans="1:63">
      <c r="A81" t="s">
        <v>135</v>
      </c>
      <c r="C81" t="s">
        <v>2228</v>
      </c>
      <c r="D81" t="s">
        <v>914</v>
      </c>
      <c r="E81" t="s">
        <v>2858</v>
      </c>
      <c r="F81" t="s">
        <v>2229</v>
      </c>
      <c r="H81" t="s">
        <v>667</v>
      </c>
      <c r="I81" t="s">
        <v>2231</v>
      </c>
      <c r="J81" t="s">
        <v>136</v>
      </c>
      <c r="K81">
        <v>2981279</v>
      </c>
      <c r="L81" t="s">
        <v>136</v>
      </c>
      <c r="M81" t="b">
        <v>1</v>
      </c>
      <c r="O81" t="s">
        <v>2232</v>
      </c>
      <c r="P81" t="s">
        <v>2233</v>
      </c>
      <c r="Q81" t="s">
        <v>2232</v>
      </c>
      <c r="R81" t="s">
        <v>2233</v>
      </c>
      <c r="V81" t="s">
        <v>2859</v>
      </c>
      <c r="W81" t="s">
        <v>2408</v>
      </c>
      <c r="X81" t="s">
        <v>2234</v>
      </c>
      <c r="Y81" t="s">
        <v>2860</v>
      </c>
      <c r="Z81" t="s">
        <v>2236</v>
      </c>
      <c r="AA81" t="s">
        <v>2237</v>
      </c>
      <c r="AB81" t="s">
        <v>2374</v>
      </c>
      <c r="AC81" t="s">
        <v>2861</v>
      </c>
      <c r="AD81" t="s">
        <v>2854</v>
      </c>
      <c r="AE81" t="s">
        <v>193</v>
      </c>
      <c r="AF81">
        <v>154849</v>
      </c>
      <c r="AH81" t="s">
        <v>2511</v>
      </c>
      <c r="AI81" t="s">
        <v>2862</v>
      </c>
      <c r="AJ81" t="s">
        <v>2863</v>
      </c>
      <c r="AK81" t="s">
        <v>193</v>
      </c>
      <c r="AM81" t="b">
        <v>0</v>
      </c>
      <c r="AN81" t="s">
        <v>193</v>
      </c>
      <c r="AO81" t="s">
        <v>2864</v>
      </c>
      <c r="AP81" t="s">
        <v>193</v>
      </c>
      <c r="AU81" t="s">
        <v>2234</v>
      </c>
      <c r="AV81" t="b">
        <v>0</v>
      </c>
      <c r="AW81" t="s">
        <v>193</v>
      </c>
      <c r="AX81" t="s">
        <v>193</v>
      </c>
      <c r="AY81" t="s">
        <v>2865</v>
      </c>
      <c r="AZ81" t="s">
        <v>2866</v>
      </c>
      <c r="BA81" t="s">
        <v>2245</v>
      </c>
      <c r="BB81" t="s">
        <v>1889</v>
      </c>
      <c r="BC81" t="b">
        <v>0</v>
      </c>
      <c r="BD81" t="s">
        <v>2867</v>
      </c>
      <c r="BE81" t="b">
        <v>1</v>
      </c>
      <c r="BF81" t="s">
        <v>2868</v>
      </c>
      <c r="BG81" t="s">
        <v>2869</v>
      </c>
      <c r="BI81">
        <v>40648835</v>
      </c>
      <c r="BJ81" t="s">
        <v>135</v>
      </c>
    </row>
    <row r="82" spans="1:63">
      <c r="A82" t="s">
        <v>137</v>
      </c>
      <c r="C82" t="s">
        <v>2228</v>
      </c>
      <c r="D82" t="s">
        <v>914</v>
      </c>
      <c r="E82" t="s">
        <v>2870</v>
      </c>
      <c r="F82" t="s">
        <v>2871</v>
      </c>
      <c r="H82" t="s">
        <v>2230</v>
      </c>
      <c r="I82" t="s">
        <v>2231</v>
      </c>
      <c r="J82" t="s">
        <v>138</v>
      </c>
      <c r="K82">
        <v>2975820</v>
      </c>
      <c r="L82" t="s">
        <v>138</v>
      </c>
      <c r="M82" t="b">
        <v>0</v>
      </c>
      <c r="O82" t="s">
        <v>2232</v>
      </c>
      <c r="P82" t="s">
        <v>2233</v>
      </c>
      <c r="Q82" t="s">
        <v>2232</v>
      </c>
      <c r="R82" t="s">
        <v>2233</v>
      </c>
      <c r="V82" t="s">
        <v>2872</v>
      </c>
      <c r="W82" t="s">
        <v>2335</v>
      </c>
      <c r="X82" t="s">
        <v>2234</v>
      </c>
      <c r="Y82" t="s">
        <v>2799</v>
      </c>
      <c r="Z82" t="s">
        <v>2236</v>
      </c>
      <c r="AA82" t="s">
        <v>2237</v>
      </c>
      <c r="AB82" t="s">
        <v>2236</v>
      </c>
      <c r="AC82" t="s">
        <v>2873</v>
      </c>
      <c r="AD82" t="s">
        <v>2874</v>
      </c>
      <c r="AE82" t="s">
        <v>193</v>
      </c>
      <c r="AF82">
        <v>45014</v>
      </c>
      <c r="AH82" t="s">
        <v>2314</v>
      </c>
      <c r="AI82" t="s">
        <v>2390</v>
      </c>
      <c r="AJ82" t="s">
        <v>2875</v>
      </c>
      <c r="AK82" t="s">
        <v>193</v>
      </c>
      <c r="AM82" t="b">
        <v>0</v>
      </c>
      <c r="AN82" t="s">
        <v>193</v>
      </c>
      <c r="AO82" t="s">
        <v>2876</v>
      </c>
      <c r="AP82" t="s">
        <v>193</v>
      </c>
      <c r="AS82" t="s">
        <v>670</v>
      </c>
      <c r="AT82" t="s">
        <v>699</v>
      </c>
      <c r="AU82" t="s">
        <v>2234</v>
      </c>
      <c r="AV82" t="b">
        <v>0</v>
      </c>
      <c r="AW82" t="s">
        <v>193</v>
      </c>
      <c r="AX82" t="s">
        <v>2259</v>
      </c>
      <c r="AY82" t="s">
        <v>2805</v>
      </c>
      <c r="AZ82" t="s">
        <v>2877</v>
      </c>
      <c r="BA82" t="s">
        <v>2245</v>
      </c>
      <c r="BB82" t="s">
        <v>1902</v>
      </c>
      <c r="BC82" t="b">
        <v>0</v>
      </c>
      <c r="BD82" t="s">
        <v>2878</v>
      </c>
      <c r="BE82" t="b">
        <v>0</v>
      </c>
      <c r="BF82" t="s">
        <v>2879</v>
      </c>
      <c r="BG82" t="s">
        <v>193</v>
      </c>
      <c r="BI82">
        <v>40681023</v>
      </c>
      <c r="BJ82" t="s">
        <v>137</v>
      </c>
    </row>
    <row r="83" spans="1:63">
      <c r="A83" t="s">
        <v>139</v>
      </c>
      <c r="C83" t="s">
        <v>2228</v>
      </c>
      <c r="D83" t="s">
        <v>914</v>
      </c>
      <c r="E83" t="s">
        <v>193</v>
      </c>
      <c r="F83" t="s">
        <v>2280</v>
      </c>
      <c r="H83" t="s">
        <v>2249</v>
      </c>
      <c r="J83" t="s">
        <v>140</v>
      </c>
      <c r="L83" t="s">
        <v>140</v>
      </c>
      <c r="M83" t="b">
        <v>0</v>
      </c>
      <c r="O83" t="s">
        <v>2232</v>
      </c>
      <c r="P83" t="s">
        <v>2233</v>
      </c>
      <c r="Q83" t="s">
        <v>2232</v>
      </c>
      <c r="R83" t="s">
        <v>2233</v>
      </c>
      <c r="T83" t="s">
        <v>2232</v>
      </c>
      <c r="U83" t="s">
        <v>2250</v>
      </c>
      <c r="W83" t="s">
        <v>2408</v>
      </c>
      <c r="X83" t="s">
        <v>2234</v>
      </c>
      <c r="Y83" t="s">
        <v>2880</v>
      </c>
      <c r="Z83" t="s">
        <v>2232</v>
      </c>
      <c r="AA83" t="s">
        <v>2253</v>
      </c>
      <c r="AB83" t="s">
        <v>2881</v>
      </c>
      <c r="AC83" t="s">
        <v>2882</v>
      </c>
      <c r="AD83" t="s">
        <v>2883</v>
      </c>
      <c r="AE83" t="s">
        <v>193</v>
      </c>
      <c r="AF83">
        <v>190563</v>
      </c>
      <c r="AH83" t="s">
        <v>2240</v>
      </c>
      <c r="AI83" t="s">
        <v>2814</v>
      </c>
      <c r="AJ83" t="s">
        <v>1917</v>
      </c>
      <c r="AK83" t="s">
        <v>193</v>
      </c>
      <c r="AM83" t="b">
        <v>0</v>
      </c>
      <c r="AN83" t="s">
        <v>193</v>
      </c>
      <c r="AO83" t="s">
        <v>2884</v>
      </c>
      <c r="AP83" t="s">
        <v>193</v>
      </c>
      <c r="AS83" t="s">
        <v>670</v>
      </c>
      <c r="AT83" t="s">
        <v>699</v>
      </c>
      <c r="AU83" t="s">
        <v>2234</v>
      </c>
      <c r="AV83" t="b">
        <v>0</v>
      </c>
      <c r="AW83" t="s">
        <v>193</v>
      </c>
      <c r="AX83" t="s">
        <v>193</v>
      </c>
      <c r="AY83" t="s">
        <v>2545</v>
      </c>
      <c r="AZ83" t="s">
        <v>2885</v>
      </c>
      <c r="BA83" t="s">
        <v>2245</v>
      </c>
      <c r="BB83" t="s">
        <v>1921</v>
      </c>
      <c r="BC83" t="b">
        <v>0</v>
      </c>
      <c r="BD83" t="s">
        <v>2886</v>
      </c>
      <c r="BE83" t="b">
        <v>1</v>
      </c>
      <c r="BF83" t="s">
        <v>2887</v>
      </c>
      <c r="BG83" t="s">
        <v>2888</v>
      </c>
      <c r="BI83">
        <v>40525443</v>
      </c>
      <c r="BJ83" t="s">
        <v>139</v>
      </c>
    </row>
    <row r="84" spans="1:63">
      <c r="A84" t="s">
        <v>141</v>
      </c>
      <c r="C84" t="s">
        <v>2228</v>
      </c>
      <c r="D84" t="s">
        <v>914</v>
      </c>
      <c r="E84" t="s">
        <v>193</v>
      </c>
      <c r="F84" t="s">
        <v>2839</v>
      </c>
      <c r="H84" t="s">
        <v>2249</v>
      </c>
      <c r="J84" t="s">
        <v>142</v>
      </c>
      <c r="L84" t="s">
        <v>142</v>
      </c>
      <c r="M84" t="b">
        <v>1</v>
      </c>
      <c r="O84" t="s">
        <v>2232</v>
      </c>
      <c r="P84" t="s">
        <v>2233</v>
      </c>
      <c r="Q84" t="s">
        <v>2232</v>
      </c>
      <c r="R84" t="s">
        <v>2233</v>
      </c>
      <c r="T84" t="s">
        <v>2232</v>
      </c>
      <c r="U84" t="s">
        <v>2250</v>
      </c>
      <c r="V84" t="s">
        <v>2889</v>
      </c>
      <c r="W84" t="s">
        <v>2251</v>
      </c>
      <c r="X84" t="s">
        <v>2234</v>
      </c>
      <c r="Y84" t="s">
        <v>2890</v>
      </c>
      <c r="Z84" t="s">
        <v>2232</v>
      </c>
      <c r="AA84" t="s">
        <v>2253</v>
      </c>
      <c r="AB84" t="s">
        <v>2251</v>
      </c>
      <c r="AC84" t="s">
        <v>2889</v>
      </c>
      <c r="AD84" t="s">
        <v>2891</v>
      </c>
      <c r="AE84" t="s">
        <v>193</v>
      </c>
      <c r="AF84">
        <v>144031</v>
      </c>
      <c r="AH84" t="s">
        <v>2389</v>
      </c>
      <c r="AI84" t="s">
        <v>2512</v>
      </c>
      <c r="AJ84" t="s">
        <v>2892</v>
      </c>
      <c r="AK84" t="s">
        <v>193</v>
      </c>
      <c r="AM84" t="b">
        <v>0</v>
      </c>
      <c r="AN84" t="s">
        <v>193</v>
      </c>
      <c r="AO84" t="s">
        <v>2893</v>
      </c>
      <c r="AP84" t="s">
        <v>193</v>
      </c>
      <c r="AU84" t="s">
        <v>2234</v>
      </c>
      <c r="AV84" t="b">
        <v>0</v>
      </c>
      <c r="AW84" t="s">
        <v>193</v>
      </c>
      <c r="AX84" t="s">
        <v>193</v>
      </c>
      <c r="AY84" t="s">
        <v>2894</v>
      </c>
      <c r="AZ84" t="s">
        <v>2895</v>
      </c>
      <c r="BA84" t="s">
        <v>2245</v>
      </c>
      <c r="BB84" t="s">
        <v>1937</v>
      </c>
      <c r="BC84" t="b">
        <v>0</v>
      </c>
      <c r="BD84" t="s">
        <v>2896</v>
      </c>
      <c r="BE84" t="b">
        <v>1</v>
      </c>
      <c r="BF84" t="s">
        <v>2893</v>
      </c>
      <c r="BG84" t="s">
        <v>2897</v>
      </c>
      <c r="BI84">
        <v>39159625</v>
      </c>
      <c r="BJ84" t="s">
        <v>141</v>
      </c>
    </row>
    <row r="85" spans="1:63">
      <c r="A85" t="s">
        <v>143</v>
      </c>
      <c r="C85" t="s">
        <v>2228</v>
      </c>
      <c r="D85" t="s">
        <v>914</v>
      </c>
      <c r="E85" t="s">
        <v>193</v>
      </c>
      <c r="F85" t="s">
        <v>2280</v>
      </c>
      <c r="H85" t="s">
        <v>2249</v>
      </c>
      <c r="J85" t="s">
        <v>144</v>
      </c>
      <c r="L85" t="s">
        <v>144</v>
      </c>
      <c r="M85" t="b">
        <v>0</v>
      </c>
      <c r="O85" t="s">
        <v>2232</v>
      </c>
      <c r="P85" t="s">
        <v>2233</v>
      </c>
      <c r="Q85" t="s">
        <v>2232</v>
      </c>
      <c r="R85" t="s">
        <v>2233</v>
      </c>
      <c r="T85" t="s">
        <v>2232</v>
      </c>
      <c r="U85" t="s">
        <v>2250</v>
      </c>
      <c r="W85" t="s">
        <v>2251</v>
      </c>
      <c r="X85" t="s">
        <v>2234</v>
      </c>
      <c r="Y85" t="s">
        <v>2898</v>
      </c>
      <c r="Z85" t="s">
        <v>2232</v>
      </c>
      <c r="AA85" t="s">
        <v>2253</v>
      </c>
      <c r="AB85" t="s">
        <v>2251</v>
      </c>
      <c r="AC85" t="s">
        <v>2899</v>
      </c>
      <c r="AD85" t="s">
        <v>2900</v>
      </c>
      <c r="AE85" t="s">
        <v>193</v>
      </c>
      <c r="AF85">
        <v>158486</v>
      </c>
      <c r="AH85" t="s">
        <v>2362</v>
      </c>
      <c r="AI85" t="s">
        <v>2814</v>
      </c>
      <c r="AJ85" t="s">
        <v>1949</v>
      </c>
      <c r="AK85" t="s">
        <v>193</v>
      </c>
      <c r="AM85" t="b">
        <v>0</v>
      </c>
      <c r="AN85" t="s">
        <v>193</v>
      </c>
      <c r="AO85" t="s">
        <v>2901</v>
      </c>
      <c r="AP85" t="s">
        <v>193</v>
      </c>
      <c r="AS85" t="s">
        <v>670</v>
      </c>
      <c r="AT85" t="s">
        <v>699</v>
      </c>
      <c r="AU85" t="s">
        <v>2234</v>
      </c>
      <c r="AV85" t="b">
        <v>0</v>
      </c>
      <c r="AW85" t="s">
        <v>193</v>
      </c>
      <c r="AX85" t="s">
        <v>193</v>
      </c>
      <c r="AY85" t="s">
        <v>2902</v>
      </c>
      <c r="AZ85" t="s">
        <v>2903</v>
      </c>
      <c r="BA85" t="s">
        <v>2245</v>
      </c>
      <c r="BB85" t="s">
        <v>1953</v>
      </c>
      <c r="BC85" t="b">
        <v>0</v>
      </c>
      <c r="BD85" t="s">
        <v>2904</v>
      </c>
      <c r="BE85" t="b">
        <v>1</v>
      </c>
      <c r="BF85" t="s">
        <v>2905</v>
      </c>
      <c r="BG85" t="s">
        <v>2472</v>
      </c>
      <c r="BI85">
        <v>39927353</v>
      </c>
      <c r="BJ85" t="s">
        <v>143</v>
      </c>
    </row>
    <row r="86" spans="1:63">
      <c r="A86" t="s">
        <v>145</v>
      </c>
      <c r="C86" t="s">
        <v>193</v>
      </c>
      <c r="D86" t="s">
        <v>680</v>
      </c>
      <c r="E86" t="s">
        <v>2906</v>
      </c>
      <c r="F86" t="s">
        <v>193</v>
      </c>
      <c r="M86" t="b">
        <v>0</v>
      </c>
      <c r="BD86" t="s">
        <v>2907</v>
      </c>
      <c r="BE86" t="b">
        <v>1</v>
      </c>
      <c r="BF86" t="s">
        <v>2908</v>
      </c>
      <c r="BG86" t="s">
        <v>193</v>
      </c>
      <c r="BI86">
        <v>40006270</v>
      </c>
      <c r="BJ86" t="s">
        <v>145</v>
      </c>
    </row>
    <row r="87" spans="1:63">
      <c r="A87" t="s">
        <v>147</v>
      </c>
      <c r="C87" t="s">
        <v>2228</v>
      </c>
      <c r="D87" t="s">
        <v>914</v>
      </c>
      <c r="E87" t="s">
        <v>2909</v>
      </c>
      <c r="F87" t="s">
        <v>2426</v>
      </c>
      <c r="H87" t="s">
        <v>2230</v>
      </c>
      <c r="I87" t="s">
        <v>2231</v>
      </c>
      <c r="J87" t="s">
        <v>148</v>
      </c>
      <c r="K87">
        <v>2981816</v>
      </c>
      <c r="L87" t="s">
        <v>148</v>
      </c>
      <c r="M87" t="b">
        <v>0</v>
      </c>
      <c r="O87" t="s">
        <v>2232</v>
      </c>
      <c r="P87" t="s">
        <v>2233</v>
      </c>
      <c r="Q87" t="s">
        <v>2232</v>
      </c>
      <c r="R87" t="s">
        <v>2233</v>
      </c>
      <c r="W87" t="s">
        <v>2251</v>
      </c>
      <c r="X87" t="s">
        <v>2234</v>
      </c>
      <c r="Y87" t="s">
        <v>2910</v>
      </c>
      <c r="Z87" t="s">
        <v>2236</v>
      </c>
      <c r="AA87" t="s">
        <v>2237</v>
      </c>
      <c r="AB87" t="s">
        <v>2421</v>
      </c>
      <c r="AC87" t="s">
        <v>2911</v>
      </c>
      <c r="AD87" t="s">
        <v>2783</v>
      </c>
      <c r="AE87" t="s">
        <v>193</v>
      </c>
      <c r="AF87">
        <v>90330</v>
      </c>
      <c r="AH87" t="s">
        <v>2339</v>
      </c>
      <c r="AI87" t="s">
        <v>2241</v>
      </c>
      <c r="AJ87" t="s">
        <v>1978</v>
      </c>
      <c r="AK87" t="s">
        <v>193</v>
      </c>
      <c r="AM87" t="b">
        <v>0</v>
      </c>
      <c r="AN87" t="s">
        <v>193</v>
      </c>
      <c r="AO87" t="s">
        <v>2912</v>
      </c>
      <c r="AP87" t="s">
        <v>193</v>
      </c>
      <c r="AS87" t="s">
        <v>670</v>
      </c>
      <c r="AT87" t="s">
        <v>699</v>
      </c>
      <c r="AU87" t="s">
        <v>2234</v>
      </c>
      <c r="AV87" t="b">
        <v>0</v>
      </c>
      <c r="AW87" t="s">
        <v>193</v>
      </c>
      <c r="AX87" t="s">
        <v>2259</v>
      </c>
      <c r="AY87" t="s">
        <v>2913</v>
      </c>
      <c r="AZ87" t="s">
        <v>2914</v>
      </c>
      <c r="BA87" t="s">
        <v>2245</v>
      </c>
      <c r="BB87" t="s">
        <v>1982</v>
      </c>
      <c r="BC87" t="b">
        <v>0</v>
      </c>
      <c r="BD87" t="s">
        <v>2915</v>
      </c>
      <c r="BE87" t="b">
        <v>1</v>
      </c>
      <c r="BF87" t="s">
        <v>2916</v>
      </c>
      <c r="BG87" t="s">
        <v>2627</v>
      </c>
      <c r="BI87">
        <v>40730683</v>
      </c>
      <c r="BJ87" t="s">
        <v>147</v>
      </c>
    </row>
    <row r="88" spans="1:63">
      <c r="A88" t="s">
        <v>149</v>
      </c>
      <c r="C88" t="s">
        <v>2228</v>
      </c>
      <c r="D88" t="s">
        <v>914</v>
      </c>
      <c r="E88" t="s">
        <v>193</v>
      </c>
      <c r="F88" t="s">
        <v>2248</v>
      </c>
      <c r="H88" t="s">
        <v>2249</v>
      </c>
      <c r="J88" t="s">
        <v>32</v>
      </c>
      <c r="L88" t="s">
        <v>32</v>
      </c>
      <c r="M88" t="b">
        <v>0</v>
      </c>
      <c r="O88" t="s">
        <v>2232</v>
      </c>
      <c r="P88" t="s">
        <v>2233</v>
      </c>
      <c r="Q88" t="s">
        <v>2232</v>
      </c>
      <c r="R88" t="s">
        <v>2233</v>
      </c>
      <c r="T88" t="s">
        <v>2232</v>
      </c>
      <c r="U88" t="s">
        <v>2250</v>
      </c>
      <c r="W88" t="s">
        <v>2408</v>
      </c>
      <c r="X88" t="s">
        <v>2234</v>
      </c>
      <c r="Y88" t="s">
        <v>2917</v>
      </c>
      <c r="Z88" t="s">
        <v>2232</v>
      </c>
      <c r="AA88" t="s">
        <v>2253</v>
      </c>
      <c r="AB88" t="s">
        <v>2232</v>
      </c>
      <c r="AC88" t="s">
        <v>2918</v>
      </c>
      <c r="AD88" t="s">
        <v>2388</v>
      </c>
      <c r="AE88" t="s">
        <v>193</v>
      </c>
      <c r="AF88">
        <v>83444</v>
      </c>
      <c r="AH88" t="s">
        <v>2314</v>
      </c>
      <c r="AI88" t="s">
        <v>2232</v>
      </c>
      <c r="AJ88" t="s">
        <v>2341</v>
      </c>
      <c r="AK88" t="s">
        <v>193</v>
      </c>
      <c r="AM88" t="b">
        <v>0</v>
      </c>
      <c r="AN88" t="s">
        <v>193</v>
      </c>
      <c r="AO88" t="s">
        <v>2919</v>
      </c>
      <c r="AP88" t="s">
        <v>193</v>
      </c>
      <c r="AU88" t="s">
        <v>2234</v>
      </c>
      <c r="AV88" t="b">
        <v>0</v>
      </c>
      <c r="AW88" t="s">
        <v>193</v>
      </c>
      <c r="AX88" t="s">
        <v>2259</v>
      </c>
      <c r="AY88" t="s">
        <v>2920</v>
      </c>
      <c r="AZ88" t="s">
        <v>2921</v>
      </c>
      <c r="BA88" t="s">
        <v>2245</v>
      </c>
      <c r="BB88" t="s">
        <v>1989</v>
      </c>
      <c r="BC88" t="b">
        <v>0</v>
      </c>
      <c r="BD88" t="s">
        <v>2922</v>
      </c>
      <c r="BE88" t="b">
        <v>0</v>
      </c>
      <c r="BF88" t="s">
        <v>2923</v>
      </c>
      <c r="BG88" t="s">
        <v>193</v>
      </c>
      <c r="BI88">
        <v>40918149</v>
      </c>
      <c r="BJ88" t="s">
        <v>149</v>
      </c>
    </row>
    <row r="89" spans="1:63">
      <c r="A89" t="s">
        <v>150</v>
      </c>
      <c r="BJ89" t="s">
        <v>150</v>
      </c>
      <c r="BK89" t="s">
        <v>2924</v>
      </c>
    </row>
    <row r="90" spans="1:63">
      <c r="A90" t="s">
        <v>152</v>
      </c>
      <c r="BJ90" t="s">
        <v>152</v>
      </c>
      <c r="BK90" t="s">
        <v>2925</v>
      </c>
    </row>
    <row r="91" spans="1:63">
      <c r="A91" t="s">
        <v>153</v>
      </c>
      <c r="C91" t="s">
        <v>2228</v>
      </c>
      <c r="D91" t="s">
        <v>914</v>
      </c>
      <c r="E91" t="s">
        <v>193</v>
      </c>
      <c r="F91" t="s">
        <v>2407</v>
      </c>
      <c r="H91" t="s">
        <v>2230</v>
      </c>
      <c r="I91" t="s">
        <v>2231</v>
      </c>
      <c r="J91" t="s">
        <v>154</v>
      </c>
      <c r="K91">
        <v>3031039</v>
      </c>
      <c r="L91" t="s">
        <v>154</v>
      </c>
      <c r="M91" t="b">
        <v>0</v>
      </c>
      <c r="O91" t="s">
        <v>2232</v>
      </c>
      <c r="P91" t="s">
        <v>2233</v>
      </c>
      <c r="Q91" t="s">
        <v>2232</v>
      </c>
      <c r="R91" t="s">
        <v>2233</v>
      </c>
      <c r="V91" t="s">
        <v>2926</v>
      </c>
      <c r="W91" t="s">
        <v>2372</v>
      </c>
      <c r="X91" t="s">
        <v>2234</v>
      </c>
      <c r="Y91" t="s">
        <v>2927</v>
      </c>
      <c r="Z91" t="s">
        <v>2236</v>
      </c>
      <c r="AA91" t="s">
        <v>2237</v>
      </c>
      <c r="AB91" t="s">
        <v>2386</v>
      </c>
      <c r="AC91" t="s">
        <v>2928</v>
      </c>
      <c r="AD91" t="s">
        <v>2929</v>
      </c>
      <c r="AE91" t="s">
        <v>193</v>
      </c>
      <c r="AF91">
        <v>60104</v>
      </c>
      <c r="AH91" t="s">
        <v>2362</v>
      </c>
      <c r="AI91" t="s">
        <v>2814</v>
      </c>
      <c r="AJ91" t="s">
        <v>2930</v>
      </c>
      <c r="AK91" t="s">
        <v>193</v>
      </c>
      <c r="AM91" t="b">
        <v>1</v>
      </c>
      <c r="AN91" t="s">
        <v>2502</v>
      </c>
      <c r="AO91" t="s">
        <v>2931</v>
      </c>
      <c r="AP91" t="s">
        <v>193</v>
      </c>
      <c r="AS91" t="s">
        <v>670</v>
      </c>
      <c r="AT91" t="s">
        <v>699</v>
      </c>
      <c r="AU91" t="s">
        <v>2234</v>
      </c>
      <c r="AV91" t="b">
        <v>0</v>
      </c>
      <c r="AW91" t="s">
        <v>193</v>
      </c>
      <c r="AX91" t="s">
        <v>193</v>
      </c>
      <c r="AY91" t="s">
        <v>2592</v>
      </c>
      <c r="AZ91" t="s">
        <v>2932</v>
      </c>
      <c r="BA91" t="s">
        <v>2245</v>
      </c>
      <c r="BB91" t="s">
        <v>2019</v>
      </c>
      <c r="BC91" t="b">
        <v>0</v>
      </c>
      <c r="BD91" t="s">
        <v>2933</v>
      </c>
      <c r="BE91" t="b">
        <v>1</v>
      </c>
      <c r="BF91" t="s">
        <v>2931</v>
      </c>
      <c r="BG91" t="s">
        <v>2934</v>
      </c>
      <c r="BI91">
        <v>40844342</v>
      </c>
      <c r="BJ91" t="s">
        <v>153</v>
      </c>
    </row>
    <row r="92" spans="1:63">
      <c r="A92" t="s">
        <v>155</v>
      </c>
      <c r="C92" t="s">
        <v>2228</v>
      </c>
      <c r="D92" t="s">
        <v>914</v>
      </c>
      <c r="E92" t="s">
        <v>193</v>
      </c>
      <c r="F92" t="s">
        <v>2935</v>
      </c>
      <c r="H92" t="s">
        <v>2230</v>
      </c>
      <c r="I92" t="s">
        <v>2231</v>
      </c>
      <c r="J92" t="s">
        <v>156</v>
      </c>
      <c r="K92">
        <v>3059179</v>
      </c>
      <c r="L92" t="s">
        <v>156</v>
      </c>
      <c r="M92" t="b">
        <v>0</v>
      </c>
      <c r="O92" t="s">
        <v>2232</v>
      </c>
      <c r="P92" t="s">
        <v>2233</v>
      </c>
      <c r="Q92" t="s">
        <v>2232</v>
      </c>
      <c r="R92" t="s">
        <v>2233</v>
      </c>
      <c r="V92" t="s">
        <v>2936</v>
      </c>
      <c r="X92" t="s">
        <v>2234</v>
      </c>
      <c r="Y92" t="s">
        <v>2937</v>
      </c>
      <c r="Z92" t="s">
        <v>2236</v>
      </c>
      <c r="AA92" t="s">
        <v>2237</v>
      </c>
      <c r="AC92" t="s">
        <v>2938</v>
      </c>
      <c r="AD92" t="s">
        <v>2388</v>
      </c>
      <c r="AE92" t="s">
        <v>193</v>
      </c>
      <c r="AF92">
        <v>78194</v>
      </c>
      <c r="AH92" t="s">
        <v>2362</v>
      </c>
      <c r="AI92" t="s">
        <v>2363</v>
      </c>
      <c r="AJ92" t="s">
        <v>2028</v>
      </c>
      <c r="AK92" t="s">
        <v>193</v>
      </c>
      <c r="AM92" t="b">
        <v>1</v>
      </c>
      <c r="AN92" t="s">
        <v>2477</v>
      </c>
      <c r="AO92" t="s">
        <v>2939</v>
      </c>
      <c r="AP92" t="s">
        <v>193</v>
      </c>
      <c r="AQ92" t="s">
        <v>2251</v>
      </c>
      <c r="AU92" t="s">
        <v>2234</v>
      </c>
      <c r="AV92" t="b">
        <v>0</v>
      </c>
      <c r="AW92" t="s">
        <v>193</v>
      </c>
      <c r="AX92" t="s">
        <v>193</v>
      </c>
      <c r="AY92" t="s">
        <v>2940</v>
      </c>
      <c r="AZ92" t="s">
        <v>2941</v>
      </c>
      <c r="BA92" t="s">
        <v>2245</v>
      </c>
      <c r="BB92" t="s">
        <v>2032</v>
      </c>
      <c r="BC92" t="b">
        <v>0</v>
      </c>
      <c r="BD92" t="s">
        <v>2942</v>
      </c>
      <c r="BE92" t="b">
        <v>1</v>
      </c>
      <c r="BF92" t="s">
        <v>2943</v>
      </c>
      <c r="BG92" t="s">
        <v>2755</v>
      </c>
      <c r="BI92">
        <v>40928686</v>
      </c>
      <c r="BJ92" t="s">
        <v>155</v>
      </c>
    </row>
    <row r="93" spans="1:63">
      <c r="A93" t="s">
        <v>157</v>
      </c>
      <c r="BJ93" t="s">
        <v>157</v>
      </c>
      <c r="BK93" t="s">
        <v>2944</v>
      </c>
    </row>
    <row r="94" spans="1:63">
      <c r="A94" t="s">
        <v>158</v>
      </c>
      <c r="BJ94" t="s">
        <v>158</v>
      </c>
      <c r="BK94" t="s">
        <v>2945</v>
      </c>
    </row>
    <row r="95" spans="1:63">
      <c r="A95" t="s">
        <v>159</v>
      </c>
      <c r="BJ95" t="s">
        <v>159</v>
      </c>
      <c r="BK95" t="s">
        <v>2946</v>
      </c>
    </row>
    <row r="96" spans="1:63">
      <c r="A96" t="s">
        <v>160</v>
      </c>
      <c r="BJ96" t="s">
        <v>160</v>
      </c>
      <c r="BK96" t="s">
        <v>2947</v>
      </c>
    </row>
    <row r="97" spans="1:63">
      <c r="A97" t="s">
        <v>161</v>
      </c>
      <c r="BJ97" t="s">
        <v>161</v>
      </c>
      <c r="BK97" t="s">
        <v>2948</v>
      </c>
    </row>
    <row r="98" spans="1:63">
      <c r="A98" t="s">
        <v>162</v>
      </c>
      <c r="C98" t="s">
        <v>2228</v>
      </c>
      <c r="D98" t="s">
        <v>914</v>
      </c>
      <c r="E98" t="s">
        <v>193</v>
      </c>
      <c r="F98" t="s">
        <v>2280</v>
      </c>
      <c r="H98" t="s">
        <v>2249</v>
      </c>
      <c r="J98" t="s">
        <v>163</v>
      </c>
      <c r="L98" t="s">
        <v>163</v>
      </c>
      <c r="M98" t="b">
        <v>0</v>
      </c>
      <c r="O98" t="s">
        <v>2232</v>
      </c>
      <c r="P98" t="s">
        <v>2233</v>
      </c>
      <c r="Q98" t="s">
        <v>2232</v>
      </c>
      <c r="R98" t="s">
        <v>2233</v>
      </c>
      <c r="T98" t="s">
        <v>2232</v>
      </c>
      <c r="U98" t="s">
        <v>2250</v>
      </c>
      <c r="W98" t="s">
        <v>2335</v>
      </c>
      <c r="X98" t="s">
        <v>2234</v>
      </c>
      <c r="Y98" t="s">
        <v>2949</v>
      </c>
      <c r="Z98" t="s">
        <v>2236</v>
      </c>
      <c r="AA98" t="s">
        <v>2237</v>
      </c>
      <c r="AB98" t="s">
        <v>2236</v>
      </c>
      <c r="AC98" t="s">
        <v>2950</v>
      </c>
      <c r="AD98" t="s">
        <v>2951</v>
      </c>
      <c r="AE98" t="s">
        <v>193</v>
      </c>
      <c r="AF98">
        <v>33950</v>
      </c>
      <c r="AH98" t="s">
        <v>2676</v>
      </c>
      <c r="AI98" t="s">
        <v>2952</v>
      </c>
      <c r="AJ98" t="s">
        <v>2070</v>
      </c>
      <c r="AK98" t="s">
        <v>193</v>
      </c>
      <c r="AN98" t="s">
        <v>193</v>
      </c>
      <c r="AO98" t="s">
        <v>2953</v>
      </c>
      <c r="AP98" t="s">
        <v>193</v>
      </c>
      <c r="AS98" t="s">
        <v>670</v>
      </c>
      <c r="AT98" t="s">
        <v>699</v>
      </c>
      <c r="AU98" t="s">
        <v>2234</v>
      </c>
      <c r="AV98" t="b">
        <v>0</v>
      </c>
      <c r="AW98" t="s">
        <v>193</v>
      </c>
      <c r="AX98" t="s">
        <v>2259</v>
      </c>
      <c r="AY98" t="s">
        <v>2954</v>
      </c>
      <c r="AZ98" t="s">
        <v>2955</v>
      </c>
      <c r="BA98" t="s">
        <v>2245</v>
      </c>
      <c r="BB98" t="s">
        <v>2074</v>
      </c>
      <c r="BC98" t="b">
        <v>0</v>
      </c>
      <c r="BD98" t="s">
        <v>2956</v>
      </c>
      <c r="BE98" t="b">
        <v>0</v>
      </c>
      <c r="BF98" t="s">
        <v>2957</v>
      </c>
      <c r="BG98" t="s">
        <v>193</v>
      </c>
      <c r="BI98">
        <v>40820916</v>
      </c>
      <c r="BJ98" t="s">
        <v>162</v>
      </c>
    </row>
    <row r="99" spans="1:63">
      <c r="A99" t="s">
        <v>164</v>
      </c>
      <c r="C99" t="s">
        <v>2228</v>
      </c>
      <c r="D99" t="s">
        <v>914</v>
      </c>
      <c r="E99" t="s">
        <v>193</v>
      </c>
      <c r="F99" t="s">
        <v>2958</v>
      </c>
      <c r="H99" t="s">
        <v>2230</v>
      </c>
      <c r="I99" t="s">
        <v>2231</v>
      </c>
      <c r="J99" t="s">
        <v>165</v>
      </c>
      <c r="K99">
        <v>3020323</v>
      </c>
      <c r="L99" t="s">
        <v>165</v>
      </c>
      <c r="M99" t="b">
        <v>0</v>
      </c>
      <c r="O99" t="s">
        <v>2232</v>
      </c>
      <c r="P99" t="s">
        <v>2233</v>
      </c>
      <c r="Q99" t="s">
        <v>2232</v>
      </c>
      <c r="R99" t="s">
        <v>2233</v>
      </c>
      <c r="V99" t="s">
        <v>2959</v>
      </c>
      <c r="W99" t="s">
        <v>2451</v>
      </c>
      <c r="X99" t="s">
        <v>2234</v>
      </c>
      <c r="Y99" t="s">
        <v>2960</v>
      </c>
      <c r="Z99" t="s">
        <v>2236</v>
      </c>
      <c r="AA99" t="s">
        <v>2237</v>
      </c>
      <c r="AB99" t="s">
        <v>2236</v>
      </c>
      <c r="AC99" t="s">
        <v>2961</v>
      </c>
      <c r="AD99" t="s">
        <v>2962</v>
      </c>
      <c r="AE99" t="s">
        <v>193</v>
      </c>
      <c r="AF99">
        <v>17150</v>
      </c>
      <c r="AH99" t="s">
        <v>2500</v>
      </c>
      <c r="AI99" t="s">
        <v>2650</v>
      </c>
      <c r="AJ99" t="s">
        <v>2082</v>
      </c>
      <c r="AK99" t="s">
        <v>193</v>
      </c>
      <c r="AM99" t="b">
        <v>1</v>
      </c>
      <c r="AN99" t="s">
        <v>2477</v>
      </c>
      <c r="AO99" t="s">
        <v>2963</v>
      </c>
      <c r="AP99" t="s">
        <v>193</v>
      </c>
      <c r="AU99" t="s">
        <v>2234</v>
      </c>
      <c r="AV99" t="b">
        <v>0</v>
      </c>
      <c r="AW99" t="s">
        <v>193</v>
      </c>
      <c r="AX99" t="s">
        <v>193</v>
      </c>
      <c r="AY99" t="s">
        <v>2964</v>
      </c>
      <c r="AZ99" t="s">
        <v>2960</v>
      </c>
      <c r="BA99" t="s">
        <v>2245</v>
      </c>
      <c r="BB99" t="s">
        <v>2086</v>
      </c>
      <c r="BC99" t="b">
        <v>0</v>
      </c>
      <c r="BD99" t="s">
        <v>2965</v>
      </c>
      <c r="BE99" t="b">
        <v>0</v>
      </c>
      <c r="BF99" t="s">
        <v>2966</v>
      </c>
      <c r="BG99" t="s">
        <v>193</v>
      </c>
      <c r="BI99">
        <v>40817026</v>
      </c>
      <c r="BJ99" t="s">
        <v>164</v>
      </c>
    </row>
    <row r="100" spans="1:63">
      <c r="A100" t="s">
        <v>166</v>
      </c>
      <c r="C100" t="s">
        <v>2228</v>
      </c>
      <c r="D100" t="s">
        <v>914</v>
      </c>
      <c r="E100" t="s">
        <v>2967</v>
      </c>
      <c r="F100" t="s">
        <v>2358</v>
      </c>
      <c r="H100" t="s">
        <v>2230</v>
      </c>
      <c r="I100" t="s">
        <v>2231</v>
      </c>
      <c r="J100" t="s">
        <v>167</v>
      </c>
      <c r="K100">
        <v>3095970</v>
      </c>
      <c r="L100" t="s">
        <v>167</v>
      </c>
      <c r="M100" t="b">
        <v>0</v>
      </c>
      <c r="O100" t="s">
        <v>2232</v>
      </c>
      <c r="P100" t="s">
        <v>2233</v>
      </c>
      <c r="Q100" t="s">
        <v>2232</v>
      </c>
      <c r="R100" t="s">
        <v>2233</v>
      </c>
      <c r="X100" t="s">
        <v>2234</v>
      </c>
      <c r="Y100" t="s">
        <v>2968</v>
      </c>
      <c r="Z100" t="s">
        <v>2236</v>
      </c>
      <c r="AA100" t="s">
        <v>2237</v>
      </c>
      <c r="AC100" t="s">
        <v>2969</v>
      </c>
      <c r="AD100" t="s">
        <v>2543</v>
      </c>
      <c r="AE100" t="s">
        <v>193</v>
      </c>
      <c r="AF100">
        <v>76632</v>
      </c>
      <c r="AH100" t="s">
        <v>2256</v>
      </c>
      <c r="AI100" t="s">
        <v>2970</v>
      </c>
      <c r="AJ100" t="s">
        <v>2097</v>
      </c>
      <c r="AK100" t="s">
        <v>193</v>
      </c>
      <c r="AM100" t="b">
        <v>1</v>
      </c>
      <c r="AN100" t="s">
        <v>2477</v>
      </c>
      <c r="AO100" t="s">
        <v>2971</v>
      </c>
      <c r="AP100" t="s">
        <v>193</v>
      </c>
      <c r="AQ100" t="s">
        <v>2232</v>
      </c>
      <c r="AU100" t="s">
        <v>2234</v>
      </c>
      <c r="AV100" t="b">
        <v>0</v>
      </c>
      <c r="AW100" t="s">
        <v>193</v>
      </c>
      <c r="AX100" t="s">
        <v>2259</v>
      </c>
      <c r="AY100" t="s">
        <v>2972</v>
      </c>
      <c r="AZ100" t="s">
        <v>2973</v>
      </c>
      <c r="BA100" t="s">
        <v>2245</v>
      </c>
      <c r="BB100" t="s">
        <v>2101</v>
      </c>
      <c r="BC100" t="b">
        <v>0</v>
      </c>
      <c r="BD100" t="s">
        <v>2974</v>
      </c>
      <c r="BE100" t="b">
        <v>0</v>
      </c>
      <c r="BF100" t="s">
        <v>2975</v>
      </c>
      <c r="BG100" t="s">
        <v>193</v>
      </c>
      <c r="BI100">
        <v>41091081</v>
      </c>
      <c r="BJ100" t="s">
        <v>166</v>
      </c>
    </row>
    <row r="101" spans="1:63">
      <c r="A101" t="s">
        <v>168</v>
      </c>
      <c r="C101" t="s">
        <v>2228</v>
      </c>
      <c r="D101" t="s">
        <v>914</v>
      </c>
      <c r="E101" t="s">
        <v>193</v>
      </c>
      <c r="F101" t="s">
        <v>2976</v>
      </c>
      <c r="H101" t="s">
        <v>2249</v>
      </c>
      <c r="J101" t="s">
        <v>169</v>
      </c>
      <c r="L101" t="s">
        <v>169</v>
      </c>
      <c r="M101" t="b">
        <v>0</v>
      </c>
      <c r="O101" t="s">
        <v>2232</v>
      </c>
      <c r="P101" t="s">
        <v>2233</v>
      </c>
      <c r="Q101" t="s">
        <v>2232</v>
      </c>
      <c r="R101" t="s">
        <v>2233</v>
      </c>
      <c r="T101" t="s">
        <v>2232</v>
      </c>
      <c r="U101" t="s">
        <v>2250</v>
      </c>
      <c r="V101" t="s">
        <v>2977</v>
      </c>
      <c r="X101" t="s">
        <v>2234</v>
      </c>
      <c r="Y101" t="s">
        <v>2978</v>
      </c>
      <c r="Z101" t="s">
        <v>2236</v>
      </c>
      <c r="AA101" t="s">
        <v>2237</v>
      </c>
      <c r="AC101" t="s">
        <v>2977</v>
      </c>
      <c r="AD101" t="s">
        <v>2979</v>
      </c>
      <c r="AE101" t="s">
        <v>193</v>
      </c>
      <c r="AF101">
        <v>145656</v>
      </c>
      <c r="AH101" t="s">
        <v>2240</v>
      </c>
      <c r="AI101" t="s">
        <v>2980</v>
      </c>
      <c r="AJ101" t="s">
        <v>1163</v>
      </c>
      <c r="AK101" t="s">
        <v>193</v>
      </c>
      <c r="AM101" t="b">
        <v>0</v>
      </c>
      <c r="AN101" t="s">
        <v>193</v>
      </c>
      <c r="AO101" t="s">
        <v>2981</v>
      </c>
      <c r="AP101" t="s">
        <v>193</v>
      </c>
      <c r="AQ101" t="s">
        <v>2580</v>
      </c>
      <c r="AS101" t="s">
        <v>670</v>
      </c>
      <c r="AT101" t="s">
        <v>699</v>
      </c>
      <c r="AU101" t="s">
        <v>2234</v>
      </c>
      <c r="AV101" t="b">
        <v>0</v>
      </c>
      <c r="AW101" t="s">
        <v>193</v>
      </c>
      <c r="AX101" t="s">
        <v>2259</v>
      </c>
      <c r="AY101" t="s">
        <v>2982</v>
      </c>
      <c r="AZ101" t="s">
        <v>2983</v>
      </c>
      <c r="BA101" t="s">
        <v>2245</v>
      </c>
      <c r="BB101" t="s">
        <v>2115</v>
      </c>
      <c r="BC101" t="b">
        <v>0</v>
      </c>
      <c r="BD101" t="s">
        <v>2984</v>
      </c>
      <c r="BE101" t="b">
        <v>1</v>
      </c>
      <c r="BF101" t="s">
        <v>2985</v>
      </c>
      <c r="BG101" t="s">
        <v>2986</v>
      </c>
      <c r="BI101">
        <v>41061934</v>
      </c>
      <c r="BJ101" t="s">
        <v>168</v>
      </c>
    </row>
  </sheetData>
  <phoneticPr fontId="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01"/>
  <sheetViews>
    <sheetView topLeftCell="P1" workbookViewId="0">
      <pane ySplit="1" topLeftCell="A20" activePane="bottomLeft" state="frozen"/>
      <selection pane="bottomLeft" activeCell="B37" sqref="B37:Y37"/>
    </sheetView>
  </sheetViews>
  <sheetFormatPr baseColWidth="10" defaultColWidth="8.83203125" defaultRowHeight="17"/>
  <cols>
    <col min="1" max="1" width="12" customWidth="1"/>
    <col min="2" max="2" width="14" customWidth="1"/>
    <col min="3" max="3" width="70" customWidth="1"/>
    <col min="4" max="4" width="49" customWidth="1"/>
    <col min="5" max="5" width="39" customWidth="1"/>
    <col min="6" max="6" width="41" customWidth="1"/>
    <col min="7" max="7" width="21" customWidth="1"/>
    <col min="8" max="8" width="29" customWidth="1"/>
    <col min="9" max="9" width="15" customWidth="1"/>
    <col min="10" max="10" width="35" customWidth="1"/>
    <col min="11" max="12" width="46" customWidth="1"/>
    <col min="13" max="13" width="34" customWidth="1"/>
    <col min="14" max="14" width="29" customWidth="1"/>
    <col min="15" max="15" width="33" customWidth="1"/>
    <col min="16" max="16" width="31" customWidth="1"/>
    <col min="17" max="17" width="24" customWidth="1"/>
    <col min="18" max="19" width="29" customWidth="1"/>
    <col min="20" max="20" width="39" customWidth="1"/>
    <col min="21" max="21" width="30" customWidth="1"/>
    <col min="22" max="22" width="28" customWidth="1"/>
    <col min="23" max="23" width="32" customWidth="1"/>
    <col min="24" max="24" width="14" customWidth="1"/>
    <col min="25" max="25" width="15" customWidth="1"/>
    <col min="26" max="26" width="34" customWidth="1"/>
    <col min="27" max="28" width="52" customWidth="1"/>
    <col min="29" max="29" width="41" customWidth="1"/>
    <col min="30" max="30" width="33" customWidth="1"/>
    <col min="31" max="31" width="34" customWidth="1"/>
    <col min="32" max="32" width="15" customWidth="1"/>
  </cols>
  <sheetData>
    <row r="1" spans="1:32" ht="18">
      <c r="A1" s="1" t="s">
        <v>552</v>
      </c>
      <c r="B1" s="1" t="s">
        <v>2987</v>
      </c>
      <c r="C1" s="1" t="s">
        <v>2988</v>
      </c>
      <c r="D1" s="1" t="s">
        <v>2989</v>
      </c>
      <c r="E1" s="1" t="s">
        <v>2990</v>
      </c>
      <c r="F1" s="1" t="s">
        <v>2991</v>
      </c>
      <c r="G1" s="1" t="s">
        <v>2992</v>
      </c>
      <c r="H1" s="1" t="s">
        <v>2993</v>
      </c>
      <c r="I1" s="1" t="s">
        <v>2994</v>
      </c>
      <c r="J1" s="1" t="s">
        <v>2995</v>
      </c>
      <c r="K1" s="1" t="s">
        <v>2996</v>
      </c>
      <c r="L1" s="1" t="s">
        <v>2997</v>
      </c>
      <c r="M1" s="1" t="s">
        <v>2998</v>
      </c>
      <c r="N1" s="1" t="s">
        <v>2999</v>
      </c>
      <c r="O1" s="1" t="s">
        <v>3000</v>
      </c>
      <c r="P1" s="1" t="s">
        <v>3001</v>
      </c>
      <c r="Q1" s="1" t="s">
        <v>3002</v>
      </c>
      <c r="R1" s="1" t="s">
        <v>3003</v>
      </c>
      <c r="S1" s="1" t="s">
        <v>3004</v>
      </c>
      <c r="T1" s="1" t="s">
        <v>3005</v>
      </c>
      <c r="U1" s="1" t="s">
        <v>3006</v>
      </c>
      <c r="V1" s="1" t="s">
        <v>3007</v>
      </c>
      <c r="W1" s="1" t="s">
        <v>3008</v>
      </c>
      <c r="X1" s="1" t="s">
        <v>3009</v>
      </c>
      <c r="Y1" s="1" t="s">
        <v>3010</v>
      </c>
      <c r="Z1" s="1" t="s">
        <v>3011</v>
      </c>
      <c r="AA1" s="1" t="s">
        <v>3012</v>
      </c>
      <c r="AB1" s="1" t="s">
        <v>3013</v>
      </c>
      <c r="AC1" s="1" t="s">
        <v>3014</v>
      </c>
      <c r="AD1" s="1" t="s">
        <v>3015</v>
      </c>
      <c r="AE1" s="1" t="s">
        <v>3016</v>
      </c>
      <c r="AF1" s="1" t="s">
        <v>3017</v>
      </c>
    </row>
    <row r="2" spans="1:32">
      <c r="A2" t="s">
        <v>1</v>
      </c>
      <c r="B2" t="s">
        <v>2</v>
      </c>
      <c r="C2" t="s">
        <v>3018</v>
      </c>
      <c r="D2">
        <v>27</v>
      </c>
      <c r="E2">
        <v>5</v>
      </c>
      <c r="F2" t="s">
        <v>3019</v>
      </c>
      <c r="G2" t="s">
        <v>3020</v>
      </c>
      <c r="H2" t="s">
        <v>3021</v>
      </c>
      <c r="I2" t="s">
        <v>3022</v>
      </c>
      <c r="J2">
        <v>49</v>
      </c>
      <c r="K2">
        <v>0</v>
      </c>
      <c r="L2">
        <v>0</v>
      </c>
      <c r="M2">
        <v>373</v>
      </c>
      <c r="N2">
        <v>500</v>
      </c>
      <c r="O2" t="s">
        <v>682</v>
      </c>
      <c r="P2" t="b">
        <v>1</v>
      </c>
      <c r="Q2" t="b">
        <v>0</v>
      </c>
      <c r="R2" t="b">
        <v>1</v>
      </c>
      <c r="S2" t="b">
        <v>0</v>
      </c>
      <c r="T2" t="b">
        <v>1</v>
      </c>
      <c r="U2" t="b">
        <v>0</v>
      </c>
      <c r="V2" t="b">
        <v>0</v>
      </c>
      <c r="W2" t="b">
        <v>1</v>
      </c>
      <c r="X2" t="s">
        <v>2</v>
      </c>
      <c r="Y2" t="s">
        <v>695</v>
      </c>
      <c r="AA2" t="s">
        <v>3023</v>
      </c>
      <c r="AB2" t="s">
        <v>3023</v>
      </c>
      <c r="AC2" t="s">
        <v>3024</v>
      </c>
      <c r="AD2" t="b">
        <v>1</v>
      </c>
      <c r="AE2" t="b">
        <v>1</v>
      </c>
      <c r="AF2" t="s">
        <v>684</v>
      </c>
    </row>
    <row r="3" spans="1:32">
      <c r="A3" t="s">
        <v>3</v>
      </c>
      <c r="B3" t="s">
        <v>2</v>
      </c>
      <c r="C3" t="s">
        <v>3018</v>
      </c>
      <c r="D3">
        <v>27</v>
      </c>
      <c r="E3">
        <v>5</v>
      </c>
      <c r="F3" t="s">
        <v>3019</v>
      </c>
      <c r="G3" t="s">
        <v>3020</v>
      </c>
      <c r="H3" t="s">
        <v>3021</v>
      </c>
      <c r="I3" t="s">
        <v>3022</v>
      </c>
      <c r="J3">
        <v>49</v>
      </c>
      <c r="K3">
        <v>0</v>
      </c>
      <c r="L3">
        <v>0</v>
      </c>
      <c r="M3">
        <v>373</v>
      </c>
      <c r="N3">
        <v>500</v>
      </c>
      <c r="O3" t="s">
        <v>682</v>
      </c>
      <c r="P3" t="b">
        <v>1</v>
      </c>
      <c r="Q3" t="b">
        <v>0</v>
      </c>
      <c r="R3" t="b">
        <v>1</v>
      </c>
      <c r="S3" t="b">
        <v>0</v>
      </c>
      <c r="T3" t="b">
        <v>1</v>
      </c>
      <c r="U3" t="b">
        <v>0</v>
      </c>
      <c r="V3" t="b">
        <v>0</v>
      </c>
      <c r="W3" t="b">
        <v>1</v>
      </c>
      <c r="X3" t="s">
        <v>2</v>
      </c>
      <c r="Y3" t="s">
        <v>695</v>
      </c>
      <c r="AA3" t="s">
        <v>3023</v>
      </c>
      <c r="AB3" t="s">
        <v>3023</v>
      </c>
      <c r="AC3" t="s">
        <v>3024</v>
      </c>
      <c r="AD3" t="b">
        <v>1</v>
      </c>
      <c r="AE3" t="b">
        <v>1</v>
      </c>
      <c r="AF3" t="s">
        <v>684</v>
      </c>
    </row>
    <row r="4" spans="1:32">
      <c r="A4" t="s">
        <v>4</v>
      </c>
      <c r="B4" t="s">
        <v>2</v>
      </c>
      <c r="C4" t="s">
        <v>3018</v>
      </c>
      <c r="D4">
        <v>27</v>
      </c>
      <c r="E4">
        <v>5</v>
      </c>
      <c r="F4" t="s">
        <v>3019</v>
      </c>
      <c r="G4" t="s">
        <v>3020</v>
      </c>
      <c r="H4" t="s">
        <v>3021</v>
      </c>
      <c r="I4" t="s">
        <v>3022</v>
      </c>
      <c r="J4">
        <v>49</v>
      </c>
      <c r="K4">
        <v>0</v>
      </c>
      <c r="L4">
        <v>0</v>
      </c>
      <c r="M4">
        <v>373</v>
      </c>
      <c r="N4">
        <v>500</v>
      </c>
      <c r="O4" t="s">
        <v>682</v>
      </c>
      <c r="P4" t="b">
        <v>1</v>
      </c>
      <c r="Q4" t="b">
        <v>0</v>
      </c>
      <c r="R4" t="b">
        <v>1</v>
      </c>
      <c r="S4" t="b">
        <v>0</v>
      </c>
      <c r="T4" t="b">
        <v>1</v>
      </c>
      <c r="U4" t="b">
        <v>0</v>
      </c>
      <c r="V4" t="b">
        <v>0</v>
      </c>
      <c r="W4" t="b">
        <v>1</v>
      </c>
      <c r="X4" t="s">
        <v>2</v>
      </c>
      <c r="Y4" t="s">
        <v>695</v>
      </c>
      <c r="AA4" t="s">
        <v>3023</v>
      </c>
      <c r="AB4" t="s">
        <v>3023</v>
      </c>
      <c r="AC4" t="s">
        <v>3024</v>
      </c>
      <c r="AD4" t="b">
        <v>1</v>
      </c>
      <c r="AE4" t="b">
        <v>1</v>
      </c>
      <c r="AF4" t="s">
        <v>684</v>
      </c>
    </row>
    <row r="5" spans="1:32">
      <c r="A5" t="s">
        <v>5</v>
      </c>
      <c r="B5" t="s">
        <v>2</v>
      </c>
      <c r="C5" t="s">
        <v>3018</v>
      </c>
      <c r="D5">
        <v>27</v>
      </c>
      <c r="E5">
        <v>5</v>
      </c>
      <c r="F5" t="s">
        <v>3019</v>
      </c>
      <c r="G5" t="s">
        <v>3020</v>
      </c>
      <c r="H5" t="s">
        <v>3021</v>
      </c>
      <c r="I5" t="s">
        <v>3022</v>
      </c>
      <c r="J5">
        <v>49</v>
      </c>
      <c r="K5">
        <v>0</v>
      </c>
      <c r="L5">
        <v>0</v>
      </c>
      <c r="M5">
        <v>373</v>
      </c>
      <c r="N5">
        <v>500</v>
      </c>
      <c r="O5" t="s">
        <v>682</v>
      </c>
      <c r="P5" t="b">
        <v>1</v>
      </c>
      <c r="Q5" t="b">
        <v>0</v>
      </c>
      <c r="R5" t="b">
        <v>1</v>
      </c>
      <c r="S5" t="b">
        <v>0</v>
      </c>
      <c r="T5" t="b">
        <v>1</v>
      </c>
      <c r="U5" t="b">
        <v>0</v>
      </c>
      <c r="V5" t="b">
        <v>0</v>
      </c>
      <c r="W5" t="b">
        <v>1</v>
      </c>
      <c r="X5" t="s">
        <v>2</v>
      </c>
      <c r="Y5" t="s">
        <v>695</v>
      </c>
      <c r="AA5" t="s">
        <v>3023</v>
      </c>
      <c r="AB5" t="s">
        <v>3023</v>
      </c>
      <c r="AC5" t="s">
        <v>3024</v>
      </c>
      <c r="AD5" t="b">
        <v>1</v>
      </c>
      <c r="AE5" t="b">
        <v>1</v>
      </c>
      <c r="AF5" t="s">
        <v>684</v>
      </c>
    </row>
    <row r="6" spans="1:32">
      <c r="A6" t="s">
        <v>6</v>
      </c>
      <c r="B6" t="s">
        <v>2</v>
      </c>
      <c r="C6" t="s">
        <v>3018</v>
      </c>
      <c r="D6">
        <v>27</v>
      </c>
      <c r="E6">
        <v>5</v>
      </c>
      <c r="F6" t="s">
        <v>3019</v>
      </c>
      <c r="G6" t="s">
        <v>3020</v>
      </c>
      <c r="H6" t="s">
        <v>3021</v>
      </c>
      <c r="I6" t="s">
        <v>3022</v>
      </c>
      <c r="J6">
        <v>49</v>
      </c>
      <c r="K6">
        <v>0</v>
      </c>
      <c r="L6">
        <v>0</v>
      </c>
      <c r="M6">
        <v>373</v>
      </c>
      <c r="N6">
        <v>500</v>
      </c>
      <c r="O6" t="s">
        <v>682</v>
      </c>
      <c r="P6" t="b">
        <v>1</v>
      </c>
      <c r="Q6" t="b">
        <v>0</v>
      </c>
      <c r="R6" t="b">
        <v>1</v>
      </c>
      <c r="S6" t="b">
        <v>0</v>
      </c>
      <c r="T6" t="b">
        <v>1</v>
      </c>
      <c r="U6" t="b">
        <v>0</v>
      </c>
      <c r="V6" t="b">
        <v>0</v>
      </c>
      <c r="W6" t="b">
        <v>1</v>
      </c>
      <c r="X6" t="s">
        <v>2</v>
      </c>
      <c r="Y6" t="s">
        <v>695</v>
      </c>
      <c r="AA6" t="s">
        <v>3023</v>
      </c>
      <c r="AB6" t="s">
        <v>3023</v>
      </c>
      <c r="AC6" t="s">
        <v>3024</v>
      </c>
      <c r="AD6" t="b">
        <v>1</v>
      </c>
      <c r="AE6" t="b">
        <v>1</v>
      </c>
      <c r="AF6" t="s">
        <v>684</v>
      </c>
    </row>
    <row r="7" spans="1:32">
      <c r="A7" t="s">
        <v>7</v>
      </c>
      <c r="B7" t="s">
        <v>2</v>
      </c>
      <c r="C7" t="s">
        <v>3018</v>
      </c>
      <c r="D7">
        <v>27</v>
      </c>
      <c r="E7">
        <v>5</v>
      </c>
      <c r="F7" t="s">
        <v>3019</v>
      </c>
      <c r="G7" t="s">
        <v>3020</v>
      </c>
      <c r="H7" t="s">
        <v>3021</v>
      </c>
      <c r="I7" t="s">
        <v>3022</v>
      </c>
      <c r="J7">
        <v>49</v>
      </c>
      <c r="K7">
        <v>0</v>
      </c>
      <c r="L7">
        <v>0</v>
      </c>
      <c r="M7">
        <v>373</v>
      </c>
      <c r="N7">
        <v>500</v>
      </c>
      <c r="O7" t="s">
        <v>682</v>
      </c>
      <c r="P7" t="b">
        <v>1</v>
      </c>
      <c r="Q7" t="b">
        <v>0</v>
      </c>
      <c r="R7" t="b">
        <v>1</v>
      </c>
      <c r="S7" t="b">
        <v>0</v>
      </c>
      <c r="T7" t="b">
        <v>1</v>
      </c>
      <c r="U7" t="b">
        <v>0</v>
      </c>
      <c r="V7" t="b">
        <v>0</v>
      </c>
      <c r="W7" t="b">
        <v>1</v>
      </c>
      <c r="X7" t="s">
        <v>2</v>
      </c>
      <c r="Y7" t="s">
        <v>695</v>
      </c>
      <c r="AA7" t="s">
        <v>3023</v>
      </c>
      <c r="AB7" t="s">
        <v>3023</v>
      </c>
      <c r="AC7" t="s">
        <v>3024</v>
      </c>
      <c r="AD7" t="b">
        <v>1</v>
      </c>
      <c r="AE7" t="b">
        <v>1</v>
      </c>
      <c r="AF7" t="s">
        <v>684</v>
      </c>
    </row>
    <row r="8" spans="1:32">
      <c r="A8" t="s">
        <v>8</v>
      </c>
      <c r="B8" t="s">
        <v>2</v>
      </c>
      <c r="C8" t="s">
        <v>3018</v>
      </c>
      <c r="D8">
        <v>27</v>
      </c>
      <c r="E8">
        <v>5</v>
      </c>
      <c r="F8" t="s">
        <v>3019</v>
      </c>
      <c r="G8" t="s">
        <v>3020</v>
      </c>
      <c r="H8" t="s">
        <v>3021</v>
      </c>
      <c r="I8" t="s">
        <v>3022</v>
      </c>
      <c r="J8">
        <v>49</v>
      </c>
      <c r="K8">
        <v>0</v>
      </c>
      <c r="L8">
        <v>0</v>
      </c>
      <c r="M8">
        <v>373</v>
      </c>
      <c r="N8">
        <v>500</v>
      </c>
      <c r="O8" t="s">
        <v>682</v>
      </c>
      <c r="P8" t="b">
        <v>1</v>
      </c>
      <c r="Q8" t="b">
        <v>0</v>
      </c>
      <c r="R8" t="b">
        <v>1</v>
      </c>
      <c r="S8" t="b">
        <v>0</v>
      </c>
      <c r="T8" t="b">
        <v>1</v>
      </c>
      <c r="U8" t="b">
        <v>0</v>
      </c>
      <c r="V8" t="b">
        <v>0</v>
      </c>
      <c r="W8" t="b">
        <v>1</v>
      </c>
      <c r="X8" t="s">
        <v>2</v>
      </c>
      <c r="Y8" t="s">
        <v>695</v>
      </c>
      <c r="AA8" t="s">
        <v>3023</v>
      </c>
      <c r="AB8" t="s">
        <v>3023</v>
      </c>
      <c r="AC8" t="s">
        <v>3024</v>
      </c>
      <c r="AD8" t="b">
        <v>1</v>
      </c>
      <c r="AE8" t="b">
        <v>1</v>
      </c>
      <c r="AF8" t="s">
        <v>684</v>
      </c>
    </row>
    <row r="9" spans="1:32">
      <c r="A9" t="s">
        <v>9</v>
      </c>
      <c r="B9" t="s">
        <v>10</v>
      </c>
      <c r="C9" t="s">
        <v>3025</v>
      </c>
      <c r="D9">
        <v>212</v>
      </c>
      <c r="E9">
        <v>4</v>
      </c>
      <c r="F9" t="s">
        <v>3026</v>
      </c>
      <c r="G9" t="s">
        <v>3027</v>
      </c>
      <c r="H9" t="s">
        <v>3028</v>
      </c>
      <c r="I9" t="s">
        <v>3029</v>
      </c>
      <c r="J9">
        <v>14</v>
      </c>
      <c r="K9">
        <v>0</v>
      </c>
      <c r="L9">
        <v>0</v>
      </c>
      <c r="M9">
        <v>76</v>
      </c>
      <c r="N9">
        <v>300</v>
      </c>
      <c r="O9" t="s">
        <v>682</v>
      </c>
      <c r="P9" t="b">
        <v>1</v>
      </c>
      <c r="Q9" t="b">
        <v>0</v>
      </c>
      <c r="R9" t="b">
        <v>1</v>
      </c>
      <c r="S9" t="b">
        <v>0</v>
      </c>
      <c r="T9" t="b">
        <v>1</v>
      </c>
      <c r="U9" t="b">
        <v>1</v>
      </c>
      <c r="V9" t="b">
        <v>1</v>
      </c>
      <c r="W9" t="b">
        <v>1</v>
      </c>
      <c r="X9" t="s">
        <v>10</v>
      </c>
      <c r="Y9" t="s">
        <v>805</v>
      </c>
      <c r="AA9" t="s">
        <v>3023</v>
      </c>
      <c r="AB9" t="s">
        <v>3023</v>
      </c>
      <c r="AC9" t="s">
        <v>3030</v>
      </c>
      <c r="AD9" t="b">
        <v>1</v>
      </c>
      <c r="AE9" t="b">
        <v>1</v>
      </c>
      <c r="AF9" t="s">
        <v>684</v>
      </c>
    </row>
    <row r="10" spans="1:32">
      <c r="A10" t="s">
        <v>11</v>
      </c>
      <c r="B10" t="s">
        <v>10</v>
      </c>
      <c r="C10" t="s">
        <v>3025</v>
      </c>
      <c r="D10">
        <v>212</v>
      </c>
      <c r="E10">
        <v>4</v>
      </c>
      <c r="F10" t="s">
        <v>3026</v>
      </c>
      <c r="G10" t="s">
        <v>3027</v>
      </c>
      <c r="H10" t="s">
        <v>3028</v>
      </c>
      <c r="I10" t="s">
        <v>3029</v>
      </c>
      <c r="J10">
        <v>14</v>
      </c>
      <c r="K10">
        <v>0</v>
      </c>
      <c r="L10">
        <v>0</v>
      </c>
      <c r="M10">
        <v>76</v>
      </c>
      <c r="N10">
        <v>300</v>
      </c>
      <c r="O10" t="s">
        <v>682</v>
      </c>
      <c r="P10" t="b">
        <v>1</v>
      </c>
      <c r="Q10" t="b">
        <v>0</v>
      </c>
      <c r="R10" t="b">
        <v>1</v>
      </c>
      <c r="S10" t="b">
        <v>0</v>
      </c>
      <c r="T10" t="b">
        <v>1</v>
      </c>
      <c r="U10" t="b">
        <v>1</v>
      </c>
      <c r="V10" t="b">
        <v>1</v>
      </c>
      <c r="W10" t="b">
        <v>1</v>
      </c>
      <c r="X10" t="s">
        <v>10</v>
      </c>
      <c r="Y10" t="s">
        <v>805</v>
      </c>
      <c r="AA10" t="s">
        <v>3023</v>
      </c>
      <c r="AB10" t="s">
        <v>3023</v>
      </c>
      <c r="AC10" t="s">
        <v>3030</v>
      </c>
      <c r="AD10" t="b">
        <v>1</v>
      </c>
      <c r="AE10" t="b">
        <v>1</v>
      </c>
      <c r="AF10" t="s">
        <v>684</v>
      </c>
    </row>
    <row r="11" spans="1:32">
      <c r="A11" t="s">
        <v>12</v>
      </c>
      <c r="B11" t="s">
        <v>2</v>
      </c>
      <c r="C11" t="s">
        <v>3018</v>
      </c>
      <c r="D11">
        <v>27</v>
      </c>
      <c r="E11">
        <v>5</v>
      </c>
      <c r="F11" t="s">
        <v>3019</v>
      </c>
      <c r="G11" t="s">
        <v>3020</v>
      </c>
      <c r="H11" t="s">
        <v>3021</v>
      </c>
      <c r="I11" t="s">
        <v>3022</v>
      </c>
      <c r="J11">
        <v>49</v>
      </c>
      <c r="K11">
        <v>0</v>
      </c>
      <c r="L11">
        <v>0</v>
      </c>
      <c r="M11">
        <v>373</v>
      </c>
      <c r="N11">
        <v>500</v>
      </c>
      <c r="O11" t="s">
        <v>682</v>
      </c>
      <c r="P11" t="b">
        <v>1</v>
      </c>
      <c r="Q11" t="b">
        <v>0</v>
      </c>
      <c r="R11" t="b">
        <v>1</v>
      </c>
      <c r="S11" t="b">
        <v>0</v>
      </c>
      <c r="T11" t="b">
        <v>1</v>
      </c>
      <c r="U11" t="b">
        <v>0</v>
      </c>
      <c r="V11" t="b">
        <v>0</v>
      </c>
      <c r="W11" t="b">
        <v>1</v>
      </c>
      <c r="X11" t="s">
        <v>2</v>
      </c>
      <c r="Y11" t="s">
        <v>695</v>
      </c>
      <c r="AA11" t="s">
        <v>3023</v>
      </c>
      <c r="AB11" t="s">
        <v>3023</v>
      </c>
      <c r="AC11" t="s">
        <v>3024</v>
      </c>
      <c r="AD11" t="b">
        <v>1</v>
      </c>
      <c r="AE11" t="b">
        <v>1</v>
      </c>
      <c r="AF11" t="s">
        <v>684</v>
      </c>
    </row>
    <row r="12" spans="1:32">
      <c r="A12" t="s">
        <v>13</v>
      </c>
      <c r="B12" t="s">
        <v>10</v>
      </c>
      <c r="C12" t="s">
        <v>3025</v>
      </c>
      <c r="D12">
        <v>212</v>
      </c>
      <c r="E12">
        <v>4</v>
      </c>
      <c r="F12" t="s">
        <v>3026</v>
      </c>
      <c r="G12" t="s">
        <v>3027</v>
      </c>
      <c r="H12" t="s">
        <v>3028</v>
      </c>
      <c r="I12" t="s">
        <v>3029</v>
      </c>
      <c r="J12">
        <v>14</v>
      </c>
      <c r="K12">
        <v>0</v>
      </c>
      <c r="L12">
        <v>0</v>
      </c>
      <c r="M12">
        <v>76</v>
      </c>
      <c r="N12">
        <v>300</v>
      </c>
      <c r="O12" t="s">
        <v>682</v>
      </c>
      <c r="P12" t="b">
        <v>1</v>
      </c>
      <c r="Q12" t="b">
        <v>0</v>
      </c>
      <c r="R12" t="b">
        <v>1</v>
      </c>
      <c r="S12" t="b">
        <v>0</v>
      </c>
      <c r="T12" t="b">
        <v>1</v>
      </c>
      <c r="U12" t="b">
        <v>1</v>
      </c>
      <c r="V12" t="b">
        <v>1</v>
      </c>
      <c r="W12" t="b">
        <v>1</v>
      </c>
      <c r="X12" t="s">
        <v>10</v>
      </c>
      <c r="Y12" t="s">
        <v>805</v>
      </c>
      <c r="AA12" t="s">
        <v>3023</v>
      </c>
      <c r="AB12" t="s">
        <v>3023</v>
      </c>
      <c r="AC12" t="s">
        <v>3030</v>
      </c>
      <c r="AD12" t="b">
        <v>1</v>
      </c>
      <c r="AE12" t="b">
        <v>1</v>
      </c>
      <c r="AF12" t="s">
        <v>684</v>
      </c>
    </row>
    <row r="13" spans="1:32">
      <c r="A13" t="s">
        <v>14</v>
      </c>
      <c r="B13" t="s">
        <v>2</v>
      </c>
      <c r="C13" t="s">
        <v>3018</v>
      </c>
      <c r="D13">
        <v>27</v>
      </c>
      <c r="E13">
        <v>5</v>
      </c>
      <c r="F13" t="s">
        <v>3019</v>
      </c>
      <c r="G13" t="s">
        <v>3020</v>
      </c>
      <c r="H13" t="s">
        <v>3021</v>
      </c>
      <c r="I13" t="s">
        <v>3022</v>
      </c>
      <c r="J13">
        <v>49</v>
      </c>
      <c r="K13">
        <v>0</v>
      </c>
      <c r="L13">
        <v>0</v>
      </c>
      <c r="M13">
        <v>373</v>
      </c>
      <c r="N13">
        <v>500</v>
      </c>
      <c r="O13" t="s">
        <v>682</v>
      </c>
      <c r="P13" t="b">
        <v>1</v>
      </c>
      <c r="Q13" t="b">
        <v>0</v>
      </c>
      <c r="R13" t="b">
        <v>1</v>
      </c>
      <c r="S13" t="b">
        <v>0</v>
      </c>
      <c r="T13" t="b">
        <v>1</v>
      </c>
      <c r="U13" t="b">
        <v>0</v>
      </c>
      <c r="V13" t="b">
        <v>0</v>
      </c>
      <c r="W13" t="b">
        <v>1</v>
      </c>
      <c r="X13" t="s">
        <v>2</v>
      </c>
      <c r="Y13" t="s">
        <v>695</v>
      </c>
      <c r="AA13" t="s">
        <v>3023</v>
      </c>
      <c r="AB13" t="s">
        <v>3023</v>
      </c>
      <c r="AC13" t="s">
        <v>3024</v>
      </c>
      <c r="AD13" t="b">
        <v>1</v>
      </c>
      <c r="AE13" t="b">
        <v>1</v>
      </c>
      <c r="AF13" t="s">
        <v>684</v>
      </c>
    </row>
    <row r="14" spans="1:32">
      <c r="A14" t="s">
        <v>15</v>
      </c>
      <c r="B14" t="s">
        <v>2</v>
      </c>
      <c r="C14" t="s">
        <v>3018</v>
      </c>
      <c r="D14">
        <v>27</v>
      </c>
      <c r="E14">
        <v>5</v>
      </c>
      <c r="F14" t="s">
        <v>3019</v>
      </c>
      <c r="G14" t="s">
        <v>3020</v>
      </c>
      <c r="H14" t="s">
        <v>3021</v>
      </c>
      <c r="I14" t="s">
        <v>3022</v>
      </c>
      <c r="J14">
        <v>49</v>
      </c>
      <c r="K14">
        <v>0</v>
      </c>
      <c r="L14">
        <v>0</v>
      </c>
      <c r="M14">
        <v>373</v>
      </c>
      <c r="N14">
        <v>500</v>
      </c>
      <c r="O14" t="s">
        <v>682</v>
      </c>
      <c r="P14" t="b">
        <v>1</v>
      </c>
      <c r="Q14" t="b">
        <v>0</v>
      </c>
      <c r="R14" t="b">
        <v>1</v>
      </c>
      <c r="S14" t="b">
        <v>0</v>
      </c>
      <c r="T14" t="b">
        <v>1</v>
      </c>
      <c r="U14" t="b">
        <v>0</v>
      </c>
      <c r="V14" t="b">
        <v>0</v>
      </c>
      <c r="W14" t="b">
        <v>1</v>
      </c>
      <c r="X14" t="s">
        <v>2</v>
      </c>
      <c r="Y14" t="s">
        <v>695</v>
      </c>
      <c r="AA14" t="s">
        <v>3023</v>
      </c>
      <c r="AB14" t="s">
        <v>3023</v>
      </c>
      <c r="AC14" t="s">
        <v>3024</v>
      </c>
      <c r="AD14" t="b">
        <v>1</v>
      </c>
      <c r="AE14" t="b">
        <v>1</v>
      </c>
      <c r="AF14" t="s">
        <v>684</v>
      </c>
    </row>
    <row r="15" spans="1:32">
      <c r="A15" t="s">
        <v>16</v>
      </c>
      <c r="B15" t="s">
        <v>2</v>
      </c>
      <c r="C15" t="s">
        <v>3018</v>
      </c>
      <c r="D15">
        <v>27</v>
      </c>
      <c r="E15">
        <v>5</v>
      </c>
      <c r="F15" t="s">
        <v>3019</v>
      </c>
      <c r="G15" t="s">
        <v>3020</v>
      </c>
      <c r="H15" t="s">
        <v>3021</v>
      </c>
      <c r="I15" t="s">
        <v>3022</v>
      </c>
      <c r="J15">
        <v>49</v>
      </c>
      <c r="K15">
        <v>0</v>
      </c>
      <c r="L15">
        <v>0</v>
      </c>
      <c r="M15">
        <v>373</v>
      </c>
      <c r="N15">
        <v>500</v>
      </c>
      <c r="O15" t="s">
        <v>682</v>
      </c>
      <c r="P15" t="b">
        <v>1</v>
      </c>
      <c r="Q15" t="b">
        <v>0</v>
      </c>
      <c r="R15" t="b">
        <v>1</v>
      </c>
      <c r="S15" t="b">
        <v>0</v>
      </c>
      <c r="T15" t="b">
        <v>1</v>
      </c>
      <c r="U15" t="b">
        <v>0</v>
      </c>
      <c r="V15" t="b">
        <v>0</v>
      </c>
      <c r="W15" t="b">
        <v>1</v>
      </c>
      <c r="X15" t="s">
        <v>2</v>
      </c>
      <c r="Y15" t="s">
        <v>695</v>
      </c>
      <c r="AA15" t="s">
        <v>3023</v>
      </c>
      <c r="AB15" t="s">
        <v>3023</v>
      </c>
      <c r="AC15" t="s">
        <v>3024</v>
      </c>
      <c r="AD15" t="b">
        <v>1</v>
      </c>
      <c r="AE15" t="b">
        <v>1</v>
      </c>
      <c r="AF15" t="s">
        <v>684</v>
      </c>
    </row>
    <row r="16" spans="1:32">
      <c r="A16" t="s">
        <v>17</v>
      </c>
      <c r="B16" t="s">
        <v>2</v>
      </c>
      <c r="C16" t="s">
        <v>3018</v>
      </c>
      <c r="D16">
        <v>27</v>
      </c>
      <c r="E16">
        <v>5</v>
      </c>
      <c r="F16" t="s">
        <v>3019</v>
      </c>
      <c r="G16" t="s">
        <v>3020</v>
      </c>
      <c r="H16" t="s">
        <v>3021</v>
      </c>
      <c r="I16" t="s">
        <v>3022</v>
      </c>
      <c r="J16">
        <v>49</v>
      </c>
      <c r="K16">
        <v>0</v>
      </c>
      <c r="L16">
        <v>0</v>
      </c>
      <c r="M16">
        <v>373</v>
      </c>
      <c r="N16">
        <v>500</v>
      </c>
      <c r="O16" t="s">
        <v>682</v>
      </c>
      <c r="P16" t="b">
        <v>1</v>
      </c>
      <c r="Q16" t="b">
        <v>0</v>
      </c>
      <c r="R16" t="b">
        <v>1</v>
      </c>
      <c r="S16" t="b">
        <v>0</v>
      </c>
      <c r="T16" t="b">
        <v>1</v>
      </c>
      <c r="U16" t="b">
        <v>0</v>
      </c>
      <c r="V16" t="b">
        <v>0</v>
      </c>
      <c r="W16" t="b">
        <v>1</v>
      </c>
      <c r="X16" t="s">
        <v>2</v>
      </c>
      <c r="Y16" t="s">
        <v>695</v>
      </c>
      <c r="AA16" t="s">
        <v>3023</v>
      </c>
      <c r="AB16" t="s">
        <v>3023</v>
      </c>
      <c r="AC16" t="s">
        <v>3024</v>
      </c>
      <c r="AD16" t="b">
        <v>1</v>
      </c>
      <c r="AE16" t="b">
        <v>1</v>
      </c>
      <c r="AF16" t="s">
        <v>684</v>
      </c>
    </row>
    <row r="17" spans="1:32">
      <c r="A17" t="s">
        <v>18</v>
      </c>
      <c r="B17" t="s">
        <v>19</v>
      </c>
      <c r="C17" t="s">
        <v>3031</v>
      </c>
      <c r="G17" t="s">
        <v>3032</v>
      </c>
      <c r="H17" t="s">
        <v>3033</v>
      </c>
      <c r="J17">
        <v>30</v>
      </c>
      <c r="K17">
        <v>0</v>
      </c>
      <c r="L17">
        <v>0</v>
      </c>
      <c r="M17">
        <v>113</v>
      </c>
      <c r="N17">
        <v>113</v>
      </c>
      <c r="O17" t="s">
        <v>682</v>
      </c>
      <c r="P17" t="b">
        <v>1</v>
      </c>
      <c r="Q17" t="b">
        <v>0</v>
      </c>
      <c r="R17" t="b">
        <v>1</v>
      </c>
      <c r="S17" t="b">
        <v>0</v>
      </c>
      <c r="T17" t="b">
        <v>1</v>
      </c>
      <c r="U17" t="b">
        <v>1</v>
      </c>
      <c r="V17" t="b">
        <v>1</v>
      </c>
      <c r="W17" t="b">
        <v>1</v>
      </c>
      <c r="X17" t="s">
        <v>19</v>
      </c>
      <c r="Y17" t="s">
        <v>3034</v>
      </c>
      <c r="AA17" t="s">
        <v>3023</v>
      </c>
      <c r="AB17" t="s">
        <v>3023</v>
      </c>
      <c r="AD17" t="b">
        <v>1</v>
      </c>
      <c r="AE17" t="b">
        <v>1</v>
      </c>
      <c r="AF17" t="s">
        <v>684</v>
      </c>
    </row>
    <row r="18" spans="1:32">
      <c r="A18" t="s">
        <v>20</v>
      </c>
      <c r="B18" t="s">
        <v>19</v>
      </c>
      <c r="C18" t="s">
        <v>3031</v>
      </c>
      <c r="G18" t="s">
        <v>3032</v>
      </c>
      <c r="H18" t="s">
        <v>3033</v>
      </c>
      <c r="J18">
        <v>30</v>
      </c>
      <c r="K18">
        <v>0</v>
      </c>
      <c r="L18">
        <v>0</v>
      </c>
      <c r="M18">
        <v>113</v>
      </c>
      <c r="N18">
        <v>113</v>
      </c>
      <c r="O18" t="s">
        <v>682</v>
      </c>
      <c r="P18" t="b">
        <v>1</v>
      </c>
      <c r="Q18" t="b">
        <v>0</v>
      </c>
      <c r="R18" t="b">
        <v>1</v>
      </c>
      <c r="S18" t="b">
        <v>0</v>
      </c>
      <c r="T18" t="b">
        <v>1</v>
      </c>
      <c r="U18" t="b">
        <v>1</v>
      </c>
      <c r="V18" t="b">
        <v>1</v>
      </c>
      <c r="W18" t="b">
        <v>1</v>
      </c>
      <c r="X18" t="s">
        <v>19</v>
      </c>
      <c r="Y18" t="s">
        <v>3034</v>
      </c>
      <c r="AA18" t="s">
        <v>3023</v>
      </c>
      <c r="AB18" t="s">
        <v>3023</v>
      </c>
      <c r="AD18" t="b">
        <v>1</v>
      </c>
      <c r="AE18" t="b">
        <v>1</v>
      </c>
      <c r="AF18" t="s">
        <v>684</v>
      </c>
    </row>
    <row r="19" spans="1:32">
      <c r="A19" t="s">
        <v>21</v>
      </c>
      <c r="B19" t="s">
        <v>22</v>
      </c>
      <c r="C19" t="s">
        <v>3035</v>
      </c>
      <c r="G19" t="s">
        <v>3036</v>
      </c>
      <c r="H19" t="s">
        <v>3037</v>
      </c>
      <c r="J19">
        <v>12</v>
      </c>
      <c r="K19">
        <v>0</v>
      </c>
      <c r="L19">
        <v>0</v>
      </c>
      <c r="M19">
        <v>40</v>
      </c>
      <c r="N19">
        <v>572</v>
      </c>
      <c r="O19" t="s">
        <v>682</v>
      </c>
      <c r="P19" t="b">
        <v>1</v>
      </c>
      <c r="Q19" t="b">
        <v>0</v>
      </c>
      <c r="R19" t="b">
        <v>1</v>
      </c>
      <c r="S19" t="b">
        <v>0</v>
      </c>
      <c r="T19" t="b">
        <v>1</v>
      </c>
      <c r="U19" t="b">
        <v>0</v>
      </c>
      <c r="V19" t="b">
        <v>0</v>
      </c>
      <c r="W19" t="b">
        <v>1</v>
      </c>
      <c r="X19" t="s">
        <v>22</v>
      </c>
      <c r="Y19" t="s">
        <v>926</v>
      </c>
      <c r="AA19" t="s">
        <v>3023</v>
      </c>
      <c r="AB19" t="s">
        <v>3023</v>
      </c>
      <c r="AC19" t="s">
        <v>3038</v>
      </c>
      <c r="AD19" t="b">
        <v>1</v>
      </c>
      <c r="AE19" t="b">
        <v>1</v>
      </c>
      <c r="AF19" t="s">
        <v>684</v>
      </c>
    </row>
    <row r="20" spans="1:32">
      <c r="A20" t="s">
        <v>23</v>
      </c>
      <c r="B20" t="s">
        <v>24</v>
      </c>
      <c r="C20" t="s">
        <v>3039</v>
      </c>
      <c r="D20">
        <v>302</v>
      </c>
      <c r="E20">
        <v>3</v>
      </c>
      <c r="F20" t="s">
        <v>3040</v>
      </c>
      <c r="G20" t="s">
        <v>3041</v>
      </c>
      <c r="H20" t="s">
        <v>3042</v>
      </c>
      <c r="I20" t="s">
        <v>3043</v>
      </c>
      <c r="J20">
        <v>21</v>
      </c>
      <c r="K20">
        <v>0</v>
      </c>
      <c r="L20">
        <v>0</v>
      </c>
      <c r="M20">
        <v>87</v>
      </c>
      <c r="N20">
        <v>213</v>
      </c>
      <c r="O20" t="s">
        <v>682</v>
      </c>
      <c r="P20" t="b">
        <v>1</v>
      </c>
      <c r="Q20" t="b">
        <v>0</v>
      </c>
      <c r="R20" t="b">
        <v>1</v>
      </c>
      <c r="S20" t="b">
        <v>0</v>
      </c>
      <c r="T20" t="b">
        <v>1</v>
      </c>
      <c r="U20" t="b">
        <v>1</v>
      </c>
      <c r="V20" t="b">
        <v>1</v>
      </c>
      <c r="W20" t="b">
        <v>1</v>
      </c>
      <c r="X20" t="s">
        <v>24</v>
      </c>
      <c r="Y20" t="s">
        <v>947</v>
      </c>
      <c r="AA20" t="s">
        <v>3023</v>
      </c>
      <c r="AB20" t="s">
        <v>3023</v>
      </c>
      <c r="AC20" t="s">
        <v>3044</v>
      </c>
      <c r="AD20" t="b">
        <v>1</v>
      </c>
      <c r="AE20" t="b">
        <v>1</v>
      </c>
      <c r="AF20" t="s">
        <v>684</v>
      </c>
    </row>
    <row r="21" spans="1:32">
      <c r="A21" t="s">
        <v>25</v>
      </c>
      <c r="B21" t="s">
        <v>24</v>
      </c>
      <c r="C21" t="s">
        <v>3039</v>
      </c>
      <c r="D21">
        <v>302</v>
      </c>
      <c r="E21">
        <v>3</v>
      </c>
      <c r="F21" t="s">
        <v>3040</v>
      </c>
      <c r="G21" t="s">
        <v>3041</v>
      </c>
      <c r="H21" t="s">
        <v>3042</v>
      </c>
      <c r="I21" t="s">
        <v>3043</v>
      </c>
      <c r="J21">
        <v>21</v>
      </c>
      <c r="K21">
        <v>0</v>
      </c>
      <c r="L21">
        <v>0</v>
      </c>
      <c r="M21">
        <v>87</v>
      </c>
      <c r="N21">
        <v>213</v>
      </c>
      <c r="O21" t="s">
        <v>682</v>
      </c>
      <c r="P21" t="b">
        <v>1</v>
      </c>
      <c r="Q21" t="b">
        <v>0</v>
      </c>
      <c r="R21" t="b">
        <v>1</v>
      </c>
      <c r="S21" t="b">
        <v>0</v>
      </c>
      <c r="T21" t="b">
        <v>1</v>
      </c>
      <c r="U21" t="b">
        <v>1</v>
      </c>
      <c r="V21" t="b">
        <v>1</v>
      </c>
      <c r="W21" t="b">
        <v>1</v>
      </c>
      <c r="X21" t="s">
        <v>24</v>
      </c>
      <c r="Y21" t="s">
        <v>947</v>
      </c>
      <c r="AA21" t="s">
        <v>3023</v>
      </c>
      <c r="AB21" t="s">
        <v>3023</v>
      </c>
      <c r="AC21" t="s">
        <v>3044</v>
      </c>
      <c r="AD21" t="b">
        <v>1</v>
      </c>
      <c r="AE21" t="b">
        <v>1</v>
      </c>
      <c r="AF21" t="s">
        <v>684</v>
      </c>
    </row>
    <row r="22" spans="1:32">
      <c r="A22" t="s">
        <v>26</v>
      </c>
      <c r="B22" t="s">
        <v>24</v>
      </c>
      <c r="C22" t="s">
        <v>3039</v>
      </c>
      <c r="D22">
        <v>302</v>
      </c>
      <c r="E22">
        <v>3</v>
      </c>
      <c r="F22" t="s">
        <v>3040</v>
      </c>
      <c r="G22" t="s">
        <v>3041</v>
      </c>
      <c r="H22" t="s">
        <v>3042</v>
      </c>
      <c r="I22" t="s">
        <v>3043</v>
      </c>
      <c r="J22">
        <v>21</v>
      </c>
      <c r="K22">
        <v>0</v>
      </c>
      <c r="L22">
        <v>0</v>
      </c>
      <c r="M22">
        <v>87</v>
      </c>
      <c r="N22">
        <v>213</v>
      </c>
      <c r="O22" t="s">
        <v>682</v>
      </c>
      <c r="P22" t="b">
        <v>1</v>
      </c>
      <c r="Q22" t="b">
        <v>0</v>
      </c>
      <c r="R22" t="b">
        <v>1</v>
      </c>
      <c r="S22" t="b">
        <v>0</v>
      </c>
      <c r="T22" t="b">
        <v>1</v>
      </c>
      <c r="U22" t="b">
        <v>1</v>
      </c>
      <c r="V22" t="b">
        <v>1</v>
      </c>
      <c r="W22" t="b">
        <v>1</v>
      </c>
      <c r="X22" t="s">
        <v>24</v>
      </c>
      <c r="Y22" t="s">
        <v>947</v>
      </c>
      <c r="AA22" t="s">
        <v>3023</v>
      </c>
      <c r="AB22" t="s">
        <v>3023</v>
      </c>
      <c r="AC22" t="s">
        <v>3044</v>
      </c>
      <c r="AD22" t="b">
        <v>1</v>
      </c>
      <c r="AE22" t="b">
        <v>1</v>
      </c>
      <c r="AF22" t="s">
        <v>684</v>
      </c>
    </row>
    <row r="23" spans="1:32">
      <c r="A23" t="s">
        <v>27</v>
      </c>
      <c r="B23" t="s">
        <v>24</v>
      </c>
      <c r="C23" t="s">
        <v>3039</v>
      </c>
      <c r="D23">
        <v>302</v>
      </c>
      <c r="E23">
        <v>3</v>
      </c>
      <c r="F23" t="s">
        <v>3040</v>
      </c>
      <c r="G23" t="s">
        <v>3041</v>
      </c>
      <c r="H23" t="s">
        <v>3042</v>
      </c>
      <c r="I23" t="s">
        <v>3043</v>
      </c>
      <c r="J23">
        <v>21</v>
      </c>
      <c r="K23">
        <v>0</v>
      </c>
      <c r="L23">
        <v>0</v>
      </c>
      <c r="M23">
        <v>87</v>
      </c>
      <c r="N23">
        <v>213</v>
      </c>
      <c r="O23" t="s">
        <v>682</v>
      </c>
      <c r="P23" t="b">
        <v>1</v>
      </c>
      <c r="Q23" t="b">
        <v>0</v>
      </c>
      <c r="R23" t="b">
        <v>1</v>
      </c>
      <c r="S23" t="b">
        <v>0</v>
      </c>
      <c r="T23" t="b">
        <v>1</v>
      </c>
      <c r="U23" t="b">
        <v>1</v>
      </c>
      <c r="V23" t="b">
        <v>1</v>
      </c>
      <c r="W23" t="b">
        <v>1</v>
      </c>
      <c r="X23" t="s">
        <v>24</v>
      </c>
      <c r="Y23" t="s">
        <v>947</v>
      </c>
      <c r="AA23" t="s">
        <v>3023</v>
      </c>
      <c r="AB23" t="s">
        <v>3023</v>
      </c>
      <c r="AC23" t="s">
        <v>3044</v>
      </c>
      <c r="AD23" t="b">
        <v>1</v>
      </c>
      <c r="AE23" t="b">
        <v>1</v>
      </c>
      <c r="AF23" t="s">
        <v>684</v>
      </c>
    </row>
    <row r="24" spans="1:32">
      <c r="A24" t="s">
        <v>28</v>
      </c>
      <c r="B24" t="s">
        <v>24</v>
      </c>
      <c r="C24" t="s">
        <v>3039</v>
      </c>
      <c r="D24">
        <v>302</v>
      </c>
      <c r="E24">
        <v>3</v>
      </c>
      <c r="F24" t="s">
        <v>3040</v>
      </c>
      <c r="G24" t="s">
        <v>3041</v>
      </c>
      <c r="H24" t="s">
        <v>3042</v>
      </c>
      <c r="I24" t="s">
        <v>3043</v>
      </c>
      <c r="J24">
        <v>21</v>
      </c>
      <c r="K24">
        <v>0</v>
      </c>
      <c r="L24">
        <v>0</v>
      </c>
      <c r="M24">
        <v>87</v>
      </c>
      <c r="N24">
        <v>213</v>
      </c>
      <c r="O24" t="s">
        <v>682</v>
      </c>
      <c r="P24" t="b">
        <v>1</v>
      </c>
      <c r="Q24" t="b">
        <v>0</v>
      </c>
      <c r="R24" t="b">
        <v>1</v>
      </c>
      <c r="S24" t="b">
        <v>0</v>
      </c>
      <c r="T24" t="b">
        <v>1</v>
      </c>
      <c r="U24" t="b">
        <v>1</v>
      </c>
      <c r="V24" t="b">
        <v>1</v>
      </c>
      <c r="W24" t="b">
        <v>1</v>
      </c>
      <c r="X24" t="s">
        <v>24</v>
      </c>
      <c r="Y24" t="s">
        <v>947</v>
      </c>
      <c r="AA24" t="s">
        <v>3023</v>
      </c>
      <c r="AB24" t="s">
        <v>3023</v>
      </c>
      <c r="AC24" t="s">
        <v>3044</v>
      </c>
      <c r="AD24" t="b">
        <v>1</v>
      </c>
      <c r="AE24" t="b">
        <v>1</v>
      </c>
      <c r="AF24" t="s">
        <v>684</v>
      </c>
    </row>
    <row r="25" spans="1:32">
      <c r="A25" t="s">
        <v>29</v>
      </c>
      <c r="B25" t="s">
        <v>24</v>
      </c>
      <c r="C25" t="s">
        <v>3039</v>
      </c>
      <c r="D25">
        <v>302</v>
      </c>
      <c r="E25">
        <v>3</v>
      </c>
      <c r="F25" t="s">
        <v>3040</v>
      </c>
      <c r="G25" t="s">
        <v>3041</v>
      </c>
      <c r="H25" t="s">
        <v>3042</v>
      </c>
      <c r="I25" t="s">
        <v>3043</v>
      </c>
      <c r="J25">
        <v>21</v>
      </c>
      <c r="K25">
        <v>0</v>
      </c>
      <c r="L25">
        <v>0</v>
      </c>
      <c r="M25">
        <v>87</v>
      </c>
      <c r="N25">
        <v>213</v>
      </c>
      <c r="O25" t="s">
        <v>682</v>
      </c>
      <c r="P25" t="b">
        <v>1</v>
      </c>
      <c r="Q25" t="b">
        <v>0</v>
      </c>
      <c r="R25" t="b">
        <v>1</v>
      </c>
      <c r="S25" t="b">
        <v>0</v>
      </c>
      <c r="T25" t="b">
        <v>1</v>
      </c>
      <c r="U25" t="b">
        <v>1</v>
      </c>
      <c r="V25" t="b">
        <v>1</v>
      </c>
      <c r="W25" t="b">
        <v>1</v>
      </c>
      <c r="X25" t="s">
        <v>24</v>
      </c>
      <c r="Y25" t="s">
        <v>947</v>
      </c>
      <c r="AA25" t="s">
        <v>3023</v>
      </c>
      <c r="AB25" t="s">
        <v>3023</v>
      </c>
      <c r="AC25" t="s">
        <v>3044</v>
      </c>
      <c r="AD25" t="b">
        <v>1</v>
      </c>
      <c r="AE25" t="b">
        <v>1</v>
      </c>
      <c r="AF25" t="s">
        <v>684</v>
      </c>
    </row>
    <row r="26" spans="1:32">
      <c r="A26" t="s">
        <v>30</v>
      </c>
      <c r="B26" t="s">
        <v>24</v>
      </c>
      <c r="C26" t="s">
        <v>3039</v>
      </c>
      <c r="D26">
        <v>302</v>
      </c>
      <c r="E26">
        <v>3</v>
      </c>
      <c r="F26" t="s">
        <v>3040</v>
      </c>
      <c r="G26" t="s">
        <v>3041</v>
      </c>
      <c r="H26" t="s">
        <v>3042</v>
      </c>
      <c r="I26" t="s">
        <v>3043</v>
      </c>
      <c r="J26">
        <v>21</v>
      </c>
      <c r="K26">
        <v>0</v>
      </c>
      <c r="L26">
        <v>0</v>
      </c>
      <c r="M26">
        <v>87</v>
      </c>
      <c r="N26">
        <v>213</v>
      </c>
      <c r="O26" t="s">
        <v>682</v>
      </c>
      <c r="P26" t="b">
        <v>1</v>
      </c>
      <c r="Q26" t="b">
        <v>0</v>
      </c>
      <c r="R26" t="b">
        <v>1</v>
      </c>
      <c r="S26" t="b">
        <v>0</v>
      </c>
      <c r="T26" t="b">
        <v>1</v>
      </c>
      <c r="U26" t="b">
        <v>1</v>
      </c>
      <c r="V26" t="b">
        <v>1</v>
      </c>
      <c r="W26" t="b">
        <v>1</v>
      </c>
      <c r="X26" t="s">
        <v>24</v>
      </c>
      <c r="Y26" t="s">
        <v>947</v>
      </c>
      <c r="AA26" t="s">
        <v>3023</v>
      </c>
      <c r="AB26" t="s">
        <v>3023</v>
      </c>
      <c r="AC26" t="s">
        <v>3044</v>
      </c>
      <c r="AD26" t="b">
        <v>1</v>
      </c>
      <c r="AE26" t="b">
        <v>1</v>
      </c>
      <c r="AF26" t="s">
        <v>684</v>
      </c>
    </row>
    <row r="27" spans="1:32">
      <c r="A27" t="s">
        <v>31</v>
      </c>
      <c r="B27" t="s">
        <v>32</v>
      </c>
      <c r="C27" t="s">
        <v>3045</v>
      </c>
      <c r="G27" t="s">
        <v>3046</v>
      </c>
      <c r="H27" t="s">
        <v>3047</v>
      </c>
      <c r="J27">
        <v>10</v>
      </c>
      <c r="K27">
        <v>0</v>
      </c>
      <c r="L27">
        <v>0</v>
      </c>
      <c r="M27">
        <v>79</v>
      </c>
      <c r="N27">
        <v>387</v>
      </c>
      <c r="O27" t="s">
        <v>682</v>
      </c>
      <c r="P27" t="b">
        <v>1</v>
      </c>
      <c r="Q27" t="b">
        <v>0</v>
      </c>
      <c r="R27" t="b">
        <v>1</v>
      </c>
      <c r="S27" t="b">
        <v>0</v>
      </c>
      <c r="T27" t="b">
        <v>1</v>
      </c>
      <c r="U27" t="b">
        <v>1</v>
      </c>
      <c r="V27" t="b">
        <v>1</v>
      </c>
      <c r="W27" t="b">
        <v>1</v>
      </c>
      <c r="X27" t="s">
        <v>32</v>
      </c>
      <c r="Y27" t="s">
        <v>1037</v>
      </c>
      <c r="AA27" t="s">
        <v>3023</v>
      </c>
      <c r="AB27" t="s">
        <v>3023</v>
      </c>
      <c r="AC27" t="s">
        <v>3048</v>
      </c>
      <c r="AD27" t="b">
        <v>1</v>
      </c>
      <c r="AE27" t="b">
        <v>1</v>
      </c>
      <c r="AF27" t="s">
        <v>684</v>
      </c>
    </row>
    <row r="28" spans="1:32">
      <c r="A28" t="s">
        <v>33</v>
      </c>
      <c r="B28" t="s">
        <v>34</v>
      </c>
      <c r="C28" t="s">
        <v>3049</v>
      </c>
      <c r="G28" t="s">
        <v>3050</v>
      </c>
      <c r="H28" t="s">
        <v>3051</v>
      </c>
      <c r="J28">
        <v>1</v>
      </c>
      <c r="K28">
        <v>0</v>
      </c>
      <c r="L28">
        <v>0</v>
      </c>
      <c r="M28">
        <v>94</v>
      </c>
      <c r="N28">
        <v>416</v>
      </c>
      <c r="O28" t="s">
        <v>682</v>
      </c>
      <c r="P28" t="b">
        <v>1</v>
      </c>
      <c r="Q28" t="b">
        <v>0</v>
      </c>
      <c r="R28" t="b">
        <v>1</v>
      </c>
      <c r="S28" t="b">
        <v>0</v>
      </c>
      <c r="T28" t="b">
        <v>1</v>
      </c>
      <c r="U28" t="b">
        <v>1</v>
      </c>
      <c r="V28" t="b">
        <v>1</v>
      </c>
      <c r="W28" t="b">
        <v>1</v>
      </c>
      <c r="X28" t="s">
        <v>34</v>
      </c>
      <c r="Y28" t="s">
        <v>1053</v>
      </c>
      <c r="AA28" t="s">
        <v>3023</v>
      </c>
      <c r="AB28" t="s">
        <v>3023</v>
      </c>
      <c r="AC28" t="s">
        <v>3052</v>
      </c>
      <c r="AD28" t="b">
        <v>1</v>
      </c>
      <c r="AE28" t="b">
        <v>1</v>
      </c>
      <c r="AF28" t="s">
        <v>684</v>
      </c>
    </row>
    <row r="29" spans="1:32">
      <c r="A29" t="s">
        <v>35</v>
      </c>
      <c r="B29" t="s">
        <v>36</v>
      </c>
      <c r="C29" t="s">
        <v>3053</v>
      </c>
      <c r="G29" t="s">
        <v>3054</v>
      </c>
      <c r="H29" t="s">
        <v>3055</v>
      </c>
      <c r="I29" t="s">
        <v>3056</v>
      </c>
      <c r="J29">
        <v>6</v>
      </c>
      <c r="K29">
        <v>0</v>
      </c>
      <c r="L29">
        <v>0</v>
      </c>
      <c r="M29">
        <v>69</v>
      </c>
      <c r="N29">
        <v>530</v>
      </c>
      <c r="O29" t="s">
        <v>682</v>
      </c>
      <c r="P29" t="b">
        <v>1</v>
      </c>
      <c r="Q29" t="b">
        <v>0</v>
      </c>
      <c r="R29" t="b">
        <v>1</v>
      </c>
      <c r="S29" t="b">
        <v>0</v>
      </c>
      <c r="T29" t="b">
        <v>1</v>
      </c>
      <c r="U29" t="b">
        <v>1</v>
      </c>
      <c r="V29" t="b">
        <v>1</v>
      </c>
      <c r="W29" t="b">
        <v>1</v>
      </c>
      <c r="X29" t="s">
        <v>36</v>
      </c>
      <c r="Y29" t="s">
        <v>1071</v>
      </c>
      <c r="AA29" t="s">
        <v>3023</v>
      </c>
      <c r="AB29" t="s">
        <v>3023</v>
      </c>
      <c r="AC29" t="s">
        <v>3057</v>
      </c>
      <c r="AD29" t="b">
        <v>1</v>
      </c>
      <c r="AE29" t="b">
        <v>1</v>
      </c>
      <c r="AF29" t="s">
        <v>684</v>
      </c>
    </row>
    <row r="30" spans="1:32">
      <c r="A30" t="s">
        <v>37</v>
      </c>
      <c r="B30" t="s">
        <v>38</v>
      </c>
      <c r="C30" t="s">
        <v>3058</v>
      </c>
      <c r="G30" t="s">
        <v>3059</v>
      </c>
      <c r="H30" t="s">
        <v>3060</v>
      </c>
      <c r="J30">
        <v>56</v>
      </c>
      <c r="K30">
        <v>0</v>
      </c>
      <c r="L30">
        <v>0</v>
      </c>
      <c r="M30">
        <v>359</v>
      </c>
      <c r="N30">
        <v>1385</v>
      </c>
      <c r="O30" t="s">
        <v>682</v>
      </c>
      <c r="P30" t="b">
        <v>1</v>
      </c>
      <c r="Q30" t="b">
        <v>0</v>
      </c>
      <c r="R30" t="b">
        <v>1</v>
      </c>
      <c r="S30" t="b">
        <v>0</v>
      </c>
      <c r="T30" t="b">
        <v>1</v>
      </c>
      <c r="U30" t="b">
        <v>0</v>
      </c>
      <c r="V30" t="b">
        <v>0</v>
      </c>
      <c r="W30" t="b">
        <v>1</v>
      </c>
      <c r="X30" t="s">
        <v>38</v>
      </c>
      <c r="Y30" t="s">
        <v>1089</v>
      </c>
      <c r="AA30" t="s">
        <v>3023</v>
      </c>
      <c r="AB30" t="s">
        <v>3023</v>
      </c>
      <c r="AC30" t="s">
        <v>3061</v>
      </c>
      <c r="AD30" t="b">
        <v>1</v>
      </c>
      <c r="AE30" t="b">
        <v>1</v>
      </c>
      <c r="AF30" t="s">
        <v>684</v>
      </c>
    </row>
    <row r="31" spans="1:32">
      <c r="A31" t="s">
        <v>39</v>
      </c>
      <c r="B31" t="s">
        <v>40</v>
      </c>
      <c r="C31" t="s">
        <v>3062</v>
      </c>
      <c r="G31" t="s">
        <v>3063</v>
      </c>
      <c r="H31" t="s">
        <v>3064</v>
      </c>
      <c r="J31">
        <v>45</v>
      </c>
      <c r="K31">
        <v>0</v>
      </c>
      <c r="L31">
        <v>0</v>
      </c>
      <c r="M31">
        <v>149</v>
      </c>
      <c r="N31">
        <v>1483</v>
      </c>
      <c r="O31" t="s">
        <v>682</v>
      </c>
      <c r="P31" t="b">
        <v>1</v>
      </c>
      <c r="Q31" t="b">
        <v>0</v>
      </c>
      <c r="R31" t="b">
        <v>1</v>
      </c>
      <c r="S31" t="b">
        <v>0</v>
      </c>
      <c r="T31" t="b">
        <v>1</v>
      </c>
      <c r="U31" t="b">
        <v>1</v>
      </c>
      <c r="V31" t="b">
        <v>1</v>
      </c>
      <c r="W31" t="b">
        <v>1</v>
      </c>
      <c r="X31" t="s">
        <v>40</v>
      </c>
      <c r="Y31" t="s">
        <v>1106</v>
      </c>
      <c r="AA31" t="s">
        <v>3023</v>
      </c>
      <c r="AB31" t="s">
        <v>3023</v>
      </c>
      <c r="AC31" t="s">
        <v>3065</v>
      </c>
      <c r="AD31" t="b">
        <v>1</v>
      </c>
      <c r="AE31" t="b">
        <v>1</v>
      </c>
      <c r="AF31" t="s">
        <v>684</v>
      </c>
    </row>
    <row r="32" spans="1:32">
      <c r="A32" t="s">
        <v>41</v>
      </c>
      <c r="B32" t="s">
        <v>42</v>
      </c>
      <c r="C32" t="s">
        <v>3066</v>
      </c>
      <c r="G32" t="s">
        <v>3067</v>
      </c>
      <c r="H32" t="s">
        <v>3068</v>
      </c>
      <c r="J32">
        <v>119</v>
      </c>
      <c r="K32">
        <v>5</v>
      </c>
      <c r="L32">
        <v>0</v>
      </c>
      <c r="M32">
        <v>797</v>
      </c>
      <c r="N32">
        <v>1223</v>
      </c>
      <c r="O32" t="s">
        <v>682</v>
      </c>
      <c r="P32" t="b">
        <v>1</v>
      </c>
      <c r="Q32" t="b">
        <v>0</v>
      </c>
      <c r="R32" t="b">
        <v>1</v>
      </c>
      <c r="S32" t="b">
        <v>0</v>
      </c>
      <c r="T32" t="b">
        <v>1</v>
      </c>
      <c r="U32" t="b">
        <v>0</v>
      </c>
      <c r="V32" t="b">
        <v>0</v>
      </c>
      <c r="W32" t="b">
        <v>1</v>
      </c>
      <c r="X32" t="s">
        <v>42</v>
      </c>
      <c r="Y32" t="s">
        <v>1125</v>
      </c>
      <c r="AA32" t="s">
        <v>3069</v>
      </c>
      <c r="AB32" t="s">
        <v>3023</v>
      </c>
      <c r="AC32" t="s">
        <v>3070</v>
      </c>
      <c r="AD32" t="b">
        <v>1</v>
      </c>
      <c r="AE32" t="b">
        <v>1</v>
      </c>
      <c r="AF32" t="s">
        <v>684</v>
      </c>
    </row>
    <row r="33" spans="1:32">
      <c r="A33" t="s">
        <v>43</v>
      </c>
      <c r="B33" t="s">
        <v>44</v>
      </c>
      <c r="C33" t="s">
        <v>3071</v>
      </c>
      <c r="D33">
        <v>48</v>
      </c>
      <c r="E33">
        <v>6</v>
      </c>
      <c r="F33" t="s">
        <v>3072</v>
      </c>
      <c r="G33" t="s">
        <v>3073</v>
      </c>
      <c r="H33" t="s">
        <v>3074</v>
      </c>
      <c r="I33" t="s">
        <v>3075</v>
      </c>
      <c r="J33">
        <v>48</v>
      </c>
      <c r="K33">
        <v>0</v>
      </c>
      <c r="L33">
        <v>0</v>
      </c>
      <c r="M33">
        <v>242</v>
      </c>
      <c r="N33">
        <v>1003</v>
      </c>
      <c r="O33" t="s">
        <v>682</v>
      </c>
      <c r="P33" t="b">
        <v>1</v>
      </c>
      <c r="Q33" t="b">
        <v>0</v>
      </c>
      <c r="R33" t="b">
        <v>1</v>
      </c>
      <c r="S33" t="b">
        <v>0</v>
      </c>
      <c r="T33" t="b">
        <v>1</v>
      </c>
      <c r="U33" t="b">
        <v>1</v>
      </c>
      <c r="V33" t="b">
        <v>1</v>
      </c>
      <c r="W33" t="b">
        <v>1</v>
      </c>
      <c r="X33" t="s">
        <v>44</v>
      </c>
      <c r="Y33" t="s">
        <v>1146</v>
      </c>
      <c r="AA33" t="s">
        <v>3023</v>
      </c>
      <c r="AB33" t="s">
        <v>3023</v>
      </c>
      <c r="AC33" t="s">
        <v>3076</v>
      </c>
      <c r="AD33" t="b">
        <v>1</v>
      </c>
      <c r="AE33" t="b">
        <v>1</v>
      </c>
      <c r="AF33" t="s">
        <v>684</v>
      </c>
    </row>
    <row r="34" spans="1:32">
      <c r="A34" t="s">
        <v>45</v>
      </c>
      <c r="B34" t="s">
        <v>46</v>
      </c>
      <c r="C34" t="s">
        <v>3077</v>
      </c>
      <c r="G34" t="s">
        <v>3078</v>
      </c>
      <c r="H34" t="s">
        <v>3068</v>
      </c>
      <c r="I34" t="s">
        <v>3079</v>
      </c>
      <c r="J34">
        <v>18</v>
      </c>
      <c r="K34">
        <v>0</v>
      </c>
      <c r="L34">
        <v>0</v>
      </c>
      <c r="M34">
        <v>102</v>
      </c>
      <c r="N34">
        <v>494</v>
      </c>
      <c r="O34" t="s">
        <v>682</v>
      </c>
      <c r="P34" t="b">
        <v>1</v>
      </c>
      <c r="Q34" t="b">
        <v>0</v>
      </c>
      <c r="R34" t="b">
        <v>1</v>
      </c>
      <c r="S34" t="b">
        <v>0</v>
      </c>
      <c r="T34" t="b">
        <v>1</v>
      </c>
      <c r="U34" t="b">
        <v>1</v>
      </c>
      <c r="V34" t="b">
        <v>1</v>
      </c>
      <c r="W34" t="b">
        <v>1</v>
      </c>
      <c r="X34" t="s">
        <v>46</v>
      </c>
      <c r="Y34" t="s">
        <v>1164</v>
      </c>
      <c r="AA34" t="s">
        <v>3023</v>
      </c>
      <c r="AB34" t="s">
        <v>3023</v>
      </c>
      <c r="AC34" t="s">
        <v>3080</v>
      </c>
      <c r="AD34" t="b">
        <v>1</v>
      </c>
      <c r="AE34" t="b">
        <v>1</v>
      </c>
      <c r="AF34" t="s">
        <v>684</v>
      </c>
    </row>
    <row r="35" spans="1:32">
      <c r="A35" t="s">
        <v>47</v>
      </c>
      <c r="B35" t="s">
        <v>48</v>
      </c>
      <c r="C35" t="s">
        <v>3081</v>
      </c>
      <c r="G35" t="s">
        <v>3082</v>
      </c>
      <c r="H35" t="s">
        <v>3083</v>
      </c>
      <c r="J35">
        <v>7</v>
      </c>
      <c r="K35">
        <v>0</v>
      </c>
      <c r="L35">
        <v>0</v>
      </c>
      <c r="M35">
        <v>52</v>
      </c>
      <c r="N35">
        <v>236</v>
      </c>
      <c r="O35" t="s">
        <v>682</v>
      </c>
      <c r="P35" t="b">
        <v>1</v>
      </c>
      <c r="Q35" t="b">
        <v>0</v>
      </c>
      <c r="R35" t="b">
        <v>1</v>
      </c>
      <c r="S35" t="b">
        <v>0</v>
      </c>
      <c r="T35" t="b">
        <v>1</v>
      </c>
      <c r="U35" t="b">
        <v>1</v>
      </c>
      <c r="V35" t="b">
        <v>1</v>
      </c>
      <c r="W35" t="b">
        <v>1</v>
      </c>
      <c r="X35" t="s">
        <v>48</v>
      </c>
      <c r="Y35" t="s">
        <v>1182</v>
      </c>
      <c r="AA35" t="s">
        <v>3023</v>
      </c>
      <c r="AB35" t="s">
        <v>3023</v>
      </c>
      <c r="AC35" t="s">
        <v>3084</v>
      </c>
      <c r="AD35" t="b">
        <v>1</v>
      </c>
      <c r="AE35" t="b">
        <v>1</v>
      </c>
      <c r="AF35" t="s">
        <v>684</v>
      </c>
    </row>
    <row r="36" spans="1:32">
      <c r="A36" t="s">
        <v>49</v>
      </c>
      <c r="B36" t="s">
        <v>50</v>
      </c>
      <c r="C36" t="s">
        <v>3085</v>
      </c>
      <c r="D36">
        <v>265</v>
      </c>
      <c r="E36">
        <v>7</v>
      </c>
      <c r="F36" t="s">
        <v>3086</v>
      </c>
      <c r="G36" t="s">
        <v>3087</v>
      </c>
      <c r="H36" t="s">
        <v>3088</v>
      </c>
      <c r="J36">
        <v>18</v>
      </c>
      <c r="K36">
        <v>0</v>
      </c>
      <c r="L36">
        <v>0</v>
      </c>
      <c r="M36">
        <v>173</v>
      </c>
      <c r="N36">
        <v>1165</v>
      </c>
      <c r="O36" t="s">
        <v>682</v>
      </c>
      <c r="P36" t="b">
        <v>1</v>
      </c>
      <c r="Q36" t="b">
        <v>0</v>
      </c>
      <c r="R36" t="b">
        <v>1</v>
      </c>
      <c r="S36" t="b">
        <v>0</v>
      </c>
      <c r="T36" t="b">
        <v>1</v>
      </c>
      <c r="U36" t="b">
        <v>1</v>
      </c>
      <c r="V36" t="b">
        <v>1</v>
      </c>
      <c r="W36" t="b">
        <v>1</v>
      </c>
      <c r="X36" t="s">
        <v>50</v>
      </c>
      <c r="Y36" t="s">
        <v>1199</v>
      </c>
      <c r="AA36" t="s">
        <v>3023</v>
      </c>
      <c r="AB36" t="s">
        <v>3023</v>
      </c>
      <c r="AC36" t="s">
        <v>3089</v>
      </c>
      <c r="AD36" t="b">
        <v>1</v>
      </c>
      <c r="AE36" t="b">
        <v>1</v>
      </c>
      <c r="AF36" t="s">
        <v>684</v>
      </c>
    </row>
    <row r="37" spans="1:32">
      <c r="A37" t="s">
        <v>51</v>
      </c>
      <c r="B37" t="s">
        <v>52</v>
      </c>
      <c r="C37" t="s">
        <v>3090</v>
      </c>
      <c r="G37" t="s">
        <v>3091</v>
      </c>
      <c r="H37" t="s">
        <v>3092</v>
      </c>
      <c r="J37">
        <v>530</v>
      </c>
      <c r="K37">
        <v>0</v>
      </c>
      <c r="L37">
        <v>0</v>
      </c>
      <c r="M37">
        <v>1652</v>
      </c>
      <c r="N37">
        <v>1652</v>
      </c>
      <c r="O37" t="s">
        <v>682</v>
      </c>
      <c r="P37" t="b">
        <v>1</v>
      </c>
      <c r="Q37" t="b">
        <v>0</v>
      </c>
      <c r="R37" t="b">
        <v>1</v>
      </c>
      <c r="S37" t="b">
        <v>0</v>
      </c>
      <c r="T37" t="b">
        <v>1</v>
      </c>
      <c r="U37" t="b">
        <v>0</v>
      </c>
      <c r="V37" t="b">
        <v>0</v>
      </c>
      <c r="W37" t="b">
        <v>1</v>
      </c>
      <c r="X37" t="s">
        <v>52</v>
      </c>
      <c r="Y37" t="s">
        <v>1215</v>
      </c>
      <c r="AA37" t="s">
        <v>3023</v>
      </c>
      <c r="AB37" t="s">
        <v>3023</v>
      </c>
      <c r="AC37" t="s">
        <v>3093</v>
      </c>
      <c r="AD37" t="b">
        <v>1</v>
      </c>
      <c r="AE37" t="b">
        <v>1</v>
      </c>
      <c r="AF37" t="s">
        <v>684</v>
      </c>
    </row>
    <row r="38" spans="1:32">
      <c r="A38" t="s">
        <v>53</v>
      </c>
      <c r="B38" t="s">
        <v>54</v>
      </c>
      <c r="C38" t="s">
        <v>3094</v>
      </c>
      <c r="G38" t="s">
        <v>3095</v>
      </c>
      <c r="H38" t="s">
        <v>3096</v>
      </c>
      <c r="J38">
        <v>8</v>
      </c>
      <c r="K38">
        <v>0</v>
      </c>
      <c r="L38">
        <v>0</v>
      </c>
      <c r="M38">
        <v>36</v>
      </c>
      <c r="N38">
        <v>36</v>
      </c>
      <c r="O38" t="s">
        <v>682</v>
      </c>
      <c r="P38" t="b">
        <v>1</v>
      </c>
      <c r="Q38" t="b">
        <v>0</v>
      </c>
      <c r="R38" t="b">
        <v>1</v>
      </c>
      <c r="S38" t="b">
        <v>0</v>
      </c>
      <c r="T38" t="b">
        <v>1</v>
      </c>
      <c r="U38" t="b">
        <v>1</v>
      </c>
      <c r="V38" t="b">
        <v>1</v>
      </c>
      <c r="W38" t="b">
        <v>0</v>
      </c>
      <c r="X38" t="s">
        <v>54</v>
      </c>
      <c r="Y38" t="s">
        <v>1231</v>
      </c>
      <c r="AA38" t="s">
        <v>3023</v>
      </c>
      <c r="AB38" t="s">
        <v>3023</v>
      </c>
      <c r="AC38" t="s">
        <v>3097</v>
      </c>
      <c r="AD38" t="b">
        <v>1</v>
      </c>
      <c r="AE38" t="b">
        <v>1</v>
      </c>
      <c r="AF38" t="s">
        <v>684</v>
      </c>
    </row>
    <row r="39" spans="1:32">
      <c r="A39" t="s">
        <v>55</v>
      </c>
      <c r="B39" t="s">
        <v>56</v>
      </c>
      <c r="C39" t="s">
        <v>3098</v>
      </c>
      <c r="G39" t="s">
        <v>3099</v>
      </c>
      <c r="H39" t="s">
        <v>3100</v>
      </c>
      <c r="J39">
        <v>286</v>
      </c>
      <c r="K39">
        <v>0</v>
      </c>
      <c r="L39">
        <v>0</v>
      </c>
      <c r="M39">
        <v>2036</v>
      </c>
      <c r="N39">
        <v>4573</v>
      </c>
      <c r="O39" t="s">
        <v>682</v>
      </c>
      <c r="P39" t="b">
        <v>1</v>
      </c>
      <c r="Q39" t="b">
        <v>0</v>
      </c>
      <c r="R39" t="b">
        <v>1</v>
      </c>
      <c r="S39" t="b">
        <v>0</v>
      </c>
      <c r="T39" t="b">
        <v>1</v>
      </c>
      <c r="U39" t="b">
        <v>0</v>
      </c>
      <c r="V39" t="b">
        <v>0</v>
      </c>
      <c r="W39" t="b">
        <v>1</v>
      </c>
      <c r="X39" t="s">
        <v>56</v>
      </c>
      <c r="Y39" t="s">
        <v>1247</v>
      </c>
      <c r="AA39" t="s">
        <v>3023</v>
      </c>
      <c r="AB39" t="s">
        <v>3023</v>
      </c>
      <c r="AC39" t="s">
        <v>3101</v>
      </c>
      <c r="AD39" t="b">
        <v>1</v>
      </c>
      <c r="AE39" t="b">
        <v>1</v>
      </c>
      <c r="AF39" t="s">
        <v>684</v>
      </c>
    </row>
    <row r="40" spans="1:32">
      <c r="A40" t="s">
        <v>57</v>
      </c>
      <c r="B40" t="s">
        <v>58</v>
      </c>
      <c r="C40" t="s">
        <v>3102</v>
      </c>
      <c r="G40" t="s">
        <v>3103</v>
      </c>
      <c r="H40" t="s">
        <v>3104</v>
      </c>
      <c r="I40" t="s">
        <v>3105</v>
      </c>
      <c r="J40">
        <v>27</v>
      </c>
      <c r="K40">
        <v>0</v>
      </c>
      <c r="L40">
        <v>0</v>
      </c>
      <c r="M40">
        <v>51</v>
      </c>
      <c r="N40">
        <v>542</v>
      </c>
      <c r="O40" t="s">
        <v>682</v>
      </c>
      <c r="P40" t="b">
        <v>1</v>
      </c>
      <c r="Q40" t="b">
        <v>0</v>
      </c>
      <c r="R40" t="b">
        <v>1</v>
      </c>
      <c r="S40" t="b">
        <v>0</v>
      </c>
      <c r="T40" t="b">
        <v>1</v>
      </c>
      <c r="U40" t="b">
        <v>1</v>
      </c>
      <c r="V40" t="b">
        <v>1</v>
      </c>
      <c r="W40" t="b">
        <v>1</v>
      </c>
      <c r="X40" t="s">
        <v>58</v>
      </c>
      <c r="Y40" t="s">
        <v>1262</v>
      </c>
      <c r="AA40" t="s">
        <v>3023</v>
      </c>
      <c r="AB40" t="s">
        <v>3023</v>
      </c>
      <c r="AC40" t="s">
        <v>3106</v>
      </c>
      <c r="AD40" t="b">
        <v>1</v>
      </c>
      <c r="AE40" t="b">
        <v>1</v>
      </c>
      <c r="AF40" t="s">
        <v>684</v>
      </c>
    </row>
    <row r="41" spans="1:32">
      <c r="A41" t="s">
        <v>59</v>
      </c>
      <c r="B41" t="s">
        <v>60</v>
      </c>
      <c r="C41" t="s">
        <v>3107</v>
      </c>
      <c r="G41" t="s">
        <v>3108</v>
      </c>
      <c r="H41" t="s">
        <v>3109</v>
      </c>
      <c r="J41">
        <v>57</v>
      </c>
      <c r="K41">
        <v>0</v>
      </c>
      <c r="L41">
        <v>0</v>
      </c>
      <c r="M41">
        <v>68</v>
      </c>
      <c r="N41">
        <v>133</v>
      </c>
      <c r="O41" t="s">
        <v>682</v>
      </c>
      <c r="P41" t="b">
        <v>1</v>
      </c>
      <c r="Q41" t="b">
        <v>0</v>
      </c>
      <c r="R41" t="b">
        <v>1</v>
      </c>
      <c r="S41" t="b">
        <v>0</v>
      </c>
      <c r="T41" t="b">
        <v>1</v>
      </c>
      <c r="U41" t="b">
        <v>0</v>
      </c>
      <c r="V41" t="b">
        <v>0</v>
      </c>
      <c r="W41" t="b">
        <v>1</v>
      </c>
      <c r="X41" t="s">
        <v>60</v>
      </c>
      <c r="Y41" t="s">
        <v>1277</v>
      </c>
      <c r="AA41" t="s">
        <v>3023</v>
      </c>
      <c r="AB41" t="s">
        <v>3023</v>
      </c>
      <c r="AD41" t="b">
        <v>1</v>
      </c>
      <c r="AE41" t="b">
        <v>0</v>
      </c>
      <c r="AF41" t="s">
        <v>684</v>
      </c>
    </row>
    <row r="42" spans="1:32">
      <c r="A42" t="s">
        <v>61</v>
      </c>
      <c r="B42" t="s">
        <v>62</v>
      </c>
      <c r="C42" t="s">
        <v>3110</v>
      </c>
      <c r="G42" t="s">
        <v>3111</v>
      </c>
      <c r="H42" t="s">
        <v>3112</v>
      </c>
      <c r="I42" t="s">
        <v>3113</v>
      </c>
      <c r="J42">
        <v>4</v>
      </c>
      <c r="K42">
        <v>0</v>
      </c>
      <c r="L42">
        <v>0</v>
      </c>
      <c r="M42">
        <v>19</v>
      </c>
      <c r="N42">
        <v>209</v>
      </c>
      <c r="O42" t="s">
        <v>682</v>
      </c>
      <c r="P42" t="b">
        <v>1</v>
      </c>
      <c r="Q42" t="b">
        <v>0</v>
      </c>
      <c r="R42" t="b">
        <v>1</v>
      </c>
      <c r="S42" t="b">
        <v>0</v>
      </c>
      <c r="T42" t="b">
        <v>1</v>
      </c>
      <c r="U42" t="b">
        <v>0</v>
      </c>
      <c r="V42" t="b">
        <v>0</v>
      </c>
      <c r="W42" t="b">
        <v>1</v>
      </c>
      <c r="X42" t="s">
        <v>62</v>
      </c>
      <c r="Y42" t="s">
        <v>3114</v>
      </c>
      <c r="AA42" t="s">
        <v>3023</v>
      </c>
      <c r="AB42" t="s">
        <v>3023</v>
      </c>
      <c r="AC42" t="s">
        <v>3115</v>
      </c>
      <c r="AD42" t="b">
        <v>1</v>
      </c>
      <c r="AE42" t="b">
        <v>1</v>
      </c>
      <c r="AF42" t="s">
        <v>684</v>
      </c>
    </row>
    <row r="43" spans="1:32">
      <c r="A43" t="s">
        <v>63</v>
      </c>
      <c r="B43" t="s">
        <v>64</v>
      </c>
      <c r="C43" t="s">
        <v>3116</v>
      </c>
      <c r="G43" t="s">
        <v>3117</v>
      </c>
      <c r="H43" t="s">
        <v>3118</v>
      </c>
      <c r="J43">
        <v>49</v>
      </c>
      <c r="K43">
        <v>0</v>
      </c>
      <c r="L43">
        <v>0</v>
      </c>
      <c r="M43">
        <v>406</v>
      </c>
      <c r="N43">
        <v>775</v>
      </c>
      <c r="O43" t="s">
        <v>682</v>
      </c>
      <c r="P43" t="b">
        <v>1</v>
      </c>
      <c r="Q43" t="b">
        <v>0</v>
      </c>
      <c r="R43" t="b">
        <v>1</v>
      </c>
      <c r="S43" t="b">
        <v>0</v>
      </c>
      <c r="T43" t="b">
        <v>1</v>
      </c>
      <c r="U43" t="b">
        <v>0</v>
      </c>
      <c r="V43" t="b">
        <v>0</v>
      </c>
      <c r="W43" t="b">
        <v>0</v>
      </c>
      <c r="X43" t="s">
        <v>64</v>
      </c>
      <c r="Y43" t="s">
        <v>1302</v>
      </c>
      <c r="AA43" t="s">
        <v>3023</v>
      </c>
      <c r="AB43" t="s">
        <v>3023</v>
      </c>
      <c r="AC43" t="s">
        <v>3119</v>
      </c>
      <c r="AD43" t="b">
        <v>1</v>
      </c>
      <c r="AE43" t="b">
        <v>1</v>
      </c>
      <c r="AF43" t="s">
        <v>684</v>
      </c>
    </row>
    <row r="44" spans="1:32">
      <c r="A44" t="s">
        <v>65</v>
      </c>
      <c r="B44" t="s">
        <v>66</v>
      </c>
      <c r="C44" t="s">
        <v>3120</v>
      </c>
      <c r="G44" t="s">
        <v>3121</v>
      </c>
      <c r="H44" t="s">
        <v>3122</v>
      </c>
      <c r="J44">
        <v>14</v>
      </c>
      <c r="K44">
        <v>0</v>
      </c>
      <c r="L44">
        <v>0</v>
      </c>
      <c r="M44">
        <v>3</v>
      </c>
      <c r="N44">
        <v>3</v>
      </c>
      <c r="O44" t="s">
        <v>682</v>
      </c>
      <c r="P44" t="b">
        <v>1</v>
      </c>
      <c r="Q44" t="b">
        <v>0</v>
      </c>
      <c r="R44" t="b">
        <v>1</v>
      </c>
      <c r="S44" t="b">
        <v>0</v>
      </c>
      <c r="T44" t="b">
        <v>1</v>
      </c>
      <c r="U44" t="b">
        <v>1</v>
      </c>
      <c r="V44" t="b">
        <v>1</v>
      </c>
      <c r="W44" t="b">
        <v>0</v>
      </c>
      <c r="X44" t="s">
        <v>66</v>
      </c>
      <c r="Y44" t="s">
        <v>1317</v>
      </c>
      <c r="AA44" t="s">
        <v>3023</v>
      </c>
      <c r="AB44" t="s">
        <v>3023</v>
      </c>
      <c r="AC44" t="s">
        <v>3123</v>
      </c>
      <c r="AD44" t="b">
        <v>1</v>
      </c>
      <c r="AE44" t="b">
        <v>1</v>
      </c>
      <c r="AF44" t="s">
        <v>684</v>
      </c>
    </row>
    <row r="45" spans="1:32">
      <c r="A45" t="s">
        <v>67</v>
      </c>
      <c r="B45" t="s">
        <v>68</v>
      </c>
      <c r="C45" t="s">
        <v>3124</v>
      </c>
      <c r="G45" t="s">
        <v>3125</v>
      </c>
      <c r="H45" t="s">
        <v>3126</v>
      </c>
      <c r="I45" t="s">
        <v>3127</v>
      </c>
      <c r="J45">
        <v>12</v>
      </c>
      <c r="K45">
        <v>0</v>
      </c>
      <c r="L45">
        <v>0</v>
      </c>
      <c r="M45">
        <v>112</v>
      </c>
      <c r="N45">
        <v>1319</v>
      </c>
      <c r="O45" t="s">
        <v>682</v>
      </c>
      <c r="P45" t="b">
        <v>1</v>
      </c>
      <c r="Q45" t="b">
        <v>0</v>
      </c>
      <c r="R45" t="b">
        <v>1</v>
      </c>
      <c r="S45" t="b">
        <v>0</v>
      </c>
      <c r="T45" t="b">
        <v>1</v>
      </c>
      <c r="U45" t="b">
        <v>1</v>
      </c>
      <c r="V45" t="b">
        <v>1</v>
      </c>
      <c r="W45" t="b">
        <v>1</v>
      </c>
      <c r="X45" t="s">
        <v>68</v>
      </c>
      <c r="Y45" t="s">
        <v>1334</v>
      </c>
      <c r="AA45" t="s">
        <v>3023</v>
      </c>
      <c r="AB45" t="s">
        <v>3023</v>
      </c>
      <c r="AC45" t="s">
        <v>3128</v>
      </c>
      <c r="AD45" t="b">
        <v>1</v>
      </c>
      <c r="AE45" t="b">
        <v>1</v>
      </c>
      <c r="AF45" t="s">
        <v>684</v>
      </c>
    </row>
    <row r="46" spans="1:32">
      <c r="A46" t="s">
        <v>69</v>
      </c>
      <c r="B46" t="s">
        <v>70</v>
      </c>
      <c r="C46" t="s">
        <v>3129</v>
      </c>
      <c r="D46">
        <v>48</v>
      </c>
      <c r="E46">
        <v>6</v>
      </c>
      <c r="F46" t="s">
        <v>3072</v>
      </c>
      <c r="G46" t="s">
        <v>3130</v>
      </c>
      <c r="H46" t="s">
        <v>3131</v>
      </c>
      <c r="I46" t="s">
        <v>3132</v>
      </c>
      <c r="J46">
        <v>12</v>
      </c>
      <c r="K46">
        <v>0</v>
      </c>
      <c r="L46">
        <v>0</v>
      </c>
      <c r="M46">
        <v>39</v>
      </c>
      <c r="N46">
        <v>258</v>
      </c>
      <c r="O46" t="s">
        <v>682</v>
      </c>
      <c r="P46" t="b">
        <v>1</v>
      </c>
      <c r="Q46" t="b">
        <v>0</v>
      </c>
      <c r="R46" t="b">
        <v>1</v>
      </c>
      <c r="S46" t="b">
        <v>0</v>
      </c>
      <c r="T46" t="b">
        <v>1</v>
      </c>
      <c r="U46" t="b">
        <v>0</v>
      </c>
      <c r="V46" t="b">
        <v>0</v>
      </c>
      <c r="W46" t="b">
        <v>1</v>
      </c>
      <c r="X46" t="s">
        <v>70</v>
      </c>
      <c r="Y46" t="s">
        <v>1349</v>
      </c>
      <c r="AA46" t="s">
        <v>3023</v>
      </c>
      <c r="AB46" t="s">
        <v>3023</v>
      </c>
      <c r="AC46" t="s">
        <v>3133</v>
      </c>
      <c r="AD46" t="b">
        <v>1</v>
      </c>
      <c r="AE46" t="b">
        <v>1</v>
      </c>
      <c r="AF46" t="s">
        <v>684</v>
      </c>
    </row>
    <row r="47" spans="1:32">
      <c r="A47" t="s">
        <v>71</v>
      </c>
      <c r="B47" t="s">
        <v>72</v>
      </c>
      <c r="C47" t="s">
        <v>3134</v>
      </c>
      <c r="G47" t="s">
        <v>3135</v>
      </c>
      <c r="H47" t="s">
        <v>3136</v>
      </c>
      <c r="I47" t="s">
        <v>3137</v>
      </c>
      <c r="J47">
        <v>2</v>
      </c>
      <c r="K47">
        <v>0</v>
      </c>
      <c r="L47">
        <v>0</v>
      </c>
      <c r="M47">
        <v>10</v>
      </c>
      <c r="N47">
        <v>244</v>
      </c>
      <c r="O47" t="s">
        <v>682</v>
      </c>
      <c r="P47" t="b">
        <v>1</v>
      </c>
      <c r="Q47" t="b">
        <v>0</v>
      </c>
      <c r="R47" t="b">
        <v>1</v>
      </c>
      <c r="S47" t="b">
        <v>0</v>
      </c>
      <c r="T47" t="b">
        <v>1</v>
      </c>
      <c r="U47" t="b">
        <v>0</v>
      </c>
      <c r="V47" t="b">
        <v>0</v>
      </c>
      <c r="W47" t="b">
        <v>1</v>
      </c>
      <c r="X47" t="s">
        <v>72</v>
      </c>
      <c r="Y47" t="s">
        <v>1369</v>
      </c>
      <c r="AA47" t="s">
        <v>3023</v>
      </c>
      <c r="AB47" t="s">
        <v>3023</v>
      </c>
      <c r="AC47" t="s">
        <v>3138</v>
      </c>
      <c r="AD47" t="b">
        <v>1</v>
      </c>
      <c r="AE47" t="b">
        <v>1</v>
      </c>
      <c r="AF47" t="s">
        <v>684</v>
      </c>
    </row>
    <row r="48" spans="1:32">
      <c r="A48" t="s">
        <v>73</v>
      </c>
      <c r="B48" t="s">
        <v>74</v>
      </c>
      <c r="C48" t="s">
        <v>3139</v>
      </c>
      <c r="G48" t="s">
        <v>3140</v>
      </c>
      <c r="H48" t="s">
        <v>3068</v>
      </c>
      <c r="I48" t="s">
        <v>1383</v>
      </c>
      <c r="J48">
        <v>32</v>
      </c>
      <c r="K48">
        <v>0</v>
      </c>
      <c r="L48">
        <v>0</v>
      </c>
      <c r="M48">
        <v>138</v>
      </c>
      <c r="N48">
        <v>293</v>
      </c>
      <c r="O48" t="s">
        <v>682</v>
      </c>
      <c r="P48" t="b">
        <v>1</v>
      </c>
      <c r="Q48" t="b">
        <v>0</v>
      </c>
      <c r="R48" t="b">
        <v>1</v>
      </c>
      <c r="S48" t="b">
        <v>0</v>
      </c>
      <c r="T48" t="b">
        <v>1</v>
      </c>
      <c r="U48" t="b">
        <v>0</v>
      </c>
      <c r="V48" t="b">
        <v>0</v>
      </c>
      <c r="W48" t="b">
        <v>1</v>
      </c>
      <c r="X48" t="s">
        <v>74</v>
      </c>
      <c r="Y48" t="s">
        <v>1383</v>
      </c>
      <c r="AA48" t="s">
        <v>3023</v>
      </c>
      <c r="AB48" t="s">
        <v>3023</v>
      </c>
      <c r="AC48" t="s">
        <v>3141</v>
      </c>
      <c r="AD48" t="b">
        <v>1</v>
      </c>
      <c r="AE48" t="b">
        <v>1</v>
      </c>
      <c r="AF48" t="s">
        <v>684</v>
      </c>
    </row>
    <row r="49" spans="1:32">
      <c r="A49" t="s">
        <v>75</v>
      </c>
      <c r="B49" t="s">
        <v>76</v>
      </c>
      <c r="C49" t="s">
        <v>3142</v>
      </c>
      <c r="G49" t="s">
        <v>3143</v>
      </c>
      <c r="H49" t="s">
        <v>3144</v>
      </c>
      <c r="J49">
        <v>287</v>
      </c>
      <c r="K49">
        <v>0</v>
      </c>
      <c r="L49">
        <v>0</v>
      </c>
      <c r="M49">
        <v>1390</v>
      </c>
      <c r="N49">
        <v>1434</v>
      </c>
      <c r="O49" t="s">
        <v>682</v>
      </c>
      <c r="P49" t="b">
        <v>1</v>
      </c>
      <c r="Q49" t="b">
        <v>0</v>
      </c>
      <c r="R49" t="b">
        <v>1</v>
      </c>
      <c r="S49" t="b">
        <v>0</v>
      </c>
      <c r="T49" t="b">
        <v>1</v>
      </c>
      <c r="U49" t="b">
        <v>0</v>
      </c>
      <c r="V49" t="b">
        <v>0</v>
      </c>
      <c r="W49" t="b">
        <v>0</v>
      </c>
      <c r="X49" t="s">
        <v>76</v>
      </c>
      <c r="Y49" t="s">
        <v>1399</v>
      </c>
      <c r="AA49" t="s">
        <v>3023</v>
      </c>
      <c r="AB49" t="s">
        <v>3023</v>
      </c>
      <c r="AC49" t="s">
        <v>3145</v>
      </c>
      <c r="AD49" t="b">
        <v>1</v>
      </c>
      <c r="AE49" t="b">
        <v>1</v>
      </c>
      <c r="AF49" t="s">
        <v>684</v>
      </c>
    </row>
    <row r="50" spans="1:32">
      <c r="A50" t="s">
        <v>77</v>
      </c>
      <c r="B50" t="s">
        <v>52</v>
      </c>
      <c r="C50" t="s">
        <v>3090</v>
      </c>
      <c r="G50" t="s">
        <v>3091</v>
      </c>
      <c r="H50" t="s">
        <v>3092</v>
      </c>
      <c r="J50">
        <v>530</v>
      </c>
      <c r="K50">
        <v>0</v>
      </c>
      <c r="L50">
        <v>0</v>
      </c>
      <c r="M50">
        <v>1652</v>
      </c>
      <c r="N50">
        <v>1652</v>
      </c>
      <c r="O50" t="s">
        <v>682</v>
      </c>
      <c r="P50" t="b">
        <v>1</v>
      </c>
      <c r="Q50" t="b">
        <v>0</v>
      </c>
      <c r="R50" t="b">
        <v>1</v>
      </c>
      <c r="S50" t="b">
        <v>0</v>
      </c>
      <c r="T50" t="b">
        <v>1</v>
      </c>
      <c r="U50" t="b">
        <v>0</v>
      </c>
      <c r="V50" t="b">
        <v>0</v>
      </c>
      <c r="W50" t="b">
        <v>1</v>
      </c>
      <c r="X50" t="s">
        <v>52</v>
      </c>
      <c r="Y50" t="s">
        <v>1215</v>
      </c>
      <c r="AA50" t="s">
        <v>3023</v>
      </c>
      <c r="AB50" t="s">
        <v>3023</v>
      </c>
      <c r="AC50" t="s">
        <v>3093</v>
      </c>
      <c r="AD50" t="b">
        <v>1</v>
      </c>
      <c r="AE50" t="b">
        <v>1</v>
      </c>
      <c r="AF50" t="s">
        <v>684</v>
      </c>
    </row>
    <row r="51" spans="1:32">
      <c r="A51" t="s">
        <v>78</v>
      </c>
      <c r="B51" t="s">
        <v>79</v>
      </c>
      <c r="C51" t="s">
        <v>3146</v>
      </c>
      <c r="G51" t="s">
        <v>3147</v>
      </c>
      <c r="H51" t="s">
        <v>3148</v>
      </c>
      <c r="J51">
        <v>74</v>
      </c>
      <c r="K51">
        <v>0</v>
      </c>
      <c r="L51">
        <v>0</v>
      </c>
      <c r="M51">
        <v>419</v>
      </c>
      <c r="N51">
        <v>2112</v>
      </c>
      <c r="O51" t="s">
        <v>682</v>
      </c>
      <c r="P51" t="b">
        <v>1</v>
      </c>
      <c r="Q51" t="b">
        <v>0</v>
      </c>
      <c r="R51" t="b">
        <v>1</v>
      </c>
      <c r="S51" t="b">
        <v>0</v>
      </c>
      <c r="T51" t="b">
        <v>1</v>
      </c>
      <c r="U51" t="b">
        <v>0</v>
      </c>
      <c r="V51" t="b">
        <v>0</v>
      </c>
      <c r="W51" t="b">
        <v>1</v>
      </c>
      <c r="X51" t="s">
        <v>79</v>
      </c>
      <c r="Y51" t="s">
        <v>1425</v>
      </c>
      <c r="AA51" t="s">
        <v>3023</v>
      </c>
      <c r="AB51" t="s">
        <v>3023</v>
      </c>
      <c r="AD51" t="b">
        <v>1</v>
      </c>
      <c r="AE51" t="b">
        <v>0</v>
      </c>
      <c r="AF51" t="s">
        <v>684</v>
      </c>
    </row>
    <row r="52" spans="1:32">
      <c r="A52" t="s">
        <v>80</v>
      </c>
      <c r="B52" t="s">
        <v>81</v>
      </c>
      <c r="C52" t="s">
        <v>3149</v>
      </c>
      <c r="G52" t="s">
        <v>3150</v>
      </c>
      <c r="H52" t="s">
        <v>3151</v>
      </c>
      <c r="I52" t="s">
        <v>3152</v>
      </c>
      <c r="J52">
        <v>17</v>
      </c>
      <c r="K52">
        <v>0</v>
      </c>
      <c r="L52">
        <v>0</v>
      </c>
      <c r="M52">
        <v>61</v>
      </c>
      <c r="N52">
        <v>548</v>
      </c>
      <c r="O52" t="s">
        <v>682</v>
      </c>
      <c r="P52" t="b">
        <v>1</v>
      </c>
      <c r="Q52" t="b">
        <v>0</v>
      </c>
      <c r="R52" t="b">
        <v>1</v>
      </c>
      <c r="S52" t="b">
        <v>0</v>
      </c>
      <c r="T52" t="b">
        <v>1</v>
      </c>
      <c r="U52" t="b">
        <v>1</v>
      </c>
      <c r="V52" t="b">
        <v>1</v>
      </c>
      <c r="W52" t="b">
        <v>1</v>
      </c>
      <c r="X52" t="s">
        <v>81</v>
      </c>
      <c r="Y52" t="s">
        <v>1440</v>
      </c>
      <c r="AA52" t="s">
        <v>3023</v>
      </c>
      <c r="AB52" t="s">
        <v>3023</v>
      </c>
      <c r="AD52" t="b">
        <v>1</v>
      </c>
      <c r="AE52" t="b">
        <v>0</v>
      </c>
      <c r="AF52" t="s">
        <v>684</v>
      </c>
    </row>
    <row r="53" spans="1:32">
      <c r="A53" t="s">
        <v>82</v>
      </c>
      <c r="B53" t="s">
        <v>83</v>
      </c>
      <c r="C53" t="s">
        <v>3153</v>
      </c>
      <c r="G53" t="s">
        <v>3154</v>
      </c>
      <c r="H53" t="s">
        <v>3155</v>
      </c>
      <c r="J53">
        <v>29</v>
      </c>
      <c r="K53">
        <v>0</v>
      </c>
      <c r="L53">
        <v>0</v>
      </c>
      <c r="M53">
        <v>26</v>
      </c>
      <c r="N53">
        <v>44</v>
      </c>
      <c r="O53" t="s">
        <v>682</v>
      </c>
      <c r="P53" t="b">
        <v>1</v>
      </c>
      <c r="Q53" t="b">
        <v>0</v>
      </c>
      <c r="R53" t="b">
        <v>1</v>
      </c>
      <c r="S53" t="b">
        <v>0</v>
      </c>
      <c r="T53" t="b">
        <v>1</v>
      </c>
      <c r="U53" t="b">
        <v>0</v>
      </c>
      <c r="V53" t="b">
        <v>0</v>
      </c>
      <c r="W53" t="b">
        <v>1</v>
      </c>
      <c r="X53" t="s">
        <v>83</v>
      </c>
      <c r="Y53" t="s">
        <v>1455</v>
      </c>
      <c r="AA53" t="s">
        <v>3023</v>
      </c>
      <c r="AB53" t="s">
        <v>3023</v>
      </c>
      <c r="AC53" t="s">
        <v>3156</v>
      </c>
      <c r="AD53" t="b">
        <v>1</v>
      </c>
      <c r="AE53" t="b">
        <v>1</v>
      </c>
      <c r="AF53" t="s">
        <v>684</v>
      </c>
    </row>
    <row r="54" spans="1:32">
      <c r="A54" t="s">
        <v>84</v>
      </c>
      <c r="B54" t="s">
        <v>85</v>
      </c>
      <c r="C54" t="s">
        <v>3157</v>
      </c>
      <c r="G54" t="s">
        <v>3158</v>
      </c>
      <c r="H54" t="s">
        <v>3159</v>
      </c>
      <c r="I54" t="s">
        <v>3160</v>
      </c>
      <c r="J54">
        <v>8</v>
      </c>
      <c r="K54">
        <v>0</v>
      </c>
      <c r="L54">
        <v>0</v>
      </c>
      <c r="M54">
        <v>45</v>
      </c>
      <c r="N54">
        <v>279</v>
      </c>
      <c r="O54" t="s">
        <v>682</v>
      </c>
      <c r="P54" t="b">
        <v>1</v>
      </c>
      <c r="Q54" t="b">
        <v>0</v>
      </c>
      <c r="R54" t="b">
        <v>1</v>
      </c>
      <c r="S54" t="b">
        <v>0</v>
      </c>
      <c r="T54" t="b">
        <v>1</v>
      </c>
      <c r="U54" t="b">
        <v>0</v>
      </c>
      <c r="V54" t="b">
        <v>0</v>
      </c>
      <c r="W54" t="b">
        <v>1</v>
      </c>
      <c r="X54" t="s">
        <v>85</v>
      </c>
      <c r="Y54" t="s">
        <v>1471</v>
      </c>
      <c r="AA54" t="s">
        <v>3023</v>
      </c>
      <c r="AB54" t="s">
        <v>3023</v>
      </c>
      <c r="AC54" t="s">
        <v>3161</v>
      </c>
      <c r="AD54" t="b">
        <v>1</v>
      </c>
      <c r="AE54" t="b">
        <v>1</v>
      </c>
      <c r="AF54" t="s">
        <v>684</v>
      </c>
    </row>
    <row r="55" spans="1:32">
      <c r="A55" t="s">
        <v>86</v>
      </c>
      <c r="B55" t="s">
        <v>87</v>
      </c>
      <c r="C55" t="s">
        <v>3162</v>
      </c>
      <c r="G55" t="s">
        <v>3163</v>
      </c>
      <c r="J55">
        <v>39</v>
      </c>
      <c r="K55">
        <v>0</v>
      </c>
      <c r="L55">
        <v>0</v>
      </c>
      <c r="M55">
        <v>36</v>
      </c>
      <c r="N55">
        <v>36</v>
      </c>
      <c r="O55" t="s">
        <v>682</v>
      </c>
      <c r="P55" t="b">
        <v>1</v>
      </c>
      <c r="Q55" t="b">
        <v>0</v>
      </c>
      <c r="R55" t="b">
        <v>1</v>
      </c>
      <c r="S55" t="b">
        <v>0</v>
      </c>
      <c r="T55" t="b">
        <v>1</v>
      </c>
      <c r="U55" t="b">
        <v>1</v>
      </c>
      <c r="V55" t="b">
        <v>1</v>
      </c>
      <c r="W55" t="b">
        <v>1</v>
      </c>
      <c r="X55" t="s">
        <v>87</v>
      </c>
      <c r="Y55" t="s">
        <v>1485</v>
      </c>
      <c r="AA55" t="s">
        <v>3023</v>
      </c>
      <c r="AB55" t="s">
        <v>3023</v>
      </c>
      <c r="AC55" t="s">
        <v>3164</v>
      </c>
      <c r="AD55" t="b">
        <v>1</v>
      </c>
      <c r="AE55" t="b">
        <v>1</v>
      </c>
      <c r="AF55" t="s">
        <v>684</v>
      </c>
    </row>
    <row r="56" spans="1:32">
      <c r="A56" t="s">
        <v>88</v>
      </c>
      <c r="B56" t="s">
        <v>89</v>
      </c>
      <c r="C56" t="s">
        <v>3165</v>
      </c>
      <c r="G56" t="s">
        <v>3166</v>
      </c>
      <c r="H56" t="s">
        <v>3167</v>
      </c>
      <c r="J56">
        <v>18</v>
      </c>
      <c r="K56">
        <v>0</v>
      </c>
      <c r="L56">
        <v>0</v>
      </c>
      <c r="M56">
        <v>130</v>
      </c>
      <c r="N56">
        <v>614</v>
      </c>
      <c r="O56" t="s">
        <v>682</v>
      </c>
      <c r="P56" t="b">
        <v>1</v>
      </c>
      <c r="Q56" t="b">
        <v>0</v>
      </c>
      <c r="R56" t="b">
        <v>1</v>
      </c>
      <c r="S56" t="b">
        <v>0</v>
      </c>
      <c r="T56" t="b">
        <v>1</v>
      </c>
      <c r="U56" t="b">
        <v>1</v>
      </c>
      <c r="V56" t="b">
        <v>1</v>
      </c>
      <c r="W56" t="b">
        <v>1</v>
      </c>
      <c r="X56" t="s">
        <v>89</v>
      </c>
      <c r="Y56" t="s">
        <v>1499</v>
      </c>
      <c r="AA56" t="s">
        <v>3023</v>
      </c>
      <c r="AB56" t="s">
        <v>3023</v>
      </c>
      <c r="AC56" t="s">
        <v>3168</v>
      </c>
      <c r="AD56" t="b">
        <v>1</v>
      </c>
      <c r="AE56" t="b">
        <v>1</v>
      </c>
      <c r="AF56" t="s">
        <v>684</v>
      </c>
    </row>
    <row r="57" spans="1:32">
      <c r="A57" t="s">
        <v>90</v>
      </c>
      <c r="B57" t="s">
        <v>83</v>
      </c>
      <c r="C57" t="s">
        <v>3153</v>
      </c>
      <c r="G57" t="s">
        <v>3154</v>
      </c>
      <c r="H57" t="s">
        <v>3155</v>
      </c>
      <c r="J57">
        <v>29</v>
      </c>
      <c r="K57">
        <v>0</v>
      </c>
      <c r="L57">
        <v>0</v>
      </c>
      <c r="M57">
        <v>26</v>
      </c>
      <c r="N57">
        <v>44</v>
      </c>
      <c r="O57" t="s">
        <v>682</v>
      </c>
      <c r="P57" t="b">
        <v>1</v>
      </c>
      <c r="Q57" t="b">
        <v>0</v>
      </c>
      <c r="R57" t="b">
        <v>1</v>
      </c>
      <c r="S57" t="b">
        <v>0</v>
      </c>
      <c r="T57" t="b">
        <v>1</v>
      </c>
      <c r="U57" t="b">
        <v>0</v>
      </c>
      <c r="V57" t="b">
        <v>0</v>
      </c>
      <c r="W57" t="b">
        <v>1</v>
      </c>
      <c r="X57" t="s">
        <v>83</v>
      </c>
      <c r="Y57" t="s">
        <v>1455</v>
      </c>
      <c r="AA57" t="s">
        <v>3023</v>
      </c>
      <c r="AB57" t="s">
        <v>3023</v>
      </c>
      <c r="AC57" t="s">
        <v>3156</v>
      </c>
      <c r="AD57" t="b">
        <v>1</v>
      </c>
      <c r="AE57" t="b">
        <v>1</v>
      </c>
      <c r="AF57" t="s">
        <v>684</v>
      </c>
    </row>
    <row r="58" spans="1:32">
      <c r="A58" t="s">
        <v>91</v>
      </c>
      <c r="B58" t="s">
        <v>92</v>
      </c>
      <c r="C58" t="s">
        <v>3169</v>
      </c>
      <c r="G58" t="s">
        <v>3170</v>
      </c>
      <c r="H58" t="s">
        <v>3171</v>
      </c>
      <c r="J58">
        <v>75</v>
      </c>
      <c r="K58">
        <v>0</v>
      </c>
      <c r="L58">
        <v>0</v>
      </c>
      <c r="M58">
        <v>370</v>
      </c>
      <c r="N58">
        <v>984</v>
      </c>
      <c r="O58" t="s">
        <v>682</v>
      </c>
      <c r="P58" t="b">
        <v>1</v>
      </c>
      <c r="Q58" t="b">
        <v>0</v>
      </c>
      <c r="R58" t="b">
        <v>1</v>
      </c>
      <c r="S58" t="b">
        <v>0</v>
      </c>
      <c r="T58" t="b">
        <v>1</v>
      </c>
      <c r="U58" t="b">
        <v>1</v>
      </c>
      <c r="V58" t="b">
        <v>1</v>
      </c>
      <c r="W58" t="b">
        <v>1</v>
      </c>
      <c r="X58" t="s">
        <v>92</v>
      </c>
      <c r="Y58" t="s">
        <v>1524</v>
      </c>
      <c r="AA58" t="s">
        <v>3023</v>
      </c>
      <c r="AB58" t="s">
        <v>3023</v>
      </c>
      <c r="AC58" t="s">
        <v>3172</v>
      </c>
      <c r="AD58" t="b">
        <v>1</v>
      </c>
      <c r="AE58" t="b">
        <v>1</v>
      </c>
      <c r="AF58" t="s">
        <v>684</v>
      </c>
    </row>
    <row r="59" spans="1:32">
      <c r="A59" t="s">
        <v>93</v>
      </c>
      <c r="B59" t="s">
        <v>94</v>
      </c>
      <c r="C59" t="s">
        <v>3173</v>
      </c>
      <c r="D59">
        <v>248</v>
      </c>
      <c r="E59">
        <v>9</v>
      </c>
      <c r="F59" t="s">
        <v>3174</v>
      </c>
      <c r="G59" t="s">
        <v>3175</v>
      </c>
      <c r="H59" t="s">
        <v>3068</v>
      </c>
      <c r="I59" t="s">
        <v>3176</v>
      </c>
      <c r="J59">
        <v>8</v>
      </c>
      <c r="K59">
        <v>0</v>
      </c>
      <c r="L59">
        <v>0</v>
      </c>
      <c r="M59">
        <v>43</v>
      </c>
      <c r="N59">
        <v>598</v>
      </c>
      <c r="O59" t="s">
        <v>682</v>
      </c>
      <c r="P59" t="b">
        <v>1</v>
      </c>
      <c r="Q59" t="b">
        <v>0</v>
      </c>
      <c r="R59" t="b">
        <v>1</v>
      </c>
      <c r="S59" t="b">
        <v>0</v>
      </c>
      <c r="T59" t="b">
        <v>1</v>
      </c>
      <c r="U59" t="b">
        <v>0</v>
      </c>
      <c r="V59" t="b">
        <v>0</v>
      </c>
      <c r="W59" t="b">
        <v>1</v>
      </c>
      <c r="X59" t="s">
        <v>94</v>
      </c>
      <c r="Y59" t="s">
        <v>1544</v>
      </c>
      <c r="AA59" t="s">
        <v>3023</v>
      </c>
      <c r="AB59" t="s">
        <v>3023</v>
      </c>
      <c r="AC59" t="s">
        <v>3177</v>
      </c>
      <c r="AD59" t="b">
        <v>1</v>
      </c>
      <c r="AE59" t="b">
        <v>1</v>
      </c>
      <c r="AF59" t="s">
        <v>684</v>
      </c>
    </row>
    <row r="60" spans="1:32">
      <c r="A60" t="s">
        <v>95</v>
      </c>
      <c r="B60" t="s">
        <v>96</v>
      </c>
      <c r="C60" t="s">
        <v>3178</v>
      </c>
      <c r="G60" t="s">
        <v>3179</v>
      </c>
      <c r="H60" t="s">
        <v>3180</v>
      </c>
      <c r="J60">
        <v>63</v>
      </c>
      <c r="K60">
        <v>0</v>
      </c>
      <c r="L60">
        <v>0</v>
      </c>
      <c r="M60">
        <v>453</v>
      </c>
      <c r="N60">
        <v>2519</v>
      </c>
      <c r="O60" t="s">
        <v>682</v>
      </c>
      <c r="P60" t="b">
        <v>1</v>
      </c>
      <c r="Q60" t="b">
        <v>0</v>
      </c>
      <c r="R60" t="b">
        <v>1</v>
      </c>
      <c r="S60" t="b">
        <v>0</v>
      </c>
      <c r="T60" t="b">
        <v>1</v>
      </c>
      <c r="U60" t="b">
        <v>1</v>
      </c>
      <c r="V60" t="b">
        <v>1</v>
      </c>
      <c r="W60" t="b">
        <v>1</v>
      </c>
      <c r="X60" t="s">
        <v>96</v>
      </c>
      <c r="Y60" t="s">
        <v>1562</v>
      </c>
      <c r="AA60" t="s">
        <v>3023</v>
      </c>
      <c r="AB60" t="s">
        <v>3023</v>
      </c>
      <c r="AC60" t="s">
        <v>3181</v>
      </c>
      <c r="AD60" t="b">
        <v>1</v>
      </c>
      <c r="AE60" t="b">
        <v>1</v>
      </c>
      <c r="AF60" t="s">
        <v>684</v>
      </c>
    </row>
    <row r="61" spans="1:32">
      <c r="A61" t="s">
        <v>97</v>
      </c>
      <c r="B61" t="s">
        <v>98</v>
      </c>
      <c r="C61" t="s">
        <v>3182</v>
      </c>
      <c r="G61" t="s">
        <v>3183</v>
      </c>
      <c r="H61" t="s">
        <v>3184</v>
      </c>
      <c r="J61">
        <v>2</v>
      </c>
      <c r="K61">
        <v>0</v>
      </c>
      <c r="L61">
        <v>0</v>
      </c>
      <c r="M61">
        <v>5</v>
      </c>
      <c r="N61">
        <v>36</v>
      </c>
      <c r="O61" t="s">
        <v>682</v>
      </c>
      <c r="P61" t="b">
        <v>1</v>
      </c>
      <c r="Q61" t="b">
        <v>0</v>
      </c>
      <c r="R61" t="b">
        <v>1</v>
      </c>
      <c r="S61" t="b">
        <v>0</v>
      </c>
      <c r="T61" t="b">
        <v>1</v>
      </c>
      <c r="U61" t="b">
        <v>1</v>
      </c>
      <c r="V61" t="b">
        <v>1</v>
      </c>
      <c r="W61" t="b">
        <v>1</v>
      </c>
      <c r="X61" t="s">
        <v>98</v>
      </c>
      <c r="Y61" t="s">
        <v>1579</v>
      </c>
      <c r="AA61" t="s">
        <v>3023</v>
      </c>
      <c r="AB61" t="s">
        <v>3023</v>
      </c>
      <c r="AC61" t="s">
        <v>3185</v>
      </c>
      <c r="AD61" t="b">
        <v>1</v>
      </c>
      <c r="AE61" t="b">
        <v>1</v>
      </c>
      <c r="AF61" t="s">
        <v>684</v>
      </c>
    </row>
    <row r="62" spans="1:32">
      <c r="A62" t="s">
        <v>99</v>
      </c>
      <c r="B62" t="s">
        <v>52</v>
      </c>
      <c r="C62" t="s">
        <v>3090</v>
      </c>
      <c r="G62" t="s">
        <v>3091</v>
      </c>
      <c r="H62" t="s">
        <v>3092</v>
      </c>
      <c r="J62">
        <v>530</v>
      </c>
      <c r="K62">
        <v>0</v>
      </c>
      <c r="L62">
        <v>0</v>
      </c>
      <c r="M62">
        <v>1652</v>
      </c>
      <c r="N62">
        <v>1652</v>
      </c>
      <c r="O62" t="s">
        <v>682</v>
      </c>
      <c r="P62" t="b">
        <v>1</v>
      </c>
      <c r="Q62" t="b">
        <v>0</v>
      </c>
      <c r="R62" t="b">
        <v>1</v>
      </c>
      <c r="S62" t="b">
        <v>0</v>
      </c>
      <c r="T62" t="b">
        <v>1</v>
      </c>
      <c r="U62" t="b">
        <v>0</v>
      </c>
      <c r="V62" t="b">
        <v>0</v>
      </c>
      <c r="W62" t="b">
        <v>1</v>
      </c>
      <c r="X62" t="s">
        <v>52</v>
      </c>
      <c r="Y62" t="s">
        <v>1215</v>
      </c>
      <c r="AA62" t="s">
        <v>3023</v>
      </c>
      <c r="AB62" t="s">
        <v>3023</v>
      </c>
      <c r="AC62" t="s">
        <v>3093</v>
      </c>
      <c r="AD62" t="b">
        <v>1</v>
      </c>
      <c r="AE62" t="b">
        <v>1</v>
      </c>
      <c r="AF62" t="s">
        <v>684</v>
      </c>
    </row>
    <row r="63" spans="1:32">
      <c r="A63" t="s">
        <v>100</v>
      </c>
      <c r="B63" t="s">
        <v>101</v>
      </c>
      <c r="C63" t="s">
        <v>3186</v>
      </c>
      <c r="G63" t="s">
        <v>3187</v>
      </c>
      <c r="H63" t="s">
        <v>3188</v>
      </c>
      <c r="J63">
        <v>5</v>
      </c>
      <c r="K63">
        <v>0</v>
      </c>
      <c r="L63">
        <v>0</v>
      </c>
      <c r="M63">
        <v>44</v>
      </c>
      <c r="N63">
        <v>117</v>
      </c>
      <c r="O63" t="s">
        <v>682</v>
      </c>
      <c r="P63" t="b">
        <v>1</v>
      </c>
      <c r="Q63" t="b">
        <v>0</v>
      </c>
      <c r="R63" t="b">
        <v>1</v>
      </c>
      <c r="S63" t="b">
        <v>0</v>
      </c>
      <c r="T63" t="b">
        <v>1</v>
      </c>
      <c r="U63" t="b">
        <v>1</v>
      </c>
      <c r="V63" t="b">
        <v>1</v>
      </c>
      <c r="W63" t="b">
        <v>1</v>
      </c>
      <c r="X63" t="s">
        <v>101</v>
      </c>
      <c r="Y63" t="s">
        <v>1607</v>
      </c>
      <c r="AA63" t="s">
        <v>3023</v>
      </c>
      <c r="AB63" t="s">
        <v>3023</v>
      </c>
      <c r="AC63" t="s">
        <v>3189</v>
      </c>
      <c r="AD63" t="b">
        <v>1</v>
      </c>
      <c r="AE63" t="b">
        <v>1</v>
      </c>
      <c r="AF63" t="s">
        <v>684</v>
      </c>
    </row>
    <row r="64" spans="1:32">
      <c r="A64" t="s">
        <v>102</v>
      </c>
      <c r="B64" t="s">
        <v>103</v>
      </c>
      <c r="C64" t="s">
        <v>3190</v>
      </c>
      <c r="G64" t="s">
        <v>3191</v>
      </c>
      <c r="H64" t="s">
        <v>3192</v>
      </c>
      <c r="I64" t="s">
        <v>3193</v>
      </c>
      <c r="J64">
        <v>8</v>
      </c>
      <c r="K64">
        <v>0</v>
      </c>
      <c r="L64">
        <v>0</v>
      </c>
      <c r="M64">
        <v>36</v>
      </c>
      <c r="N64">
        <v>224</v>
      </c>
      <c r="O64" t="s">
        <v>682</v>
      </c>
      <c r="P64" t="b">
        <v>1</v>
      </c>
      <c r="Q64" t="b">
        <v>0</v>
      </c>
      <c r="R64" t="b">
        <v>1</v>
      </c>
      <c r="S64" t="b">
        <v>0</v>
      </c>
      <c r="T64" t="b">
        <v>1</v>
      </c>
      <c r="U64" t="b">
        <v>1</v>
      </c>
      <c r="V64" t="b">
        <v>1</v>
      </c>
      <c r="W64" t="b">
        <v>1</v>
      </c>
      <c r="X64" t="s">
        <v>103</v>
      </c>
      <c r="Y64" t="s">
        <v>1624</v>
      </c>
      <c r="AA64" t="s">
        <v>3023</v>
      </c>
      <c r="AB64" t="s">
        <v>3023</v>
      </c>
      <c r="AC64" t="s">
        <v>3194</v>
      </c>
      <c r="AD64" t="b">
        <v>1</v>
      </c>
      <c r="AE64" t="b">
        <v>1</v>
      </c>
      <c r="AF64" t="s">
        <v>684</v>
      </c>
    </row>
    <row r="65" spans="1:32">
      <c r="A65" t="s">
        <v>104</v>
      </c>
      <c r="B65" t="s">
        <v>105</v>
      </c>
      <c r="C65" t="s">
        <v>3195</v>
      </c>
      <c r="G65" t="s">
        <v>3196</v>
      </c>
      <c r="H65" t="s">
        <v>3197</v>
      </c>
      <c r="I65" t="s">
        <v>3198</v>
      </c>
      <c r="J65">
        <v>11</v>
      </c>
      <c r="K65">
        <v>0</v>
      </c>
      <c r="L65">
        <v>0</v>
      </c>
      <c r="M65">
        <v>80</v>
      </c>
      <c r="N65">
        <v>987</v>
      </c>
      <c r="O65" t="s">
        <v>682</v>
      </c>
      <c r="P65" t="b">
        <v>1</v>
      </c>
      <c r="Q65" t="b">
        <v>0</v>
      </c>
      <c r="R65" t="b">
        <v>1</v>
      </c>
      <c r="S65" t="b">
        <v>0</v>
      </c>
      <c r="T65" t="b">
        <v>1</v>
      </c>
      <c r="U65" t="b">
        <v>1</v>
      </c>
      <c r="V65" t="b">
        <v>1</v>
      </c>
      <c r="W65" t="b">
        <v>1</v>
      </c>
      <c r="X65" t="s">
        <v>105</v>
      </c>
      <c r="Y65" t="s">
        <v>1639</v>
      </c>
      <c r="AA65" t="s">
        <v>3023</v>
      </c>
      <c r="AB65" t="s">
        <v>3023</v>
      </c>
      <c r="AC65" t="s">
        <v>3199</v>
      </c>
      <c r="AD65" t="b">
        <v>1</v>
      </c>
      <c r="AE65" t="b">
        <v>1</v>
      </c>
      <c r="AF65" t="s">
        <v>684</v>
      </c>
    </row>
    <row r="66" spans="1:32">
      <c r="A66" t="s">
        <v>106</v>
      </c>
      <c r="B66" t="s">
        <v>107</v>
      </c>
      <c r="C66" t="s">
        <v>3200</v>
      </c>
      <c r="G66" t="s">
        <v>3201</v>
      </c>
      <c r="H66" t="s">
        <v>3202</v>
      </c>
      <c r="I66" t="s">
        <v>3203</v>
      </c>
      <c r="J66">
        <v>42</v>
      </c>
      <c r="K66">
        <v>0</v>
      </c>
      <c r="L66">
        <v>0</v>
      </c>
      <c r="M66">
        <v>128</v>
      </c>
      <c r="N66">
        <v>1201</v>
      </c>
      <c r="O66" t="s">
        <v>682</v>
      </c>
      <c r="P66" t="b">
        <v>1</v>
      </c>
      <c r="Q66" t="b">
        <v>0</v>
      </c>
      <c r="R66" t="b">
        <v>1</v>
      </c>
      <c r="S66" t="b">
        <v>0</v>
      </c>
      <c r="T66" t="b">
        <v>1</v>
      </c>
      <c r="U66" t="b">
        <v>0</v>
      </c>
      <c r="V66" t="b">
        <v>0</v>
      </c>
      <c r="W66" t="b">
        <v>1</v>
      </c>
      <c r="X66" t="s">
        <v>107</v>
      </c>
      <c r="Y66" t="s">
        <v>1655</v>
      </c>
      <c r="AA66" t="s">
        <v>3023</v>
      </c>
      <c r="AB66" t="s">
        <v>3023</v>
      </c>
      <c r="AC66" t="s">
        <v>3204</v>
      </c>
      <c r="AD66" t="b">
        <v>1</v>
      </c>
      <c r="AE66" t="b">
        <v>1</v>
      </c>
      <c r="AF66" t="s">
        <v>684</v>
      </c>
    </row>
    <row r="67" spans="1:32">
      <c r="A67" t="s">
        <v>108</v>
      </c>
      <c r="B67" t="s">
        <v>109</v>
      </c>
      <c r="C67" t="s">
        <v>3205</v>
      </c>
      <c r="D67">
        <v>228</v>
      </c>
      <c r="E67">
        <v>7</v>
      </c>
      <c r="F67" t="s">
        <v>3206</v>
      </c>
      <c r="G67" t="s">
        <v>3207</v>
      </c>
      <c r="H67" t="s">
        <v>3208</v>
      </c>
      <c r="I67" t="s">
        <v>3209</v>
      </c>
      <c r="J67">
        <v>40</v>
      </c>
      <c r="K67">
        <v>0</v>
      </c>
      <c r="L67">
        <v>0</v>
      </c>
      <c r="M67">
        <v>216</v>
      </c>
      <c r="N67">
        <v>926</v>
      </c>
      <c r="O67" t="s">
        <v>682</v>
      </c>
      <c r="P67" t="b">
        <v>1</v>
      </c>
      <c r="Q67" t="b">
        <v>0</v>
      </c>
      <c r="R67" t="b">
        <v>1</v>
      </c>
      <c r="S67" t="b">
        <v>0</v>
      </c>
      <c r="T67" t="b">
        <v>1</v>
      </c>
      <c r="U67" t="b">
        <v>0</v>
      </c>
      <c r="V67" t="b">
        <v>0</v>
      </c>
      <c r="W67" t="b">
        <v>1</v>
      </c>
      <c r="X67" t="s">
        <v>109</v>
      </c>
      <c r="Y67" t="s">
        <v>1672</v>
      </c>
      <c r="AA67" t="s">
        <v>3023</v>
      </c>
      <c r="AB67" t="s">
        <v>3023</v>
      </c>
      <c r="AC67" t="s">
        <v>3210</v>
      </c>
      <c r="AD67" t="b">
        <v>1</v>
      </c>
      <c r="AE67" t="b">
        <v>1</v>
      </c>
      <c r="AF67" t="s">
        <v>684</v>
      </c>
    </row>
    <row r="68" spans="1:32">
      <c r="A68" t="s">
        <v>110</v>
      </c>
      <c r="B68" t="s">
        <v>111</v>
      </c>
      <c r="C68" t="s">
        <v>3211</v>
      </c>
      <c r="D68">
        <v>24</v>
      </c>
      <c r="E68">
        <v>8</v>
      </c>
      <c r="F68" t="s">
        <v>3212</v>
      </c>
      <c r="G68" t="s">
        <v>3213</v>
      </c>
      <c r="H68" t="s">
        <v>3214</v>
      </c>
      <c r="I68" t="s">
        <v>3215</v>
      </c>
      <c r="J68">
        <v>19</v>
      </c>
      <c r="K68">
        <v>0</v>
      </c>
      <c r="L68">
        <v>0</v>
      </c>
      <c r="M68">
        <v>70</v>
      </c>
      <c r="N68">
        <v>739</v>
      </c>
      <c r="O68" t="s">
        <v>682</v>
      </c>
      <c r="P68" t="b">
        <v>1</v>
      </c>
      <c r="Q68" t="b">
        <v>0</v>
      </c>
      <c r="R68" t="b">
        <v>1</v>
      </c>
      <c r="S68" t="b">
        <v>0</v>
      </c>
      <c r="T68" t="b">
        <v>1</v>
      </c>
      <c r="U68" t="b">
        <v>0</v>
      </c>
      <c r="V68" t="b">
        <v>0</v>
      </c>
      <c r="W68" t="b">
        <v>1</v>
      </c>
      <c r="X68" t="s">
        <v>111</v>
      </c>
      <c r="Y68" t="s">
        <v>1687</v>
      </c>
      <c r="AA68" t="s">
        <v>3023</v>
      </c>
      <c r="AB68" t="s">
        <v>3023</v>
      </c>
      <c r="AC68" t="s">
        <v>3216</v>
      </c>
      <c r="AD68" t="b">
        <v>1</v>
      </c>
      <c r="AE68" t="b">
        <v>1</v>
      </c>
      <c r="AF68" t="s">
        <v>684</v>
      </c>
    </row>
    <row r="69" spans="1:32">
      <c r="A69" t="s">
        <v>112</v>
      </c>
      <c r="B69" t="s">
        <v>113</v>
      </c>
      <c r="C69" t="s">
        <v>3217</v>
      </c>
      <c r="G69" t="s">
        <v>3218</v>
      </c>
      <c r="H69" t="s">
        <v>3219</v>
      </c>
      <c r="I69" t="s">
        <v>2768</v>
      </c>
      <c r="J69">
        <v>48</v>
      </c>
      <c r="K69">
        <v>0</v>
      </c>
      <c r="L69">
        <v>0</v>
      </c>
      <c r="M69">
        <v>201</v>
      </c>
      <c r="N69">
        <v>2413</v>
      </c>
      <c r="O69" t="s">
        <v>682</v>
      </c>
      <c r="P69" t="b">
        <v>1</v>
      </c>
      <c r="Q69" t="b">
        <v>0</v>
      </c>
      <c r="R69" t="b">
        <v>1</v>
      </c>
      <c r="S69" t="b">
        <v>0</v>
      </c>
      <c r="T69" t="b">
        <v>1</v>
      </c>
      <c r="U69" t="b">
        <v>1</v>
      </c>
      <c r="V69" t="b">
        <v>1</v>
      </c>
      <c r="W69" t="b">
        <v>1</v>
      </c>
      <c r="X69" t="s">
        <v>113</v>
      </c>
      <c r="Y69" t="s">
        <v>1704</v>
      </c>
      <c r="AA69" t="s">
        <v>3023</v>
      </c>
      <c r="AB69" t="s">
        <v>3023</v>
      </c>
      <c r="AC69" t="s">
        <v>3220</v>
      </c>
      <c r="AD69" t="b">
        <v>1</v>
      </c>
      <c r="AE69" t="b">
        <v>1</v>
      </c>
      <c r="AF69" t="s">
        <v>684</v>
      </c>
    </row>
    <row r="70" spans="1:32">
      <c r="A70" t="s">
        <v>114</v>
      </c>
      <c r="B70" t="s">
        <v>115</v>
      </c>
      <c r="C70" t="s">
        <v>193</v>
      </c>
      <c r="G70" t="s">
        <v>3221</v>
      </c>
      <c r="H70" t="s">
        <v>3222</v>
      </c>
      <c r="J70">
        <v>262</v>
      </c>
      <c r="K70">
        <v>0</v>
      </c>
      <c r="L70">
        <v>0</v>
      </c>
      <c r="M70">
        <v>0</v>
      </c>
      <c r="N70">
        <v>0</v>
      </c>
      <c r="O70" t="s">
        <v>3023</v>
      </c>
      <c r="P70" t="b">
        <v>0</v>
      </c>
      <c r="Q70" t="b">
        <v>0</v>
      </c>
      <c r="R70" t="b">
        <v>1</v>
      </c>
      <c r="S70" t="b">
        <v>0</v>
      </c>
      <c r="T70" t="b">
        <v>1</v>
      </c>
      <c r="U70" t="b">
        <v>0</v>
      </c>
      <c r="V70" t="b">
        <v>0</v>
      </c>
      <c r="W70" t="b">
        <v>1</v>
      </c>
      <c r="X70" t="s">
        <v>115</v>
      </c>
      <c r="Y70" t="s">
        <v>3223</v>
      </c>
      <c r="AA70" t="s">
        <v>3023</v>
      </c>
      <c r="AB70" t="s">
        <v>3023</v>
      </c>
      <c r="AC70" t="s">
        <v>3224</v>
      </c>
      <c r="AD70" t="b">
        <v>0</v>
      </c>
      <c r="AE70" t="b">
        <v>1</v>
      </c>
      <c r="AF70" t="s">
        <v>1712</v>
      </c>
    </row>
    <row r="71" spans="1:32">
      <c r="A71" t="s">
        <v>116</v>
      </c>
      <c r="B71" t="s">
        <v>115</v>
      </c>
      <c r="C71" t="s">
        <v>193</v>
      </c>
      <c r="G71" t="s">
        <v>3221</v>
      </c>
      <c r="H71" t="s">
        <v>3222</v>
      </c>
      <c r="J71">
        <v>262</v>
      </c>
      <c r="K71">
        <v>0</v>
      </c>
      <c r="L71">
        <v>0</v>
      </c>
      <c r="M71">
        <v>0</v>
      </c>
      <c r="N71">
        <v>0</v>
      </c>
      <c r="O71" t="s">
        <v>3023</v>
      </c>
      <c r="P71" t="b">
        <v>0</v>
      </c>
      <c r="Q71" t="b">
        <v>0</v>
      </c>
      <c r="R71" t="b">
        <v>1</v>
      </c>
      <c r="S71" t="b">
        <v>0</v>
      </c>
      <c r="T71" t="b">
        <v>1</v>
      </c>
      <c r="U71" t="b">
        <v>0</v>
      </c>
      <c r="V71" t="b">
        <v>0</v>
      </c>
      <c r="W71" t="b">
        <v>1</v>
      </c>
      <c r="X71" t="s">
        <v>115</v>
      </c>
      <c r="Y71" t="s">
        <v>3223</v>
      </c>
      <c r="AA71" t="s">
        <v>3023</v>
      </c>
      <c r="AB71" t="s">
        <v>3023</v>
      </c>
      <c r="AC71" t="s">
        <v>3224</v>
      </c>
      <c r="AD71" t="b">
        <v>0</v>
      </c>
      <c r="AE71" t="b">
        <v>1</v>
      </c>
      <c r="AF71" t="s">
        <v>1712</v>
      </c>
    </row>
    <row r="72" spans="1:32">
      <c r="A72" t="s">
        <v>117</v>
      </c>
      <c r="B72" t="s">
        <v>118</v>
      </c>
      <c r="C72" t="s">
        <v>3225</v>
      </c>
      <c r="G72" t="s">
        <v>3226</v>
      </c>
      <c r="H72" t="s">
        <v>3068</v>
      </c>
      <c r="J72">
        <v>16</v>
      </c>
      <c r="K72">
        <v>0</v>
      </c>
      <c r="L72">
        <v>0</v>
      </c>
      <c r="M72">
        <v>69</v>
      </c>
      <c r="N72">
        <v>83</v>
      </c>
      <c r="O72" t="s">
        <v>682</v>
      </c>
      <c r="P72" t="b">
        <v>1</v>
      </c>
      <c r="Q72" t="b">
        <v>0</v>
      </c>
      <c r="R72" t="b">
        <v>1</v>
      </c>
      <c r="S72" t="b">
        <v>0</v>
      </c>
      <c r="T72" t="b">
        <v>1</v>
      </c>
      <c r="U72" t="b">
        <v>1</v>
      </c>
      <c r="V72" t="b">
        <v>1</v>
      </c>
      <c r="W72" t="b">
        <v>0</v>
      </c>
      <c r="X72" t="s">
        <v>118</v>
      </c>
      <c r="Y72" t="s">
        <v>1736</v>
      </c>
      <c r="AA72" t="s">
        <v>3023</v>
      </c>
      <c r="AB72" t="s">
        <v>3023</v>
      </c>
      <c r="AC72" t="s">
        <v>3227</v>
      </c>
      <c r="AD72" t="b">
        <v>1</v>
      </c>
      <c r="AE72" t="b">
        <v>1</v>
      </c>
      <c r="AF72" t="s">
        <v>684</v>
      </c>
    </row>
    <row r="73" spans="1:32">
      <c r="A73" t="s">
        <v>119</v>
      </c>
      <c r="B73" t="s">
        <v>120</v>
      </c>
      <c r="C73" t="s">
        <v>3228</v>
      </c>
      <c r="G73" t="s">
        <v>3229</v>
      </c>
      <c r="H73" t="s">
        <v>3230</v>
      </c>
      <c r="J73">
        <v>13</v>
      </c>
      <c r="K73">
        <v>0</v>
      </c>
      <c r="L73">
        <v>0</v>
      </c>
      <c r="M73">
        <v>56</v>
      </c>
      <c r="N73">
        <v>56</v>
      </c>
      <c r="O73" t="s">
        <v>682</v>
      </c>
      <c r="P73" t="b">
        <v>1</v>
      </c>
      <c r="Q73" t="b">
        <v>0</v>
      </c>
      <c r="R73" t="b">
        <v>1</v>
      </c>
      <c r="S73" t="b">
        <v>0</v>
      </c>
      <c r="T73" t="b">
        <v>1</v>
      </c>
      <c r="U73" t="b">
        <v>0</v>
      </c>
      <c r="V73" t="b">
        <v>0</v>
      </c>
      <c r="W73" t="b">
        <v>0</v>
      </c>
      <c r="X73" t="s">
        <v>120</v>
      </c>
      <c r="Y73" t="s">
        <v>1752</v>
      </c>
      <c r="AA73" t="s">
        <v>3023</v>
      </c>
      <c r="AB73" t="s">
        <v>3023</v>
      </c>
      <c r="AC73" t="s">
        <v>3231</v>
      </c>
      <c r="AD73" t="b">
        <v>1</v>
      </c>
      <c r="AE73" t="b">
        <v>1</v>
      </c>
      <c r="AF73" t="s">
        <v>684</v>
      </c>
    </row>
    <row r="74" spans="1:32">
      <c r="A74" t="s">
        <v>121</v>
      </c>
      <c r="B74" t="s">
        <v>122</v>
      </c>
      <c r="C74" t="s">
        <v>3232</v>
      </c>
      <c r="G74" t="s">
        <v>3233</v>
      </c>
      <c r="H74" t="s">
        <v>3234</v>
      </c>
      <c r="J74">
        <v>13</v>
      </c>
      <c r="K74">
        <v>0</v>
      </c>
      <c r="L74">
        <v>0</v>
      </c>
      <c r="M74">
        <v>18</v>
      </c>
      <c r="N74">
        <v>18</v>
      </c>
      <c r="O74" t="s">
        <v>682</v>
      </c>
      <c r="P74" t="b">
        <v>1</v>
      </c>
      <c r="Q74" t="b">
        <v>0</v>
      </c>
      <c r="R74" t="b">
        <v>1</v>
      </c>
      <c r="S74" t="b">
        <v>0</v>
      </c>
      <c r="T74" t="b">
        <v>1</v>
      </c>
      <c r="U74" t="b">
        <v>1</v>
      </c>
      <c r="V74" t="b">
        <v>1</v>
      </c>
      <c r="W74" t="b">
        <v>1</v>
      </c>
      <c r="X74" t="s">
        <v>122</v>
      </c>
      <c r="Y74" t="s">
        <v>1767</v>
      </c>
      <c r="AA74" t="s">
        <v>3023</v>
      </c>
      <c r="AB74" t="s">
        <v>3023</v>
      </c>
      <c r="AC74" t="s">
        <v>3235</v>
      </c>
      <c r="AD74" t="b">
        <v>1</v>
      </c>
      <c r="AE74" t="b">
        <v>1</v>
      </c>
      <c r="AF74" t="s">
        <v>684</v>
      </c>
    </row>
    <row r="75" spans="1:32">
      <c r="A75" t="s">
        <v>123</v>
      </c>
      <c r="B75" t="s">
        <v>124</v>
      </c>
      <c r="C75" t="s">
        <v>3236</v>
      </c>
      <c r="G75" t="s">
        <v>3237</v>
      </c>
      <c r="H75" t="s">
        <v>3238</v>
      </c>
      <c r="J75">
        <v>10</v>
      </c>
      <c r="K75">
        <v>0</v>
      </c>
      <c r="L75">
        <v>0</v>
      </c>
      <c r="M75">
        <v>12</v>
      </c>
      <c r="N75">
        <v>12</v>
      </c>
      <c r="O75" t="s">
        <v>682</v>
      </c>
      <c r="P75" t="b">
        <v>1</v>
      </c>
      <c r="Q75" t="b">
        <v>0</v>
      </c>
      <c r="R75" t="b">
        <v>1</v>
      </c>
      <c r="S75" t="b">
        <v>0</v>
      </c>
      <c r="T75" t="b">
        <v>1</v>
      </c>
      <c r="U75" t="b">
        <v>0</v>
      </c>
      <c r="V75" t="b">
        <v>0</v>
      </c>
      <c r="W75" t="b">
        <v>1</v>
      </c>
      <c r="X75" t="s">
        <v>124</v>
      </c>
      <c r="Y75" t="s">
        <v>1790</v>
      </c>
      <c r="AA75" t="s">
        <v>3023</v>
      </c>
      <c r="AB75" t="s">
        <v>3023</v>
      </c>
      <c r="AC75" t="s">
        <v>3239</v>
      </c>
      <c r="AD75" t="b">
        <v>1</v>
      </c>
      <c r="AE75" t="b">
        <v>1</v>
      </c>
      <c r="AF75" t="s">
        <v>684</v>
      </c>
    </row>
    <row r="76" spans="1:32">
      <c r="A76" t="s">
        <v>125</v>
      </c>
      <c r="B76" t="s">
        <v>126</v>
      </c>
      <c r="C76" t="s">
        <v>3240</v>
      </c>
      <c r="G76" t="s">
        <v>3241</v>
      </c>
      <c r="H76" t="s">
        <v>3242</v>
      </c>
      <c r="J76">
        <v>7</v>
      </c>
      <c r="K76">
        <v>0</v>
      </c>
      <c r="L76">
        <v>0</v>
      </c>
      <c r="M76">
        <v>53</v>
      </c>
      <c r="N76">
        <v>458</v>
      </c>
      <c r="O76" t="s">
        <v>682</v>
      </c>
      <c r="P76" t="b">
        <v>1</v>
      </c>
      <c r="Q76" t="b">
        <v>0</v>
      </c>
      <c r="R76" t="b">
        <v>1</v>
      </c>
      <c r="S76" t="b">
        <v>0</v>
      </c>
      <c r="T76" t="b">
        <v>1</v>
      </c>
      <c r="U76" t="b">
        <v>0</v>
      </c>
      <c r="V76" t="b">
        <v>0</v>
      </c>
      <c r="W76" t="b">
        <v>1</v>
      </c>
      <c r="X76" t="s">
        <v>126</v>
      </c>
      <c r="Y76" t="s">
        <v>1805</v>
      </c>
      <c r="AA76" t="s">
        <v>3023</v>
      </c>
      <c r="AB76" t="s">
        <v>3023</v>
      </c>
      <c r="AC76" t="s">
        <v>3243</v>
      </c>
      <c r="AD76" t="b">
        <v>1</v>
      </c>
      <c r="AE76" t="b">
        <v>1</v>
      </c>
      <c r="AF76" t="s">
        <v>684</v>
      </c>
    </row>
    <row r="77" spans="1:32">
      <c r="A77" t="s">
        <v>127</v>
      </c>
      <c r="B77" t="s">
        <v>128</v>
      </c>
      <c r="C77" t="s">
        <v>3244</v>
      </c>
      <c r="G77" t="s">
        <v>3245</v>
      </c>
      <c r="H77" t="s">
        <v>3246</v>
      </c>
      <c r="J77">
        <v>274</v>
      </c>
      <c r="K77">
        <v>0</v>
      </c>
      <c r="L77">
        <v>0</v>
      </c>
      <c r="M77">
        <v>1356</v>
      </c>
      <c r="N77">
        <v>1356</v>
      </c>
      <c r="O77" t="s">
        <v>682</v>
      </c>
      <c r="P77" t="b">
        <v>1</v>
      </c>
      <c r="Q77" t="b">
        <v>0</v>
      </c>
      <c r="R77" t="b">
        <v>1</v>
      </c>
      <c r="S77" t="b">
        <v>0</v>
      </c>
      <c r="T77" t="b">
        <v>1</v>
      </c>
      <c r="U77" t="b">
        <v>0</v>
      </c>
      <c r="V77" t="b">
        <v>0</v>
      </c>
      <c r="W77" t="b">
        <v>0</v>
      </c>
      <c r="X77" t="s">
        <v>128</v>
      </c>
      <c r="Y77" t="s">
        <v>1819</v>
      </c>
      <c r="AA77" t="s">
        <v>3023</v>
      </c>
      <c r="AB77" t="s">
        <v>3023</v>
      </c>
      <c r="AC77" t="s">
        <v>3247</v>
      </c>
      <c r="AD77" t="b">
        <v>1</v>
      </c>
      <c r="AE77" t="b">
        <v>1</v>
      </c>
      <c r="AF77" t="s">
        <v>684</v>
      </c>
    </row>
    <row r="78" spans="1:32">
      <c r="A78" t="s">
        <v>129</v>
      </c>
      <c r="B78" t="s">
        <v>130</v>
      </c>
      <c r="C78" t="s">
        <v>3248</v>
      </c>
      <c r="D78">
        <v>213</v>
      </c>
      <c r="E78">
        <v>5</v>
      </c>
      <c r="F78" t="s">
        <v>3249</v>
      </c>
      <c r="G78" t="s">
        <v>3250</v>
      </c>
      <c r="H78" t="s">
        <v>3251</v>
      </c>
      <c r="I78" t="s">
        <v>3252</v>
      </c>
      <c r="J78">
        <v>10</v>
      </c>
      <c r="K78">
        <v>0</v>
      </c>
      <c r="L78">
        <v>0</v>
      </c>
      <c r="M78">
        <v>6</v>
      </c>
      <c r="N78">
        <v>61</v>
      </c>
      <c r="O78" t="s">
        <v>682</v>
      </c>
      <c r="P78" t="b">
        <v>1</v>
      </c>
      <c r="Q78" t="b">
        <v>0</v>
      </c>
      <c r="R78" t="b">
        <v>1</v>
      </c>
      <c r="S78" t="b">
        <v>0</v>
      </c>
      <c r="T78" t="b">
        <v>1</v>
      </c>
      <c r="U78" t="b">
        <v>0</v>
      </c>
      <c r="V78" t="b">
        <v>0</v>
      </c>
      <c r="W78" t="b">
        <v>1</v>
      </c>
      <c r="X78" t="s">
        <v>130</v>
      </c>
      <c r="Y78" t="s">
        <v>1833</v>
      </c>
      <c r="AA78" t="s">
        <v>3023</v>
      </c>
      <c r="AB78" t="s">
        <v>3023</v>
      </c>
      <c r="AC78" t="s">
        <v>3253</v>
      </c>
      <c r="AD78" t="b">
        <v>1</v>
      </c>
      <c r="AE78" t="b">
        <v>1</v>
      </c>
      <c r="AF78" t="s">
        <v>684</v>
      </c>
    </row>
    <row r="79" spans="1:32">
      <c r="A79" t="s">
        <v>131</v>
      </c>
      <c r="B79" t="s">
        <v>132</v>
      </c>
      <c r="C79" t="s">
        <v>3254</v>
      </c>
      <c r="G79" t="s">
        <v>3255</v>
      </c>
      <c r="H79" t="s">
        <v>3256</v>
      </c>
      <c r="J79">
        <v>17</v>
      </c>
      <c r="K79">
        <v>0</v>
      </c>
      <c r="L79">
        <v>0</v>
      </c>
      <c r="M79">
        <v>106</v>
      </c>
      <c r="N79">
        <v>629</v>
      </c>
      <c r="O79" t="s">
        <v>682</v>
      </c>
      <c r="P79" t="b">
        <v>1</v>
      </c>
      <c r="Q79" t="b">
        <v>0</v>
      </c>
      <c r="R79" t="b">
        <v>1</v>
      </c>
      <c r="S79" t="b">
        <v>0</v>
      </c>
      <c r="T79" t="b">
        <v>1</v>
      </c>
      <c r="U79" t="b">
        <v>0</v>
      </c>
      <c r="V79" t="b">
        <v>0</v>
      </c>
      <c r="W79" t="b">
        <v>1</v>
      </c>
      <c r="X79" t="s">
        <v>132</v>
      </c>
      <c r="Y79" t="s">
        <v>1847</v>
      </c>
      <c r="AA79" t="s">
        <v>3023</v>
      </c>
      <c r="AB79" t="s">
        <v>3023</v>
      </c>
      <c r="AD79" t="b">
        <v>1</v>
      </c>
      <c r="AE79" t="b">
        <v>0</v>
      </c>
      <c r="AF79" t="s">
        <v>684</v>
      </c>
    </row>
    <row r="80" spans="1:32">
      <c r="A80" t="s">
        <v>133</v>
      </c>
      <c r="B80" t="s">
        <v>134</v>
      </c>
      <c r="C80" t="s">
        <v>3257</v>
      </c>
      <c r="G80" t="s">
        <v>3258</v>
      </c>
      <c r="H80" t="s">
        <v>3259</v>
      </c>
      <c r="I80" t="s">
        <v>3260</v>
      </c>
      <c r="J80">
        <v>17</v>
      </c>
      <c r="K80">
        <v>0</v>
      </c>
      <c r="L80">
        <v>0</v>
      </c>
      <c r="M80">
        <v>1</v>
      </c>
      <c r="N80">
        <v>9</v>
      </c>
      <c r="O80" t="s">
        <v>682</v>
      </c>
      <c r="P80" t="b">
        <v>1</v>
      </c>
      <c r="Q80" t="b">
        <v>0</v>
      </c>
      <c r="R80" t="b">
        <v>1</v>
      </c>
      <c r="S80" t="b">
        <v>0</v>
      </c>
      <c r="T80" t="b">
        <v>1</v>
      </c>
      <c r="U80" t="b">
        <v>0</v>
      </c>
      <c r="V80" t="b">
        <v>0</v>
      </c>
      <c r="W80" t="b">
        <v>1</v>
      </c>
      <c r="X80" t="s">
        <v>134</v>
      </c>
      <c r="Y80" t="s">
        <v>1863</v>
      </c>
      <c r="AA80" t="s">
        <v>3023</v>
      </c>
      <c r="AB80" t="s">
        <v>3023</v>
      </c>
      <c r="AC80" t="s">
        <v>3261</v>
      </c>
      <c r="AD80" t="b">
        <v>1</v>
      </c>
      <c r="AE80" t="b">
        <v>1</v>
      </c>
      <c r="AF80" t="s">
        <v>684</v>
      </c>
    </row>
    <row r="81" spans="1:32">
      <c r="A81" t="s">
        <v>135</v>
      </c>
      <c r="B81" t="s">
        <v>136</v>
      </c>
      <c r="C81" t="s">
        <v>3262</v>
      </c>
      <c r="G81" t="s">
        <v>3263</v>
      </c>
      <c r="H81" t="s">
        <v>3264</v>
      </c>
      <c r="I81" t="s">
        <v>3265</v>
      </c>
      <c r="J81">
        <v>28</v>
      </c>
      <c r="K81">
        <v>0</v>
      </c>
      <c r="L81">
        <v>0</v>
      </c>
      <c r="M81">
        <v>105</v>
      </c>
      <c r="N81">
        <v>355</v>
      </c>
      <c r="O81" t="s">
        <v>682</v>
      </c>
      <c r="P81" t="b">
        <v>1</v>
      </c>
      <c r="Q81" t="b">
        <v>0</v>
      </c>
      <c r="R81" t="b">
        <v>1</v>
      </c>
      <c r="S81" t="b">
        <v>0</v>
      </c>
      <c r="T81" t="b">
        <v>1</v>
      </c>
      <c r="U81" t="b">
        <v>0</v>
      </c>
      <c r="V81" t="b">
        <v>0</v>
      </c>
      <c r="W81" t="b">
        <v>1</v>
      </c>
      <c r="X81" t="s">
        <v>136</v>
      </c>
      <c r="Y81" t="s">
        <v>1885</v>
      </c>
      <c r="AA81" t="s">
        <v>3023</v>
      </c>
      <c r="AB81" t="s">
        <v>3023</v>
      </c>
      <c r="AC81" t="s">
        <v>3266</v>
      </c>
      <c r="AD81" t="b">
        <v>1</v>
      </c>
      <c r="AE81" t="b">
        <v>1</v>
      </c>
      <c r="AF81" t="s">
        <v>684</v>
      </c>
    </row>
    <row r="82" spans="1:32">
      <c r="A82" t="s">
        <v>137</v>
      </c>
      <c r="B82" t="s">
        <v>138</v>
      </c>
      <c r="C82" t="s">
        <v>3267</v>
      </c>
      <c r="G82" t="s">
        <v>3268</v>
      </c>
      <c r="H82" t="s">
        <v>3269</v>
      </c>
      <c r="J82">
        <v>201</v>
      </c>
      <c r="K82">
        <v>0</v>
      </c>
      <c r="L82">
        <v>0</v>
      </c>
      <c r="M82">
        <v>934</v>
      </c>
      <c r="N82">
        <v>1666</v>
      </c>
      <c r="O82" t="s">
        <v>682</v>
      </c>
      <c r="P82" t="b">
        <v>1</v>
      </c>
      <c r="Q82" t="b">
        <v>0</v>
      </c>
      <c r="R82" t="b">
        <v>1</v>
      </c>
      <c r="S82" t="b">
        <v>0</v>
      </c>
      <c r="T82" t="b">
        <v>1</v>
      </c>
      <c r="U82" t="b">
        <v>1</v>
      </c>
      <c r="V82" t="b">
        <v>1</v>
      </c>
      <c r="W82" t="b">
        <v>1</v>
      </c>
      <c r="X82" t="s">
        <v>138</v>
      </c>
      <c r="Y82" t="s">
        <v>1899</v>
      </c>
      <c r="AA82" t="s">
        <v>3023</v>
      </c>
      <c r="AB82" t="s">
        <v>3023</v>
      </c>
      <c r="AC82" t="s">
        <v>3270</v>
      </c>
      <c r="AD82" t="b">
        <v>1</v>
      </c>
      <c r="AE82" t="b">
        <v>1</v>
      </c>
      <c r="AF82" t="s">
        <v>684</v>
      </c>
    </row>
    <row r="83" spans="1:32">
      <c r="A83" t="s">
        <v>139</v>
      </c>
      <c r="B83" t="s">
        <v>140</v>
      </c>
      <c r="C83" t="s">
        <v>3271</v>
      </c>
      <c r="G83" t="s">
        <v>3272</v>
      </c>
      <c r="H83" t="s">
        <v>3273</v>
      </c>
      <c r="I83" t="s">
        <v>3274</v>
      </c>
      <c r="J83">
        <v>94</v>
      </c>
      <c r="K83">
        <v>0</v>
      </c>
      <c r="L83">
        <v>0</v>
      </c>
      <c r="M83">
        <v>391</v>
      </c>
      <c r="N83">
        <v>1896</v>
      </c>
      <c r="O83" t="s">
        <v>682</v>
      </c>
      <c r="P83" t="b">
        <v>1</v>
      </c>
      <c r="Q83" t="b">
        <v>0</v>
      </c>
      <c r="R83" t="b">
        <v>1</v>
      </c>
      <c r="S83" t="b">
        <v>0</v>
      </c>
      <c r="T83" t="b">
        <v>1</v>
      </c>
      <c r="U83" t="b">
        <v>1</v>
      </c>
      <c r="V83" t="b">
        <v>1</v>
      </c>
      <c r="W83" t="b">
        <v>1</v>
      </c>
      <c r="X83" t="s">
        <v>140</v>
      </c>
      <c r="Y83" t="s">
        <v>1918</v>
      </c>
      <c r="AA83" t="s">
        <v>3023</v>
      </c>
      <c r="AB83" t="s">
        <v>3023</v>
      </c>
      <c r="AC83" t="s">
        <v>3275</v>
      </c>
      <c r="AD83" t="b">
        <v>1</v>
      </c>
      <c r="AE83" t="b">
        <v>1</v>
      </c>
      <c r="AF83" t="s">
        <v>684</v>
      </c>
    </row>
    <row r="84" spans="1:32">
      <c r="A84" t="s">
        <v>141</v>
      </c>
      <c r="B84" t="s">
        <v>142</v>
      </c>
      <c r="C84" t="s">
        <v>3276</v>
      </c>
      <c r="G84" t="s">
        <v>3277</v>
      </c>
      <c r="H84" t="s">
        <v>3278</v>
      </c>
      <c r="I84" t="s">
        <v>3279</v>
      </c>
      <c r="J84">
        <v>53</v>
      </c>
      <c r="K84">
        <v>0</v>
      </c>
      <c r="L84">
        <v>0</v>
      </c>
      <c r="M84">
        <v>171</v>
      </c>
      <c r="N84">
        <v>819</v>
      </c>
      <c r="O84" t="s">
        <v>682</v>
      </c>
      <c r="P84" t="b">
        <v>1</v>
      </c>
      <c r="Q84" t="b">
        <v>0</v>
      </c>
      <c r="R84" t="b">
        <v>1</v>
      </c>
      <c r="S84" t="b">
        <v>0</v>
      </c>
      <c r="T84" t="b">
        <v>1</v>
      </c>
      <c r="U84" t="b">
        <v>0</v>
      </c>
      <c r="V84" t="b">
        <v>0</v>
      </c>
      <c r="W84" t="b">
        <v>1</v>
      </c>
      <c r="X84" t="s">
        <v>142</v>
      </c>
      <c r="Y84" t="s">
        <v>1934</v>
      </c>
      <c r="AA84" t="s">
        <v>3023</v>
      </c>
      <c r="AB84" t="s">
        <v>3023</v>
      </c>
      <c r="AC84" t="s">
        <v>3280</v>
      </c>
      <c r="AD84" t="b">
        <v>1</v>
      </c>
      <c r="AE84" t="b">
        <v>1</v>
      </c>
      <c r="AF84" t="s">
        <v>684</v>
      </c>
    </row>
    <row r="85" spans="1:32">
      <c r="A85" t="s">
        <v>143</v>
      </c>
      <c r="B85" t="s">
        <v>144</v>
      </c>
      <c r="C85" t="s">
        <v>3281</v>
      </c>
      <c r="D85">
        <v>87</v>
      </c>
      <c r="E85">
        <v>10</v>
      </c>
      <c r="F85" t="s">
        <v>3282</v>
      </c>
      <c r="G85" t="s">
        <v>3283</v>
      </c>
      <c r="H85" t="s">
        <v>3284</v>
      </c>
      <c r="I85" t="s">
        <v>3285</v>
      </c>
      <c r="J85">
        <v>63</v>
      </c>
      <c r="K85">
        <v>0</v>
      </c>
      <c r="L85">
        <v>0</v>
      </c>
      <c r="M85">
        <v>217</v>
      </c>
      <c r="N85">
        <v>1918</v>
      </c>
      <c r="O85" t="s">
        <v>682</v>
      </c>
      <c r="P85" t="b">
        <v>1</v>
      </c>
      <c r="Q85" t="b">
        <v>0</v>
      </c>
      <c r="R85" t="b">
        <v>1</v>
      </c>
      <c r="S85" t="b">
        <v>0</v>
      </c>
      <c r="T85" t="b">
        <v>1</v>
      </c>
      <c r="U85" t="b">
        <v>1</v>
      </c>
      <c r="V85" t="b">
        <v>1</v>
      </c>
      <c r="W85" t="b">
        <v>1</v>
      </c>
      <c r="X85" t="s">
        <v>144</v>
      </c>
      <c r="Y85" t="s">
        <v>1950</v>
      </c>
      <c r="AA85" t="s">
        <v>3023</v>
      </c>
      <c r="AB85" t="s">
        <v>3023</v>
      </c>
      <c r="AC85" t="s">
        <v>3286</v>
      </c>
      <c r="AD85" t="b">
        <v>1</v>
      </c>
      <c r="AE85" t="b">
        <v>1</v>
      </c>
      <c r="AF85" t="s">
        <v>684</v>
      </c>
    </row>
    <row r="86" spans="1:32">
      <c r="A86" t="s">
        <v>145</v>
      </c>
      <c r="B86" t="s">
        <v>146</v>
      </c>
      <c r="C86" t="s">
        <v>3287</v>
      </c>
      <c r="G86" t="s">
        <v>3288</v>
      </c>
      <c r="H86" t="s">
        <v>3289</v>
      </c>
      <c r="J86">
        <v>25</v>
      </c>
      <c r="K86">
        <v>0</v>
      </c>
      <c r="L86">
        <v>0</v>
      </c>
      <c r="M86">
        <v>49</v>
      </c>
      <c r="N86">
        <v>49</v>
      </c>
      <c r="O86" t="s">
        <v>682</v>
      </c>
      <c r="P86" t="b">
        <v>1</v>
      </c>
      <c r="Q86" t="b">
        <v>0</v>
      </c>
      <c r="R86" t="b">
        <v>1</v>
      </c>
      <c r="S86" t="b">
        <v>0</v>
      </c>
      <c r="T86" t="b">
        <v>1</v>
      </c>
      <c r="U86" t="b">
        <v>1</v>
      </c>
      <c r="V86" t="b">
        <v>1</v>
      </c>
      <c r="W86" t="b">
        <v>1</v>
      </c>
      <c r="X86" t="s">
        <v>146</v>
      </c>
      <c r="Y86" t="s">
        <v>1966</v>
      </c>
      <c r="AA86" t="s">
        <v>3023</v>
      </c>
      <c r="AB86" t="s">
        <v>3023</v>
      </c>
      <c r="AC86" t="s">
        <v>3290</v>
      </c>
      <c r="AD86" t="b">
        <v>1</v>
      </c>
      <c r="AE86" t="b">
        <v>1</v>
      </c>
      <c r="AF86" t="s">
        <v>684</v>
      </c>
    </row>
    <row r="87" spans="1:32">
      <c r="A87" t="s">
        <v>147</v>
      </c>
      <c r="B87" t="s">
        <v>148</v>
      </c>
      <c r="C87" t="s">
        <v>3291</v>
      </c>
      <c r="G87" t="s">
        <v>3292</v>
      </c>
      <c r="H87" t="s">
        <v>3293</v>
      </c>
      <c r="J87">
        <v>19</v>
      </c>
      <c r="K87">
        <v>0</v>
      </c>
      <c r="L87">
        <v>0</v>
      </c>
      <c r="M87">
        <v>147</v>
      </c>
      <c r="N87">
        <v>2364</v>
      </c>
      <c r="O87" t="s">
        <v>682</v>
      </c>
      <c r="P87" t="b">
        <v>1</v>
      </c>
      <c r="Q87" t="b">
        <v>0</v>
      </c>
      <c r="R87" t="b">
        <v>1</v>
      </c>
      <c r="S87" t="b">
        <v>0</v>
      </c>
      <c r="T87" t="b">
        <v>1</v>
      </c>
      <c r="U87" t="b">
        <v>1</v>
      </c>
      <c r="V87" t="b">
        <v>1</v>
      </c>
      <c r="W87" t="b">
        <v>1</v>
      </c>
      <c r="X87" t="s">
        <v>148</v>
      </c>
      <c r="Y87" t="s">
        <v>1979</v>
      </c>
      <c r="AA87" t="s">
        <v>3023</v>
      </c>
      <c r="AB87" t="s">
        <v>3023</v>
      </c>
      <c r="AD87" t="b">
        <v>1</v>
      </c>
      <c r="AE87" t="b">
        <v>0</v>
      </c>
      <c r="AF87" t="s">
        <v>684</v>
      </c>
    </row>
    <row r="88" spans="1:32">
      <c r="A88" t="s">
        <v>149</v>
      </c>
      <c r="B88" t="s">
        <v>32</v>
      </c>
      <c r="C88" t="s">
        <v>3045</v>
      </c>
      <c r="G88" t="s">
        <v>3046</v>
      </c>
      <c r="H88" t="s">
        <v>3047</v>
      </c>
      <c r="J88">
        <v>10</v>
      </c>
      <c r="K88">
        <v>0</v>
      </c>
      <c r="L88">
        <v>0</v>
      </c>
      <c r="M88">
        <v>79</v>
      </c>
      <c r="N88">
        <v>387</v>
      </c>
      <c r="O88" t="s">
        <v>682</v>
      </c>
      <c r="P88" t="b">
        <v>1</v>
      </c>
      <c r="Q88" t="b">
        <v>0</v>
      </c>
      <c r="R88" t="b">
        <v>1</v>
      </c>
      <c r="S88" t="b">
        <v>0</v>
      </c>
      <c r="T88" t="b">
        <v>1</v>
      </c>
      <c r="U88" t="b">
        <v>1</v>
      </c>
      <c r="V88" t="b">
        <v>1</v>
      </c>
      <c r="W88" t="b">
        <v>1</v>
      </c>
      <c r="X88" t="s">
        <v>32</v>
      </c>
      <c r="Y88" t="s">
        <v>1037</v>
      </c>
      <c r="AA88" t="s">
        <v>3023</v>
      </c>
      <c r="AB88" t="s">
        <v>3023</v>
      </c>
      <c r="AC88" t="s">
        <v>3048</v>
      </c>
      <c r="AD88" t="b">
        <v>1</v>
      </c>
      <c r="AE88" t="b">
        <v>1</v>
      </c>
      <c r="AF88" t="s">
        <v>684</v>
      </c>
    </row>
    <row r="89" spans="1:32">
      <c r="A89" t="s">
        <v>150</v>
      </c>
      <c r="B89" t="s">
        <v>151</v>
      </c>
      <c r="C89" t="s">
        <v>193</v>
      </c>
      <c r="G89" t="s">
        <v>3294</v>
      </c>
      <c r="H89" t="s">
        <v>3295</v>
      </c>
      <c r="J89">
        <v>277</v>
      </c>
      <c r="K89">
        <v>0</v>
      </c>
      <c r="L89">
        <v>0</v>
      </c>
      <c r="M89">
        <v>91</v>
      </c>
      <c r="N89">
        <v>91</v>
      </c>
      <c r="O89" t="s">
        <v>3023</v>
      </c>
      <c r="P89" t="b">
        <v>0</v>
      </c>
      <c r="Q89" t="b">
        <v>0</v>
      </c>
      <c r="R89" t="b">
        <v>1</v>
      </c>
      <c r="S89" t="b">
        <v>0</v>
      </c>
      <c r="T89" t="b">
        <v>1</v>
      </c>
      <c r="U89" t="b">
        <v>1</v>
      </c>
      <c r="V89" t="b">
        <v>1</v>
      </c>
      <c r="W89" t="b">
        <v>1</v>
      </c>
      <c r="X89" t="s">
        <v>151</v>
      </c>
      <c r="Y89" t="s">
        <v>3223</v>
      </c>
      <c r="AA89" t="s">
        <v>3023</v>
      </c>
      <c r="AB89" t="s">
        <v>3023</v>
      </c>
      <c r="AC89" t="s">
        <v>3296</v>
      </c>
      <c r="AD89" t="b">
        <v>0</v>
      </c>
      <c r="AE89" t="b">
        <v>1</v>
      </c>
      <c r="AF89" t="s">
        <v>1712</v>
      </c>
    </row>
    <row r="90" spans="1:32">
      <c r="A90" t="s">
        <v>152</v>
      </c>
      <c r="B90" t="s">
        <v>151</v>
      </c>
      <c r="C90" t="s">
        <v>193</v>
      </c>
      <c r="G90" t="s">
        <v>3294</v>
      </c>
      <c r="H90" t="s">
        <v>3295</v>
      </c>
      <c r="J90">
        <v>277</v>
      </c>
      <c r="K90">
        <v>0</v>
      </c>
      <c r="L90">
        <v>0</v>
      </c>
      <c r="M90">
        <v>91</v>
      </c>
      <c r="N90">
        <v>91</v>
      </c>
      <c r="O90" t="s">
        <v>3023</v>
      </c>
      <c r="P90" t="b">
        <v>0</v>
      </c>
      <c r="Q90" t="b">
        <v>0</v>
      </c>
      <c r="R90" t="b">
        <v>1</v>
      </c>
      <c r="S90" t="b">
        <v>0</v>
      </c>
      <c r="T90" t="b">
        <v>1</v>
      </c>
      <c r="U90" t="b">
        <v>1</v>
      </c>
      <c r="V90" t="b">
        <v>1</v>
      </c>
      <c r="W90" t="b">
        <v>1</v>
      </c>
      <c r="X90" t="s">
        <v>151</v>
      </c>
      <c r="Y90" t="s">
        <v>3223</v>
      </c>
      <c r="AA90" t="s">
        <v>3023</v>
      </c>
      <c r="AB90" t="s">
        <v>3023</v>
      </c>
      <c r="AC90" t="s">
        <v>3296</v>
      </c>
      <c r="AD90" t="b">
        <v>0</v>
      </c>
      <c r="AE90" t="b">
        <v>1</v>
      </c>
      <c r="AF90" t="s">
        <v>1712</v>
      </c>
    </row>
    <row r="91" spans="1:32">
      <c r="A91" t="s">
        <v>153</v>
      </c>
      <c r="B91" t="s">
        <v>154</v>
      </c>
      <c r="C91" t="s">
        <v>3297</v>
      </c>
      <c r="G91" t="s">
        <v>3298</v>
      </c>
      <c r="H91" t="s">
        <v>3299</v>
      </c>
      <c r="J91">
        <v>27</v>
      </c>
      <c r="K91">
        <v>0</v>
      </c>
      <c r="L91">
        <v>0</v>
      </c>
      <c r="M91">
        <v>156</v>
      </c>
      <c r="N91">
        <v>366</v>
      </c>
      <c r="O91" t="s">
        <v>682</v>
      </c>
      <c r="P91" t="b">
        <v>1</v>
      </c>
      <c r="Q91" t="b">
        <v>0</v>
      </c>
      <c r="R91" t="b">
        <v>1</v>
      </c>
      <c r="S91" t="b">
        <v>0</v>
      </c>
      <c r="T91" t="b">
        <v>1</v>
      </c>
      <c r="U91" t="b">
        <v>1</v>
      </c>
      <c r="V91" t="b">
        <v>1</v>
      </c>
      <c r="W91" t="b">
        <v>1</v>
      </c>
      <c r="X91" t="s">
        <v>154</v>
      </c>
      <c r="Y91" t="s">
        <v>2016</v>
      </c>
      <c r="AA91" t="s">
        <v>3023</v>
      </c>
      <c r="AB91" t="s">
        <v>3023</v>
      </c>
      <c r="AD91" t="b">
        <v>1</v>
      </c>
      <c r="AE91" t="b">
        <v>0</v>
      </c>
      <c r="AF91" t="s">
        <v>684</v>
      </c>
    </row>
    <row r="92" spans="1:32">
      <c r="A92" t="s">
        <v>155</v>
      </c>
      <c r="B92" t="s">
        <v>156</v>
      </c>
      <c r="C92" t="s">
        <v>3300</v>
      </c>
      <c r="G92" t="s">
        <v>3301</v>
      </c>
      <c r="H92" t="s">
        <v>3302</v>
      </c>
      <c r="I92" t="s">
        <v>3303</v>
      </c>
      <c r="J92">
        <v>7</v>
      </c>
      <c r="K92">
        <v>0</v>
      </c>
      <c r="L92">
        <v>0</v>
      </c>
      <c r="M92">
        <v>41</v>
      </c>
      <c r="N92">
        <v>557</v>
      </c>
      <c r="O92" t="s">
        <v>3304</v>
      </c>
      <c r="P92" t="b">
        <v>1</v>
      </c>
      <c r="Q92" t="b">
        <v>0</v>
      </c>
      <c r="R92" t="b">
        <v>1</v>
      </c>
      <c r="S92" t="b">
        <v>0</v>
      </c>
      <c r="T92" t="b">
        <v>1</v>
      </c>
      <c r="U92" t="b">
        <v>0</v>
      </c>
      <c r="V92" t="b">
        <v>0</v>
      </c>
      <c r="W92" t="b">
        <v>1</v>
      </c>
      <c r="X92" t="s">
        <v>156</v>
      </c>
      <c r="Y92" t="s">
        <v>2029</v>
      </c>
      <c r="AA92" t="s">
        <v>3023</v>
      </c>
      <c r="AB92" t="s">
        <v>3023</v>
      </c>
      <c r="AC92" t="s">
        <v>3305</v>
      </c>
      <c r="AD92" t="b">
        <v>1</v>
      </c>
      <c r="AE92" t="b">
        <v>1</v>
      </c>
      <c r="AF92" t="s">
        <v>684</v>
      </c>
    </row>
    <row r="93" spans="1:32">
      <c r="A93" t="s">
        <v>157</v>
      </c>
      <c r="B93" t="s">
        <v>151</v>
      </c>
      <c r="C93" t="s">
        <v>193</v>
      </c>
      <c r="G93" t="s">
        <v>3294</v>
      </c>
      <c r="H93" t="s">
        <v>3295</v>
      </c>
      <c r="J93">
        <v>277</v>
      </c>
      <c r="K93">
        <v>0</v>
      </c>
      <c r="L93">
        <v>0</v>
      </c>
      <c r="M93">
        <v>91</v>
      </c>
      <c r="N93">
        <v>91</v>
      </c>
      <c r="O93" t="s">
        <v>3023</v>
      </c>
      <c r="P93" t="b">
        <v>0</v>
      </c>
      <c r="Q93" t="b">
        <v>0</v>
      </c>
      <c r="R93" t="b">
        <v>1</v>
      </c>
      <c r="S93" t="b">
        <v>0</v>
      </c>
      <c r="T93" t="b">
        <v>1</v>
      </c>
      <c r="U93" t="b">
        <v>1</v>
      </c>
      <c r="V93" t="b">
        <v>1</v>
      </c>
      <c r="W93" t="b">
        <v>1</v>
      </c>
      <c r="X93" t="s">
        <v>151</v>
      </c>
      <c r="Y93" t="s">
        <v>3223</v>
      </c>
      <c r="AA93" t="s">
        <v>3023</v>
      </c>
      <c r="AB93" t="s">
        <v>3023</v>
      </c>
      <c r="AC93" t="s">
        <v>3296</v>
      </c>
      <c r="AD93" t="b">
        <v>0</v>
      </c>
      <c r="AE93" t="b">
        <v>1</v>
      </c>
      <c r="AF93" t="s">
        <v>1712</v>
      </c>
    </row>
    <row r="94" spans="1:32">
      <c r="A94" t="s">
        <v>158</v>
      </c>
      <c r="B94" t="s">
        <v>151</v>
      </c>
      <c r="C94" t="s">
        <v>193</v>
      </c>
      <c r="G94" t="s">
        <v>3294</v>
      </c>
      <c r="H94" t="s">
        <v>3295</v>
      </c>
      <c r="J94">
        <v>277</v>
      </c>
      <c r="K94">
        <v>0</v>
      </c>
      <c r="L94">
        <v>0</v>
      </c>
      <c r="M94">
        <v>91</v>
      </c>
      <c r="N94">
        <v>91</v>
      </c>
      <c r="O94" t="s">
        <v>3023</v>
      </c>
      <c r="P94" t="b">
        <v>0</v>
      </c>
      <c r="Q94" t="b">
        <v>0</v>
      </c>
      <c r="R94" t="b">
        <v>1</v>
      </c>
      <c r="S94" t="b">
        <v>0</v>
      </c>
      <c r="T94" t="b">
        <v>1</v>
      </c>
      <c r="U94" t="b">
        <v>1</v>
      </c>
      <c r="V94" t="b">
        <v>1</v>
      </c>
      <c r="W94" t="b">
        <v>1</v>
      </c>
      <c r="X94" t="s">
        <v>151</v>
      </c>
      <c r="Y94" t="s">
        <v>3223</v>
      </c>
      <c r="AA94" t="s">
        <v>3023</v>
      </c>
      <c r="AB94" t="s">
        <v>3023</v>
      </c>
      <c r="AC94" t="s">
        <v>3296</v>
      </c>
      <c r="AD94" t="b">
        <v>0</v>
      </c>
      <c r="AE94" t="b">
        <v>1</v>
      </c>
      <c r="AF94" t="s">
        <v>1712</v>
      </c>
    </row>
    <row r="95" spans="1:32">
      <c r="A95" t="s">
        <v>159</v>
      </c>
      <c r="B95" t="s">
        <v>151</v>
      </c>
      <c r="C95" t="s">
        <v>193</v>
      </c>
      <c r="G95" t="s">
        <v>3294</v>
      </c>
      <c r="H95" t="s">
        <v>3295</v>
      </c>
      <c r="J95">
        <v>277</v>
      </c>
      <c r="K95">
        <v>0</v>
      </c>
      <c r="L95">
        <v>0</v>
      </c>
      <c r="M95">
        <v>91</v>
      </c>
      <c r="N95">
        <v>91</v>
      </c>
      <c r="O95" t="s">
        <v>3023</v>
      </c>
      <c r="P95" t="b">
        <v>0</v>
      </c>
      <c r="Q95" t="b">
        <v>0</v>
      </c>
      <c r="R95" t="b">
        <v>1</v>
      </c>
      <c r="S95" t="b">
        <v>0</v>
      </c>
      <c r="T95" t="b">
        <v>1</v>
      </c>
      <c r="U95" t="b">
        <v>1</v>
      </c>
      <c r="V95" t="b">
        <v>1</v>
      </c>
      <c r="W95" t="b">
        <v>1</v>
      </c>
      <c r="X95" t="s">
        <v>151</v>
      </c>
      <c r="Y95" t="s">
        <v>3223</v>
      </c>
      <c r="AA95" t="s">
        <v>3023</v>
      </c>
      <c r="AB95" t="s">
        <v>3023</v>
      </c>
      <c r="AC95" t="s">
        <v>3296</v>
      </c>
      <c r="AD95" t="b">
        <v>0</v>
      </c>
      <c r="AE95" t="b">
        <v>1</v>
      </c>
      <c r="AF95" t="s">
        <v>1712</v>
      </c>
    </row>
    <row r="96" spans="1:32">
      <c r="A96" t="s">
        <v>160</v>
      </c>
      <c r="B96" t="s">
        <v>151</v>
      </c>
      <c r="C96" t="s">
        <v>193</v>
      </c>
      <c r="G96" t="s">
        <v>3294</v>
      </c>
      <c r="H96" t="s">
        <v>3295</v>
      </c>
      <c r="J96">
        <v>277</v>
      </c>
      <c r="K96">
        <v>0</v>
      </c>
      <c r="L96">
        <v>0</v>
      </c>
      <c r="M96">
        <v>91</v>
      </c>
      <c r="N96">
        <v>91</v>
      </c>
      <c r="O96" t="s">
        <v>3023</v>
      </c>
      <c r="P96" t="b">
        <v>0</v>
      </c>
      <c r="Q96" t="b">
        <v>0</v>
      </c>
      <c r="R96" t="b">
        <v>1</v>
      </c>
      <c r="S96" t="b">
        <v>0</v>
      </c>
      <c r="T96" t="b">
        <v>1</v>
      </c>
      <c r="U96" t="b">
        <v>1</v>
      </c>
      <c r="V96" t="b">
        <v>1</v>
      </c>
      <c r="W96" t="b">
        <v>1</v>
      </c>
      <c r="X96" t="s">
        <v>151</v>
      </c>
      <c r="Y96" t="s">
        <v>3223</v>
      </c>
      <c r="AA96" t="s">
        <v>3023</v>
      </c>
      <c r="AB96" t="s">
        <v>3023</v>
      </c>
      <c r="AC96" t="s">
        <v>3296</v>
      </c>
      <c r="AD96" t="b">
        <v>0</v>
      </c>
      <c r="AE96" t="b">
        <v>1</v>
      </c>
      <c r="AF96" t="s">
        <v>1712</v>
      </c>
    </row>
    <row r="97" spans="1:32">
      <c r="A97" t="s">
        <v>161</v>
      </c>
      <c r="B97" t="s">
        <v>151</v>
      </c>
      <c r="C97" t="s">
        <v>193</v>
      </c>
      <c r="G97" t="s">
        <v>3294</v>
      </c>
      <c r="H97" t="s">
        <v>3295</v>
      </c>
      <c r="J97">
        <v>277</v>
      </c>
      <c r="K97">
        <v>0</v>
      </c>
      <c r="L97">
        <v>0</v>
      </c>
      <c r="M97">
        <v>91</v>
      </c>
      <c r="N97">
        <v>91</v>
      </c>
      <c r="O97" t="s">
        <v>3023</v>
      </c>
      <c r="P97" t="b">
        <v>0</v>
      </c>
      <c r="Q97" t="b">
        <v>0</v>
      </c>
      <c r="R97" t="b">
        <v>1</v>
      </c>
      <c r="S97" t="b">
        <v>0</v>
      </c>
      <c r="T97" t="b">
        <v>1</v>
      </c>
      <c r="U97" t="b">
        <v>1</v>
      </c>
      <c r="V97" t="b">
        <v>1</v>
      </c>
      <c r="W97" t="b">
        <v>1</v>
      </c>
      <c r="X97" t="s">
        <v>151</v>
      </c>
      <c r="Y97" t="s">
        <v>3223</v>
      </c>
      <c r="AA97" t="s">
        <v>3023</v>
      </c>
      <c r="AB97" t="s">
        <v>3023</v>
      </c>
      <c r="AC97" t="s">
        <v>3296</v>
      </c>
      <c r="AD97" t="b">
        <v>0</v>
      </c>
      <c r="AE97" t="b">
        <v>1</v>
      </c>
      <c r="AF97" t="s">
        <v>1712</v>
      </c>
    </row>
    <row r="98" spans="1:32">
      <c r="A98" t="s">
        <v>162</v>
      </c>
      <c r="B98" t="s">
        <v>163</v>
      </c>
      <c r="C98" t="s">
        <v>3306</v>
      </c>
      <c r="D98">
        <v>125</v>
      </c>
      <c r="E98">
        <v>9</v>
      </c>
      <c r="F98" t="s">
        <v>3307</v>
      </c>
      <c r="G98" t="s">
        <v>3308</v>
      </c>
      <c r="H98" t="s">
        <v>3309</v>
      </c>
      <c r="J98">
        <v>124</v>
      </c>
      <c r="K98">
        <v>0</v>
      </c>
      <c r="L98">
        <v>0</v>
      </c>
      <c r="M98">
        <v>449</v>
      </c>
      <c r="N98">
        <v>5941</v>
      </c>
      <c r="O98" t="s">
        <v>682</v>
      </c>
      <c r="P98" t="b">
        <v>1</v>
      </c>
      <c r="Q98" t="b">
        <v>0</v>
      </c>
      <c r="R98" t="b">
        <v>1</v>
      </c>
      <c r="S98" t="b">
        <v>0</v>
      </c>
      <c r="T98" t="b">
        <v>1</v>
      </c>
      <c r="U98" t="b">
        <v>1</v>
      </c>
      <c r="V98" t="b">
        <v>1</v>
      </c>
      <c r="W98" t="b">
        <v>1</v>
      </c>
      <c r="X98" t="s">
        <v>163</v>
      </c>
      <c r="Y98" t="s">
        <v>2071</v>
      </c>
      <c r="AA98" t="s">
        <v>3023</v>
      </c>
      <c r="AB98" t="s">
        <v>3023</v>
      </c>
      <c r="AC98" t="s">
        <v>3310</v>
      </c>
      <c r="AD98" t="b">
        <v>1</v>
      </c>
      <c r="AE98" t="b">
        <v>1</v>
      </c>
      <c r="AF98" t="s">
        <v>684</v>
      </c>
    </row>
    <row r="99" spans="1:32">
      <c r="A99" t="s">
        <v>164</v>
      </c>
      <c r="B99" t="s">
        <v>165</v>
      </c>
      <c r="C99" t="s">
        <v>3311</v>
      </c>
      <c r="G99" t="s">
        <v>3312</v>
      </c>
      <c r="H99" t="s">
        <v>3313</v>
      </c>
      <c r="I99" t="s">
        <v>3314</v>
      </c>
      <c r="J99">
        <v>4</v>
      </c>
      <c r="K99">
        <v>0</v>
      </c>
      <c r="L99">
        <v>0</v>
      </c>
      <c r="M99">
        <v>38</v>
      </c>
      <c r="N99">
        <v>106</v>
      </c>
      <c r="O99" t="s">
        <v>682</v>
      </c>
      <c r="P99" t="b">
        <v>1</v>
      </c>
      <c r="Q99" t="b">
        <v>0</v>
      </c>
      <c r="R99" t="b">
        <v>1</v>
      </c>
      <c r="S99" t="b">
        <v>0</v>
      </c>
      <c r="T99" t="b">
        <v>1</v>
      </c>
      <c r="U99" t="b">
        <v>1</v>
      </c>
      <c r="V99" t="b">
        <v>1</v>
      </c>
      <c r="W99" t="b">
        <v>1</v>
      </c>
      <c r="X99" t="s">
        <v>165</v>
      </c>
      <c r="Y99" t="s">
        <v>2083</v>
      </c>
      <c r="AA99" t="s">
        <v>3023</v>
      </c>
      <c r="AB99" t="s">
        <v>3023</v>
      </c>
      <c r="AD99" t="b">
        <v>1</v>
      </c>
      <c r="AE99" t="b">
        <v>0</v>
      </c>
      <c r="AF99" t="s">
        <v>684</v>
      </c>
    </row>
    <row r="100" spans="1:32">
      <c r="A100" t="s">
        <v>166</v>
      </c>
      <c r="B100" t="s">
        <v>167</v>
      </c>
      <c r="C100" t="s">
        <v>3315</v>
      </c>
      <c r="G100" t="s">
        <v>3316</v>
      </c>
      <c r="H100" t="s">
        <v>3317</v>
      </c>
      <c r="J100">
        <v>14</v>
      </c>
      <c r="K100">
        <v>0</v>
      </c>
      <c r="L100">
        <v>0</v>
      </c>
      <c r="M100">
        <v>72</v>
      </c>
      <c r="N100">
        <v>308</v>
      </c>
      <c r="O100" t="s">
        <v>682</v>
      </c>
      <c r="P100" t="b">
        <v>1</v>
      </c>
      <c r="Q100" t="b">
        <v>0</v>
      </c>
      <c r="R100" t="b">
        <v>1</v>
      </c>
      <c r="S100" t="b">
        <v>0</v>
      </c>
      <c r="T100" t="b">
        <v>1</v>
      </c>
      <c r="U100" t="b">
        <v>0</v>
      </c>
      <c r="V100" t="b">
        <v>0</v>
      </c>
      <c r="W100" t="b">
        <v>0</v>
      </c>
      <c r="X100" t="s">
        <v>167</v>
      </c>
      <c r="Y100" t="s">
        <v>2098</v>
      </c>
      <c r="AA100" t="s">
        <v>3023</v>
      </c>
      <c r="AB100" t="s">
        <v>3023</v>
      </c>
      <c r="AC100" t="s">
        <v>3318</v>
      </c>
      <c r="AD100" t="b">
        <v>1</v>
      </c>
      <c r="AE100" t="b">
        <v>1</v>
      </c>
      <c r="AF100" t="s">
        <v>684</v>
      </c>
    </row>
    <row r="101" spans="1:32">
      <c r="A101" t="s">
        <v>168</v>
      </c>
      <c r="B101" t="s">
        <v>169</v>
      </c>
      <c r="C101" t="s">
        <v>3319</v>
      </c>
      <c r="G101" t="s">
        <v>3320</v>
      </c>
      <c r="H101" t="s">
        <v>3321</v>
      </c>
      <c r="J101">
        <v>13</v>
      </c>
      <c r="K101">
        <v>0</v>
      </c>
      <c r="L101">
        <v>0</v>
      </c>
      <c r="M101">
        <v>47</v>
      </c>
      <c r="N101">
        <v>67</v>
      </c>
      <c r="O101" t="s">
        <v>682</v>
      </c>
      <c r="P101" t="b">
        <v>1</v>
      </c>
      <c r="Q101" t="b">
        <v>0</v>
      </c>
      <c r="R101" t="b">
        <v>1</v>
      </c>
      <c r="S101" t="b">
        <v>0</v>
      </c>
      <c r="T101" t="b">
        <v>1</v>
      </c>
      <c r="U101" t="b">
        <v>0</v>
      </c>
      <c r="V101" t="b">
        <v>0</v>
      </c>
      <c r="W101" t="b">
        <v>1</v>
      </c>
      <c r="X101" t="s">
        <v>169</v>
      </c>
      <c r="Y101" t="s">
        <v>2112</v>
      </c>
      <c r="AA101" t="s">
        <v>3023</v>
      </c>
      <c r="AB101" t="s">
        <v>3023</v>
      </c>
      <c r="AC101" t="s">
        <v>3322</v>
      </c>
      <c r="AD101" t="b">
        <v>1</v>
      </c>
      <c r="AE101" t="b">
        <v>1</v>
      </c>
      <c r="AF101" t="s">
        <v>684</v>
      </c>
    </row>
  </sheetData>
  <phoneticPr fontId="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439"/>
  <sheetViews>
    <sheetView workbookViewId="0">
      <pane ySplit="1" topLeftCell="A2" activePane="bottomLeft" state="frozen"/>
      <selection pane="bottomLeft" activeCell="L21" sqref="L21"/>
    </sheetView>
  </sheetViews>
  <sheetFormatPr baseColWidth="10" defaultColWidth="8.83203125" defaultRowHeight="17"/>
  <cols>
    <col min="1" max="2" width="10" customWidth="1"/>
    <col min="3" max="3" width="13" customWidth="1"/>
    <col min="4" max="4" width="10" customWidth="1"/>
    <col min="5" max="5" width="13" customWidth="1"/>
    <col min="6" max="6" width="14" customWidth="1"/>
    <col min="7" max="7" width="27" customWidth="1"/>
    <col min="8" max="9" width="10" customWidth="1"/>
    <col min="10" max="10" width="13" customWidth="1"/>
    <col min="11" max="11" width="14" customWidth="1"/>
    <col min="12" max="12" width="70" customWidth="1"/>
    <col min="13" max="13" width="69" customWidth="1"/>
    <col min="14" max="14" width="11" customWidth="1"/>
    <col min="15" max="15" width="28" customWidth="1"/>
    <col min="16" max="16" width="11" customWidth="1"/>
  </cols>
  <sheetData>
    <row r="1" spans="1:16" ht="18">
      <c r="A1" s="1" t="s">
        <v>0</v>
      </c>
      <c r="B1" s="1" t="s">
        <v>3323</v>
      </c>
      <c r="C1" s="1" t="s">
        <v>3324</v>
      </c>
      <c r="D1" s="1" t="s">
        <v>3325</v>
      </c>
      <c r="E1" s="1" t="s">
        <v>3326</v>
      </c>
      <c r="F1" s="1" t="s">
        <v>3327</v>
      </c>
      <c r="G1" s="1" t="s">
        <v>3328</v>
      </c>
      <c r="H1" s="1" t="s">
        <v>3329</v>
      </c>
      <c r="I1" s="1" t="s">
        <v>3330</v>
      </c>
      <c r="J1" s="1" t="s">
        <v>3331</v>
      </c>
      <c r="K1" s="1" t="s">
        <v>3332</v>
      </c>
      <c r="L1" s="1" t="s">
        <v>3333</v>
      </c>
      <c r="M1" s="1" t="s">
        <v>3334</v>
      </c>
      <c r="N1" s="1" t="s">
        <v>3335</v>
      </c>
      <c r="O1" s="1" t="s">
        <v>3336</v>
      </c>
      <c r="P1" s="1" t="s">
        <v>3337</v>
      </c>
    </row>
    <row r="2" spans="1:16">
      <c r="A2" t="s">
        <v>21</v>
      </c>
      <c r="B2">
        <v>0</v>
      </c>
      <c r="G2" t="s">
        <v>3338</v>
      </c>
      <c r="I2" t="s">
        <v>3338</v>
      </c>
      <c r="N2" t="s">
        <v>3339</v>
      </c>
      <c r="O2" t="s">
        <v>3340</v>
      </c>
      <c r="P2">
        <v>41241229</v>
      </c>
    </row>
    <row r="3" spans="1:16">
      <c r="A3" t="s">
        <v>21</v>
      </c>
      <c r="B3">
        <v>1</v>
      </c>
      <c r="E3" t="s">
        <v>3339</v>
      </c>
      <c r="F3" t="s">
        <v>3340</v>
      </c>
      <c r="G3" t="s">
        <v>3341</v>
      </c>
      <c r="I3" t="s">
        <v>3338</v>
      </c>
      <c r="J3" t="s">
        <v>2232</v>
      </c>
      <c r="K3" t="s">
        <v>2233</v>
      </c>
      <c r="L3" t="s">
        <v>3342</v>
      </c>
      <c r="N3" t="s">
        <v>3343</v>
      </c>
      <c r="O3" t="s">
        <v>3344</v>
      </c>
      <c r="P3">
        <v>41241229</v>
      </c>
    </row>
    <row r="4" spans="1:16">
      <c r="A4" t="s">
        <v>21</v>
      </c>
      <c r="B4">
        <v>1</v>
      </c>
      <c r="E4" t="s">
        <v>3339</v>
      </c>
      <c r="F4" t="s">
        <v>3340</v>
      </c>
      <c r="G4" t="s">
        <v>3341</v>
      </c>
      <c r="I4" t="s">
        <v>3338</v>
      </c>
      <c r="J4" t="s">
        <v>2232</v>
      </c>
      <c r="K4" t="s">
        <v>2233</v>
      </c>
      <c r="L4" t="s">
        <v>3342</v>
      </c>
      <c r="N4" t="s">
        <v>3345</v>
      </c>
      <c r="O4" t="s">
        <v>3346</v>
      </c>
      <c r="P4">
        <v>41241229</v>
      </c>
    </row>
    <row r="5" spans="1:16">
      <c r="A5" t="s">
        <v>21</v>
      </c>
      <c r="B5">
        <v>0</v>
      </c>
      <c r="G5" t="s">
        <v>3338</v>
      </c>
      <c r="I5" t="s">
        <v>3338</v>
      </c>
      <c r="N5" t="s">
        <v>3347</v>
      </c>
      <c r="O5" t="s">
        <v>3344</v>
      </c>
      <c r="P5">
        <v>41241229</v>
      </c>
    </row>
    <row r="6" spans="1:16">
      <c r="A6" t="s">
        <v>21</v>
      </c>
      <c r="B6">
        <v>1</v>
      </c>
      <c r="E6" t="s">
        <v>3347</v>
      </c>
      <c r="F6" t="s">
        <v>3344</v>
      </c>
      <c r="G6" t="s">
        <v>3348</v>
      </c>
      <c r="I6" t="s">
        <v>3338</v>
      </c>
      <c r="J6" t="s">
        <v>2232</v>
      </c>
      <c r="K6" t="s">
        <v>2233</v>
      </c>
      <c r="L6" t="s">
        <v>3342</v>
      </c>
      <c r="N6" t="s">
        <v>3349</v>
      </c>
      <c r="O6" t="s">
        <v>3350</v>
      </c>
      <c r="P6">
        <v>41241229</v>
      </c>
    </row>
    <row r="7" spans="1:16">
      <c r="A7" t="s">
        <v>21</v>
      </c>
      <c r="B7">
        <v>1</v>
      </c>
      <c r="E7" t="s">
        <v>3347</v>
      </c>
      <c r="F7" t="s">
        <v>3344</v>
      </c>
      <c r="G7" t="s">
        <v>3348</v>
      </c>
      <c r="I7" t="s">
        <v>3338</v>
      </c>
      <c r="L7" t="s">
        <v>193</v>
      </c>
      <c r="N7" t="s">
        <v>3351</v>
      </c>
      <c r="O7" t="s">
        <v>3352</v>
      </c>
      <c r="P7">
        <v>41241229</v>
      </c>
    </row>
    <row r="8" spans="1:16">
      <c r="A8" t="s">
        <v>21</v>
      </c>
      <c r="B8">
        <v>2</v>
      </c>
      <c r="E8" t="s">
        <v>3351</v>
      </c>
      <c r="F8" t="s">
        <v>3352</v>
      </c>
      <c r="G8" t="s">
        <v>3353</v>
      </c>
      <c r="I8" t="s">
        <v>3338</v>
      </c>
      <c r="J8" t="s">
        <v>2421</v>
      </c>
      <c r="K8" t="s">
        <v>3354</v>
      </c>
      <c r="L8" t="s">
        <v>3355</v>
      </c>
      <c r="N8" t="s">
        <v>3356</v>
      </c>
      <c r="O8" t="s">
        <v>3357</v>
      </c>
      <c r="P8">
        <v>41241229</v>
      </c>
    </row>
    <row r="9" spans="1:16">
      <c r="A9" t="s">
        <v>21</v>
      </c>
      <c r="B9">
        <v>2</v>
      </c>
      <c r="E9" t="s">
        <v>3351</v>
      </c>
      <c r="F9" t="s">
        <v>3352</v>
      </c>
      <c r="G9" t="s">
        <v>3353</v>
      </c>
      <c r="I9" t="s">
        <v>3338</v>
      </c>
      <c r="J9" t="s">
        <v>2421</v>
      </c>
      <c r="K9" t="s">
        <v>3354</v>
      </c>
      <c r="L9" t="s">
        <v>3355</v>
      </c>
      <c r="N9" t="s">
        <v>3358</v>
      </c>
      <c r="O9" t="s">
        <v>3359</v>
      </c>
      <c r="P9">
        <v>41241229</v>
      </c>
    </row>
    <row r="10" spans="1:16">
      <c r="A10" t="s">
        <v>21</v>
      </c>
      <c r="B10">
        <v>2</v>
      </c>
      <c r="E10" t="s">
        <v>3351</v>
      </c>
      <c r="F10" t="s">
        <v>3352</v>
      </c>
      <c r="G10" t="s">
        <v>3353</v>
      </c>
      <c r="I10" t="s">
        <v>3338</v>
      </c>
      <c r="J10" t="s">
        <v>2421</v>
      </c>
      <c r="K10" t="s">
        <v>3354</v>
      </c>
      <c r="L10" t="s">
        <v>3355</v>
      </c>
      <c r="N10" t="s">
        <v>3360</v>
      </c>
      <c r="O10" t="s">
        <v>3361</v>
      </c>
      <c r="P10">
        <v>41241229</v>
      </c>
    </row>
    <row r="11" spans="1:16">
      <c r="A11" t="s">
        <v>21</v>
      </c>
      <c r="B11">
        <v>1</v>
      </c>
      <c r="E11" t="s">
        <v>3347</v>
      </c>
      <c r="F11" t="s">
        <v>3344</v>
      </c>
      <c r="G11" t="s">
        <v>3348</v>
      </c>
      <c r="I11" t="s">
        <v>3338</v>
      </c>
      <c r="J11" t="s">
        <v>2236</v>
      </c>
      <c r="K11" t="s">
        <v>3362</v>
      </c>
      <c r="L11" t="s">
        <v>3363</v>
      </c>
      <c r="N11" t="s">
        <v>3364</v>
      </c>
      <c r="O11" t="s">
        <v>3365</v>
      </c>
      <c r="P11">
        <v>41241229</v>
      </c>
    </row>
    <row r="12" spans="1:16">
      <c r="A12" t="s">
        <v>21</v>
      </c>
      <c r="B12">
        <v>1</v>
      </c>
      <c r="E12" t="s">
        <v>3347</v>
      </c>
      <c r="F12" t="s">
        <v>3344</v>
      </c>
      <c r="G12" t="s">
        <v>3348</v>
      </c>
      <c r="I12" t="s">
        <v>3338</v>
      </c>
      <c r="L12" t="s">
        <v>193</v>
      </c>
      <c r="N12" t="s">
        <v>3366</v>
      </c>
      <c r="O12" t="s">
        <v>3367</v>
      </c>
      <c r="P12">
        <v>41241229</v>
      </c>
    </row>
    <row r="13" spans="1:16">
      <c r="A13" t="s">
        <v>21</v>
      </c>
      <c r="B13">
        <v>2</v>
      </c>
      <c r="E13" t="s">
        <v>3366</v>
      </c>
      <c r="F13" t="s">
        <v>3367</v>
      </c>
      <c r="G13" t="s">
        <v>3368</v>
      </c>
      <c r="I13" t="s">
        <v>3338</v>
      </c>
      <c r="J13" t="s">
        <v>2421</v>
      </c>
      <c r="K13" t="s">
        <v>3354</v>
      </c>
      <c r="L13" t="s">
        <v>3369</v>
      </c>
      <c r="N13" t="s">
        <v>3370</v>
      </c>
      <c r="O13" t="s">
        <v>3359</v>
      </c>
      <c r="P13">
        <v>41241229</v>
      </c>
    </row>
    <row r="14" spans="1:16">
      <c r="A14" t="s">
        <v>21</v>
      </c>
      <c r="B14">
        <v>2</v>
      </c>
      <c r="E14" t="s">
        <v>3366</v>
      </c>
      <c r="F14" t="s">
        <v>3367</v>
      </c>
      <c r="G14" t="s">
        <v>3368</v>
      </c>
      <c r="I14" t="s">
        <v>3338</v>
      </c>
      <c r="J14" t="s">
        <v>2421</v>
      </c>
      <c r="K14" t="s">
        <v>3354</v>
      </c>
      <c r="L14" t="s">
        <v>3369</v>
      </c>
      <c r="N14" t="s">
        <v>3371</v>
      </c>
      <c r="O14" t="s">
        <v>3372</v>
      </c>
      <c r="P14">
        <v>41241229</v>
      </c>
    </row>
    <row r="15" spans="1:16">
      <c r="A15" t="s">
        <v>21</v>
      </c>
      <c r="B15">
        <v>2</v>
      </c>
      <c r="E15" t="s">
        <v>3366</v>
      </c>
      <c r="F15" t="s">
        <v>3367</v>
      </c>
      <c r="G15" t="s">
        <v>3368</v>
      </c>
      <c r="I15" t="s">
        <v>3338</v>
      </c>
      <c r="J15" t="s">
        <v>2421</v>
      </c>
      <c r="K15" t="s">
        <v>3354</v>
      </c>
      <c r="L15" t="s">
        <v>3369</v>
      </c>
      <c r="N15" t="s">
        <v>3373</v>
      </c>
      <c r="O15" t="s">
        <v>3374</v>
      </c>
      <c r="P15">
        <v>41241229</v>
      </c>
    </row>
    <row r="16" spans="1:16">
      <c r="A16" t="s">
        <v>21</v>
      </c>
      <c r="B16">
        <v>2</v>
      </c>
      <c r="E16" t="s">
        <v>3366</v>
      </c>
      <c r="F16" t="s">
        <v>3367</v>
      </c>
      <c r="G16" t="s">
        <v>3368</v>
      </c>
      <c r="I16" t="s">
        <v>3338</v>
      </c>
      <c r="J16" t="s">
        <v>2236</v>
      </c>
      <c r="K16" t="s">
        <v>3362</v>
      </c>
      <c r="L16" t="s">
        <v>3363</v>
      </c>
      <c r="N16" t="s">
        <v>3375</v>
      </c>
      <c r="O16" t="s">
        <v>3376</v>
      </c>
      <c r="P16">
        <v>41241229</v>
      </c>
    </row>
    <row r="17" spans="1:16">
      <c r="A17" t="s">
        <v>21</v>
      </c>
      <c r="B17">
        <v>0</v>
      </c>
      <c r="G17" t="s">
        <v>3338</v>
      </c>
      <c r="I17" t="s">
        <v>3338</v>
      </c>
      <c r="N17" t="s">
        <v>3377</v>
      </c>
      <c r="O17" t="s">
        <v>3346</v>
      </c>
      <c r="P17">
        <v>41241229</v>
      </c>
    </row>
    <row r="18" spans="1:16">
      <c r="A18" t="s">
        <v>21</v>
      </c>
      <c r="B18">
        <v>1</v>
      </c>
      <c r="E18" t="s">
        <v>3377</v>
      </c>
      <c r="F18" t="s">
        <v>3346</v>
      </c>
      <c r="G18" t="s">
        <v>3378</v>
      </c>
      <c r="I18" t="s">
        <v>3338</v>
      </c>
      <c r="L18" t="s">
        <v>193</v>
      </c>
      <c r="N18" t="s">
        <v>3379</v>
      </c>
      <c r="O18" t="s">
        <v>3380</v>
      </c>
      <c r="P18">
        <v>41241229</v>
      </c>
    </row>
    <row r="19" spans="1:16">
      <c r="A19" t="s">
        <v>21</v>
      </c>
      <c r="B19">
        <v>2</v>
      </c>
      <c r="E19" t="s">
        <v>3379</v>
      </c>
      <c r="F19" t="s">
        <v>3380</v>
      </c>
      <c r="G19" t="s">
        <v>3381</v>
      </c>
      <c r="I19" t="s">
        <v>3338</v>
      </c>
      <c r="J19" t="s">
        <v>2421</v>
      </c>
      <c r="K19" t="s">
        <v>3354</v>
      </c>
      <c r="L19" t="s">
        <v>3369</v>
      </c>
      <c r="N19" t="s">
        <v>3382</v>
      </c>
      <c r="O19" t="s">
        <v>3352</v>
      </c>
      <c r="P19">
        <v>41241229</v>
      </c>
    </row>
    <row r="20" spans="1:16">
      <c r="A20" t="s">
        <v>21</v>
      </c>
      <c r="B20">
        <v>2</v>
      </c>
      <c r="E20" t="s">
        <v>3379</v>
      </c>
      <c r="F20" t="s">
        <v>3380</v>
      </c>
      <c r="G20" t="s">
        <v>3381</v>
      </c>
      <c r="I20" t="s">
        <v>3338</v>
      </c>
      <c r="L20" t="s">
        <v>3383</v>
      </c>
      <c r="N20" t="s">
        <v>3384</v>
      </c>
      <c r="O20" t="s">
        <v>3385</v>
      </c>
      <c r="P20">
        <v>41241229</v>
      </c>
    </row>
    <row r="21" spans="1:16">
      <c r="A21" t="s">
        <v>21</v>
      </c>
      <c r="B21">
        <v>2</v>
      </c>
      <c r="E21" t="s">
        <v>3379</v>
      </c>
      <c r="F21" t="s">
        <v>3380</v>
      </c>
      <c r="G21" t="s">
        <v>3381</v>
      </c>
      <c r="I21" t="s">
        <v>3338</v>
      </c>
      <c r="J21" t="s">
        <v>2232</v>
      </c>
      <c r="K21" t="s">
        <v>2233</v>
      </c>
      <c r="L21" t="s">
        <v>3342</v>
      </c>
      <c r="N21" t="s">
        <v>3386</v>
      </c>
      <c r="O21" t="s">
        <v>3350</v>
      </c>
      <c r="P21">
        <v>41241229</v>
      </c>
    </row>
    <row r="22" spans="1:16">
      <c r="A22" t="s">
        <v>21</v>
      </c>
      <c r="B22">
        <v>1</v>
      </c>
      <c r="E22" t="s">
        <v>3377</v>
      </c>
      <c r="F22" t="s">
        <v>3346</v>
      </c>
      <c r="G22" t="s">
        <v>3378</v>
      </c>
      <c r="I22" t="s">
        <v>3338</v>
      </c>
      <c r="L22" t="s">
        <v>193</v>
      </c>
      <c r="N22" t="s">
        <v>3387</v>
      </c>
      <c r="O22" t="s">
        <v>3388</v>
      </c>
      <c r="P22">
        <v>41241229</v>
      </c>
    </row>
    <row r="23" spans="1:16">
      <c r="A23" t="s">
        <v>21</v>
      </c>
      <c r="B23">
        <v>2</v>
      </c>
      <c r="E23" t="s">
        <v>3387</v>
      </c>
      <c r="F23" t="s">
        <v>3388</v>
      </c>
      <c r="G23" t="s">
        <v>3389</v>
      </c>
      <c r="I23" t="s">
        <v>3338</v>
      </c>
      <c r="L23" t="s">
        <v>3369</v>
      </c>
      <c r="N23" t="s">
        <v>3390</v>
      </c>
      <c r="O23" t="s">
        <v>3352</v>
      </c>
      <c r="P23">
        <v>41241229</v>
      </c>
    </row>
    <row r="24" spans="1:16">
      <c r="A24" t="s">
        <v>21</v>
      </c>
      <c r="B24">
        <v>2</v>
      </c>
      <c r="E24" t="s">
        <v>3387</v>
      </c>
      <c r="F24" t="s">
        <v>3388</v>
      </c>
      <c r="G24" t="s">
        <v>3389</v>
      </c>
      <c r="I24" t="s">
        <v>3338</v>
      </c>
      <c r="L24" t="s">
        <v>3342</v>
      </c>
      <c r="N24" t="s">
        <v>3391</v>
      </c>
      <c r="O24" t="s">
        <v>3392</v>
      </c>
      <c r="P24">
        <v>41241229</v>
      </c>
    </row>
    <row r="25" spans="1:16">
      <c r="A25" t="s">
        <v>21</v>
      </c>
      <c r="B25">
        <v>2</v>
      </c>
      <c r="E25" t="s">
        <v>3387</v>
      </c>
      <c r="F25" t="s">
        <v>3388</v>
      </c>
      <c r="G25" t="s">
        <v>3389</v>
      </c>
      <c r="I25" t="s">
        <v>3338</v>
      </c>
      <c r="L25" t="s">
        <v>3383</v>
      </c>
      <c r="N25" t="s">
        <v>3393</v>
      </c>
      <c r="O25" t="s">
        <v>3385</v>
      </c>
      <c r="P25">
        <v>41241229</v>
      </c>
    </row>
    <row r="26" spans="1:16">
      <c r="A26" t="s">
        <v>21</v>
      </c>
      <c r="B26">
        <v>2</v>
      </c>
      <c r="E26" t="s">
        <v>3387</v>
      </c>
      <c r="F26" t="s">
        <v>3388</v>
      </c>
      <c r="G26" t="s">
        <v>3389</v>
      </c>
      <c r="I26" t="s">
        <v>3338</v>
      </c>
      <c r="L26" t="s">
        <v>3342</v>
      </c>
      <c r="N26" t="s">
        <v>3394</v>
      </c>
      <c r="O26" t="s">
        <v>3350</v>
      </c>
      <c r="P26">
        <v>41241229</v>
      </c>
    </row>
    <row r="27" spans="1:16">
      <c r="A27" t="s">
        <v>21</v>
      </c>
      <c r="B27">
        <v>0</v>
      </c>
      <c r="G27" t="s">
        <v>3338</v>
      </c>
      <c r="I27" t="s">
        <v>3338</v>
      </c>
      <c r="N27" t="s">
        <v>3395</v>
      </c>
      <c r="O27" t="s">
        <v>3396</v>
      </c>
      <c r="P27">
        <v>41241229</v>
      </c>
    </row>
    <row r="28" spans="1:16">
      <c r="A28" t="s">
        <v>21</v>
      </c>
      <c r="B28">
        <v>1</v>
      </c>
      <c r="E28" t="s">
        <v>3395</v>
      </c>
      <c r="F28" t="s">
        <v>3396</v>
      </c>
      <c r="G28" t="s">
        <v>3397</v>
      </c>
      <c r="I28" t="s">
        <v>3338</v>
      </c>
      <c r="L28" t="s">
        <v>3342</v>
      </c>
      <c r="N28" t="s">
        <v>3398</v>
      </c>
      <c r="O28" t="s">
        <v>3399</v>
      </c>
      <c r="P28">
        <v>41241229</v>
      </c>
    </row>
    <row r="29" spans="1:16">
      <c r="A29" t="s">
        <v>21</v>
      </c>
      <c r="B29">
        <v>1</v>
      </c>
      <c r="E29" t="s">
        <v>3395</v>
      </c>
      <c r="F29" t="s">
        <v>3396</v>
      </c>
      <c r="G29" t="s">
        <v>3397</v>
      </c>
      <c r="I29" t="s">
        <v>3338</v>
      </c>
      <c r="J29" t="s">
        <v>2232</v>
      </c>
      <c r="K29" t="s">
        <v>2233</v>
      </c>
      <c r="L29" t="s">
        <v>3342</v>
      </c>
      <c r="N29" t="s">
        <v>3400</v>
      </c>
      <c r="O29" t="s">
        <v>3401</v>
      </c>
      <c r="P29">
        <v>41241229</v>
      </c>
    </row>
    <row r="30" spans="1:16">
      <c r="A30" t="s">
        <v>21</v>
      </c>
      <c r="B30">
        <v>1</v>
      </c>
      <c r="E30" t="s">
        <v>3395</v>
      </c>
      <c r="F30" t="s">
        <v>3396</v>
      </c>
      <c r="G30" t="s">
        <v>3397</v>
      </c>
      <c r="I30" t="s">
        <v>3338</v>
      </c>
      <c r="L30" t="s">
        <v>3342</v>
      </c>
      <c r="N30" t="s">
        <v>3402</v>
      </c>
      <c r="O30" t="s">
        <v>3403</v>
      </c>
      <c r="P30">
        <v>41241229</v>
      </c>
    </row>
    <row r="31" spans="1:16">
      <c r="A31" t="s">
        <v>21</v>
      </c>
      <c r="B31">
        <v>1</v>
      </c>
      <c r="E31" t="s">
        <v>3395</v>
      </c>
      <c r="F31" t="s">
        <v>3396</v>
      </c>
      <c r="G31" t="s">
        <v>3397</v>
      </c>
      <c r="I31" t="s">
        <v>3338</v>
      </c>
      <c r="L31" t="s">
        <v>3342</v>
      </c>
      <c r="N31" t="s">
        <v>3404</v>
      </c>
      <c r="O31" t="s">
        <v>3405</v>
      </c>
      <c r="P31">
        <v>41241229</v>
      </c>
    </row>
    <row r="32" spans="1:16">
      <c r="A32" t="s">
        <v>21</v>
      </c>
      <c r="B32">
        <v>0</v>
      </c>
      <c r="G32" t="s">
        <v>3338</v>
      </c>
      <c r="I32" t="s">
        <v>3338</v>
      </c>
      <c r="N32" t="s">
        <v>3406</v>
      </c>
      <c r="O32" t="s">
        <v>3407</v>
      </c>
      <c r="P32">
        <v>41241229</v>
      </c>
    </row>
    <row r="33" spans="1:16">
      <c r="A33" t="s">
        <v>21</v>
      </c>
      <c r="B33">
        <v>1</v>
      </c>
      <c r="E33" t="s">
        <v>3406</v>
      </c>
      <c r="F33" t="s">
        <v>3407</v>
      </c>
      <c r="G33" t="s">
        <v>3408</v>
      </c>
      <c r="I33" t="s">
        <v>3338</v>
      </c>
      <c r="J33" t="s">
        <v>2421</v>
      </c>
      <c r="K33" t="s">
        <v>3354</v>
      </c>
      <c r="L33" t="s">
        <v>3369</v>
      </c>
      <c r="N33" t="s">
        <v>3409</v>
      </c>
      <c r="O33" t="s">
        <v>3410</v>
      </c>
      <c r="P33">
        <v>41241229</v>
      </c>
    </row>
    <row r="34" spans="1:16">
      <c r="A34" t="s">
        <v>21</v>
      </c>
      <c r="B34">
        <v>1</v>
      </c>
      <c r="E34" t="s">
        <v>3406</v>
      </c>
      <c r="F34" t="s">
        <v>3407</v>
      </c>
      <c r="G34" t="s">
        <v>3408</v>
      </c>
      <c r="I34" t="s">
        <v>3338</v>
      </c>
      <c r="L34" t="s">
        <v>193</v>
      </c>
      <c r="N34" t="s">
        <v>3411</v>
      </c>
      <c r="O34" t="s">
        <v>3412</v>
      </c>
      <c r="P34">
        <v>41241229</v>
      </c>
    </row>
    <row r="35" spans="1:16">
      <c r="A35" t="s">
        <v>21</v>
      </c>
      <c r="B35">
        <v>2</v>
      </c>
      <c r="E35" t="s">
        <v>3411</v>
      </c>
      <c r="F35" t="s">
        <v>3412</v>
      </c>
      <c r="G35" t="s">
        <v>3413</v>
      </c>
      <c r="I35" t="s">
        <v>3338</v>
      </c>
      <c r="L35" t="s">
        <v>3342</v>
      </c>
      <c r="N35" t="s">
        <v>3414</v>
      </c>
      <c r="O35" t="s">
        <v>3415</v>
      </c>
      <c r="P35">
        <v>41241229</v>
      </c>
    </row>
    <row r="36" spans="1:16">
      <c r="A36" t="s">
        <v>21</v>
      </c>
      <c r="B36">
        <v>2</v>
      </c>
      <c r="E36" t="s">
        <v>3411</v>
      </c>
      <c r="F36" t="s">
        <v>3412</v>
      </c>
      <c r="G36" t="s">
        <v>3413</v>
      </c>
      <c r="I36" t="s">
        <v>3338</v>
      </c>
      <c r="J36" t="s">
        <v>2232</v>
      </c>
      <c r="K36" t="s">
        <v>2233</v>
      </c>
      <c r="L36" t="s">
        <v>3342</v>
      </c>
      <c r="N36" t="s">
        <v>3416</v>
      </c>
      <c r="O36" t="s">
        <v>3417</v>
      </c>
      <c r="P36">
        <v>41241229</v>
      </c>
    </row>
    <row r="37" spans="1:16">
      <c r="A37" t="s">
        <v>21</v>
      </c>
      <c r="B37">
        <v>2</v>
      </c>
      <c r="E37" t="s">
        <v>3411</v>
      </c>
      <c r="F37" t="s">
        <v>3412</v>
      </c>
      <c r="G37" t="s">
        <v>3413</v>
      </c>
      <c r="I37" t="s">
        <v>3338</v>
      </c>
      <c r="J37" t="s">
        <v>2232</v>
      </c>
      <c r="K37" t="s">
        <v>2233</v>
      </c>
      <c r="L37" t="s">
        <v>3342</v>
      </c>
      <c r="N37" t="s">
        <v>3418</v>
      </c>
      <c r="O37" t="s">
        <v>3419</v>
      </c>
      <c r="P37">
        <v>41241229</v>
      </c>
    </row>
    <row r="38" spans="1:16">
      <c r="A38" t="s">
        <v>21</v>
      </c>
      <c r="B38">
        <v>2</v>
      </c>
      <c r="E38" t="s">
        <v>3411</v>
      </c>
      <c r="F38" t="s">
        <v>3412</v>
      </c>
      <c r="G38" t="s">
        <v>3413</v>
      </c>
      <c r="I38" t="s">
        <v>3338</v>
      </c>
      <c r="L38" t="s">
        <v>3342</v>
      </c>
      <c r="N38" t="s">
        <v>3420</v>
      </c>
      <c r="O38" t="s">
        <v>3421</v>
      </c>
      <c r="P38">
        <v>41241229</v>
      </c>
    </row>
    <row r="39" spans="1:16">
      <c r="A39" t="s">
        <v>21</v>
      </c>
      <c r="B39">
        <v>2</v>
      </c>
      <c r="E39" t="s">
        <v>3411</v>
      </c>
      <c r="F39" t="s">
        <v>3412</v>
      </c>
      <c r="G39" t="s">
        <v>3413</v>
      </c>
      <c r="I39" t="s">
        <v>3338</v>
      </c>
      <c r="J39" t="s">
        <v>2232</v>
      </c>
      <c r="K39" t="s">
        <v>2233</v>
      </c>
      <c r="L39" t="s">
        <v>3342</v>
      </c>
      <c r="N39" t="s">
        <v>3422</v>
      </c>
      <c r="O39" t="s">
        <v>3423</v>
      </c>
      <c r="P39">
        <v>41241229</v>
      </c>
    </row>
    <row r="40" spans="1:16">
      <c r="A40" t="s">
        <v>21</v>
      </c>
      <c r="B40">
        <v>0</v>
      </c>
      <c r="G40" t="s">
        <v>3338</v>
      </c>
      <c r="I40" t="s">
        <v>3338</v>
      </c>
      <c r="N40" t="s">
        <v>3424</v>
      </c>
      <c r="O40" t="s">
        <v>3425</v>
      </c>
      <c r="P40">
        <v>41241229</v>
      </c>
    </row>
    <row r="41" spans="1:16">
      <c r="A41" t="s">
        <v>21</v>
      </c>
      <c r="B41">
        <v>1</v>
      </c>
      <c r="E41" t="s">
        <v>3424</v>
      </c>
      <c r="F41" t="s">
        <v>3425</v>
      </c>
      <c r="G41" t="s">
        <v>3426</v>
      </c>
      <c r="I41" t="s">
        <v>3338</v>
      </c>
      <c r="J41" t="s">
        <v>2421</v>
      </c>
      <c r="K41" t="s">
        <v>3354</v>
      </c>
      <c r="L41" t="s">
        <v>3369</v>
      </c>
      <c r="N41" t="s">
        <v>3427</v>
      </c>
      <c r="O41" t="s">
        <v>3428</v>
      </c>
      <c r="P41">
        <v>41241229</v>
      </c>
    </row>
    <row r="42" spans="1:16">
      <c r="A42" t="s">
        <v>21</v>
      </c>
      <c r="B42">
        <v>1</v>
      </c>
      <c r="E42" t="s">
        <v>3424</v>
      </c>
      <c r="F42" t="s">
        <v>3425</v>
      </c>
      <c r="G42" t="s">
        <v>3426</v>
      </c>
      <c r="I42" t="s">
        <v>3338</v>
      </c>
      <c r="J42" t="s">
        <v>2421</v>
      </c>
      <c r="K42" t="s">
        <v>3354</v>
      </c>
      <c r="L42" t="s">
        <v>3369</v>
      </c>
      <c r="N42" t="s">
        <v>3429</v>
      </c>
      <c r="O42" t="s">
        <v>3430</v>
      </c>
      <c r="P42">
        <v>41241229</v>
      </c>
    </row>
    <row r="43" spans="1:16">
      <c r="A43" t="s">
        <v>21</v>
      </c>
      <c r="B43">
        <v>1</v>
      </c>
      <c r="E43" t="s">
        <v>3424</v>
      </c>
      <c r="F43" t="s">
        <v>3425</v>
      </c>
      <c r="G43" t="s">
        <v>3426</v>
      </c>
      <c r="I43" t="s">
        <v>3338</v>
      </c>
      <c r="J43" t="s">
        <v>2232</v>
      </c>
      <c r="K43" t="s">
        <v>2233</v>
      </c>
      <c r="L43" t="s">
        <v>3342</v>
      </c>
      <c r="N43" t="s">
        <v>3431</v>
      </c>
      <c r="O43" t="s">
        <v>3432</v>
      </c>
      <c r="P43">
        <v>41241229</v>
      </c>
    </row>
    <row r="44" spans="1:16">
      <c r="A44" t="s">
        <v>21</v>
      </c>
      <c r="B44">
        <v>0</v>
      </c>
      <c r="G44" t="s">
        <v>3338</v>
      </c>
      <c r="I44" t="s">
        <v>3338</v>
      </c>
      <c r="N44" t="s">
        <v>3433</v>
      </c>
      <c r="O44" t="s">
        <v>3434</v>
      </c>
      <c r="P44">
        <v>41241229</v>
      </c>
    </row>
    <row r="45" spans="1:16">
      <c r="A45" t="s">
        <v>21</v>
      </c>
      <c r="B45">
        <v>1</v>
      </c>
      <c r="E45" t="s">
        <v>3433</v>
      </c>
      <c r="F45" t="s">
        <v>3434</v>
      </c>
      <c r="G45" t="s">
        <v>3435</v>
      </c>
      <c r="I45" t="s">
        <v>3338</v>
      </c>
      <c r="J45" t="s">
        <v>2232</v>
      </c>
      <c r="K45" t="s">
        <v>2233</v>
      </c>
      <c r="L45" t="s">
        <v>3342</v>
      </c>
      <c r="N45" t="s">
        <v>3436</v>
      </c>
      <c r="O45" t="s">
        <v>3437</v>
      </c>
      <c r="P45">
        <v>41241229</v>
      </c>
    </row>
    <row r="46" spans="1:16">
      <c r="A46" t="s">
        <v>21</v>
      </c>
      <c r="B46">
        <v>1</v>
      </c>
      <c r="E46" t="s">
        <v>3433</v>
      </c>
      <c r="F46" t="s">
        <v>3434</v>
      </c>
      <c r="G46" t="s">
        <v>3435</v>
      </c>
      <c r="I46" t="s">
        <v>3338</v>
      </c>
      <c r="J46" t="s">
        <v>2232</v>
      </c>
      <c r="K46" t="s">
        <v>2233</v>
      </c>
      <c r="L46" t="s">
        <v>3342</v>
      </c>
      <c r="N46" t="s">
        <v>3438</v>
      </c>
      <c r="O46" t="s">
        <v>3439</v>
      </c>
      <c r="P46">
        <v>41241229</v>
      </c>
    </row>
    <row r="47" spans="1:16">
      <c r="A47" t="s">
        <v>21</v>
      </c>
      <c r="B47">
        <v>1</v>
      </c>
      <c r="E47" t="s">
        <v>3433</v>
      </c>
      <c r="F47" t="s">
        <v>3434</v>
      </c>
      <c r="G47" t="s">
        <v>3435</v>
      </c>
      <c r="I47" t="s">
        <v>3338</v>
      </c>
      <c r="J47" t="s">
        <v>2232</v>
      </c>
      <c r="K47" t="s">
        <v>2233</v>
      </c>
      <c r="L47" t="s">
        <v>3342</v>
      </c>
      <c r="N47" t="s">
        <v>3440</v>
      </c>
      <c r="O47" t="s">
        <v>3441</v>
      </c>
      <c r="P47">
        <v>41241229</v>
      </c>
    </row>
    <row r="48" spans="1:16">
      <c r="A48" t="s">
        <v>21</v>
      </c>
      <c r="B48">
        <v>1</v>
      </c>
      <c r="E48" t="s">
        <v>3433</v>
      </c>
      <c r="F48" t="s">
        <v>3434</v>
      </c>
      <c r="G48" t="s">
        <v>3435</v>
      </c>
      <c r="I48" t="s">
        <v>3338</v>
      </c>
      <c r="J48" t="s">
        <v>2232</v>
      </c>
      <c r="K48" t="s">
        <v>2233</v>
      </c>
      <c r="L48" t="s">
        <v>3342</v>
      </c>
      <c r="N48" t="s">
        <v>3442</v>
      </c>
      <c r="O48" t="s">
        <v>3443</v>
      </c>
      <c r="P48">
        <v>41241229</v>
      </c>
    </row>
    <row r="49" spans="1:16">
      <c r="A49" t="s">
        <v>21</v>
      </c>
      <c r="B49">
        <v>1</v>
      </c>
      <c r="E49" t="s">
        <v>3433</v>
      </c>
      <c r="F49" t="s">
        <v>3434</v>
      </c>
      <c r="G49" t="s">
        <v>3435</v>
      </c>
      <c r="I49" t="s">
        <v>3338</v>
      </c>
      <c r="J49" t="s">
        <v>2232</v>
      </c>
      <c r="K49" t="s">
        <v>2233</v>
      </c>
      <c r="L49" t="s">
        <v>3342</v>
      </c>
      <c r="N49" t="s">
        <v>3444</v>
      </c>
      <c r="O49" t="s">
        <v>3445</v>
      </c>
      <c r="P49">
        <v>41241229</v>
      </c>
    </row>
    <row r="50" spans="1:16">
      <c r="A50" t="s">
        <v>21</v>
      </c>
      <c r="B50">
        <v>1</v>
      </c>
      <c r="E50" t="s">
        <v>3433</v>
      </c>
      <c r="F50" t="s">
        <v>3434</v>
      </c>
      <c r="G50" t="s">
        <v>3435</v>
      </c>
      <c r="I50" t="s">
        <v>3338</v>
      </c>
      <c r="J50" t="s">
        <v>2232</v>
      </c>
      <c r="K50" t="s">
        <v>2233</v>
      </c>
      <c r="L50" t="s">
        <v>3342</v>
      </c>
      <c r="N50" t="s">
        <v>3446</v>
      </c>
      <c r="O50" t="s">
        <v>3447</v>
      </c>
      <c r="P50">
        <v>41241229</v>
      </c>
    </row>
    <row r="51" spans="1:16">
      <c r="A51" t="s">
        <v>21</v>
      </c>
      <c r="B51">
        <v>0</v>
      </c>
      <c r="G51" t="s">
        <v>3338</v>
      </c>
      <c r="I51" t="s">
        <v>3338</v>
      </c>
      <c r="N51" t="s">
        <v>3448</v>
      </c>
      <c r="O51" t="s">
        <v>3449</v>
      </c>
      <c r="P51">
        <v>41241229</v>
      </c>
    </row>
    <row r="52" spans="1:16">
      <c r="A52" t="s">
        <v>21</v>
      </c>
      <c r="B52">
        <v>1</v>
      </c>
      <c r="E52" t="s">
        <v>3448</v>
      </c>
      <c r="F52" t="s">
        <v>3449</v>
      </c>
      <c r="G52" t="s">
        <v>3450</v>
      </c>
      <c r="I52" t="s">
        <v>3338</v>
      </c>
      <c r="J52" t="s">
        <v>2421</v>
      </c>
      <c r="K52" t="s">
        <v>3354</v>
      </c>
      <c r="L52" t="s">
        <v>3451</v>
      </c>
      <c r="N52" t="s">
        <v>3452</v>
      </c>
      <c r="O52" t="s">
        <v>3453</v>
      </c>
      <c r="P52">
        <v>41241229</v>
      </c>
    </row>
    <row r="53" spans="1:16">
      <c r="A53" t="s">
        <v>23</v>
      </c>
      <c r="B53">
        <v>0</v>
      </c>
      <c r="G53" t="s">
        <v>3338</v>
      </c>
      <c r="I53" t="s">
        <v>3338</v>
      </c>
      <c r="N53" t="s">
        <v>3339</v>
      </c>
      <c r="O53" t="s">
        <v>3340</v>
      </c>
      <c r="P53">
        <v>41285668</v>
      </c>
    </row>
    <row r="54" spans="1:16">
      <c r="A54" t="s">
        <v>23</v>
      </c>
      <c r="B54">
        <v>1</v>
      </c>
      <c r="E54" t="s">
        <v>3339</v>
      </c>
      <c r="F54" t="s">
        <v>3340</v>
      </c>
      <c r="G54" t="s">
        <v>3341</v>
      </c>
      <c r="I54" t="s">
        <v>3338</v>
      </c>
      <c r="J54" t="s">
        <v>2232</v>
      </c>
      <c r="K54" t="s">
        <v>2233</v>
      </c>
      <c r="L54" t="s">
        <v>3342</v>
      </c>
      <c r="N54" t="s">
        <v>3343</v>
      </c>
      <c r="O54" t="s">
        <v>3344</v>
      </c>
      <c r="P54">
        <v>41285668</v>
      </c>
    </row>
    <row r="55" spans="1:16">
      <c r="A55" t="s">
        <v>23</v>
      </c>
      <c r="B55">
        <v>1</v>
      </c>
      <c r="E55" t="s">
        <v>3339</v>
      </c>
      <c r="F55" t="s">
        <v>3340</v>
      </c>
      <c r="G55" t="s">
        <v>3341</v>
      </c>
      <c r="I55" t="s">
        <v>3338</v>
      </c>
      <c r="J55" t="s">
        <v>2232</v>
      </c>
      <c r="K55" t="s">
        <v>2233</v>
      </c>
      <c r="L55" t="s">
        <v>3342</v>
      </c>
      <c r="N55" t="s">
        <v>3345</v>
      </c>
      <c r="O55" t="s">
        <v>3346</v>
      </c>
      <c r="P55">
        <v>41285668</v>
      </c>
    </row>
    <row r="56" spans="1:16">
      <c r="A56" t="s">
        <v>23</v>
      </c>
      <c r="B56">
        <v>0</v>
      </c>
      <c r="G56" t="s">
        <v>3338</v>
      </c>
      <c r="I56" t="s">
        <v>3338</v>
      </c>
      <c r="N56" t="s">
        <v>3347</v>
      </c>
      <c r="O56" t="s">
        <v>3344</v>
      </c>
      <c r="P56">
        <v>41285668</v>
      </c>
    </row>
    <row r="57" spans="1:16">
      <c r="A57" t="s">
        <v>23</v>
      </c>
      <c r="B57">
        <v>1</v>
      </c>
      <c r="E57" t="s">
        <v>3347</v>
      </c>
      <c r="F57" t="s">
        <v>3344</v>
      </c>
      <c r="G57" t="s">
        <v>3348</v>
      </c>
      <c r="I57" t="s">
        <v>3338</v>
      </c>
      <c r="J57" t="s">
        <v>2232</v>
      </c>
      <c r="K57" t="s">
        <v>2233</v>
      </c>
      <c r="L57" t="s">
        <v>3342</v>
      </c>
      <c r="N57" t="s">
        <v>3349</v>
      </c>
      <c r="O57" t="s">
        <v>3350</v>
      </c>
      <c r="P57">
        <v>41285668</v>
      </c>
    </row>
    <row r="58" spans="1:16">
      <c r="A58" t="s">
        <v>23</v>
      </c>
      <c r="B58">
        <v>1</v>
      </c>
      <c r="E58" t="s">
        <v>3347</v>
      </c>
      <c r="F58" t="s">
        <v>3344</v>
      </c>
      <c r="G58" t="s">
        <v>3348</v>
      </c>
      <c r="I58" t="s">
        <v>3338</v>
      </c>
      <c r="L58" t="s">
        <v>193</v>
      </c>
      <c r="N58" t="s">
        <v>3351</v>
      </c>
      <c r="O58" t="s">
        <v>3352</v>
      </c>
      <c r="P58">
        <v>41285668</v>
      </c>
    </row>
    <row r="59" spans="1:16">
      <c r="A59" t="s">
        <v>23</v>
      </c>
      <c r="B59">
        <v>2</v>
      </c>
      <c r="E59" t="s">
        <v>3351</v>
      </c>
      <c r="F59" t="s">
        <v>3352</v>
      </c>
      <c r="G59" t="s">
        <v>3353</v>
      </c>
      <c r="I59" t="s">
        <v>3338</v>
      </c>
      <c r="J59" t="s">
        <v>2421</v>
      </c>
      <c r="K59" t="s">
        <v>3354</v>
      </c>
      <c r="L59" t="s">
        <v>3355</v>
      </c>
      <c r="N59" t="s">
        <v>3356</v>
      </c>
      <c r="O59" t="s">
        <v>3357</v>
      </c>
      <c r="P59">
        <v>41285668</v>
      </c>
    </row>
    <row r="60" spans="1:16">
      <c r="A60" t="s">
        <v>23</v>
      </c>
      <c r="B60">
        <v>2</v>
      </c>
      <c r="E60" t="s">
        <v>3351</v>
      </c>
      <c r="F60" t="s">
        <v>3352</v>
      </c>
      <c r="G60" t="s">
        <v>3353</v>
      </c>
      <c r="I60" t="s">
        <v>3338</v>
      </c>
      <c r="J60" t="s">
        <v>2421</v>
      </c>
      <c r="K60" t="s">
        <v>3354</v>
      </c>
      <c r="L60" t="s">
        <v>3355</v>
      </c>
      <c r="N60" t="s">
        <v>3358</v>
      </c>
      <c r="O60" t="s">
        <v>3359</v>
      </c>
      <c r="P60">
        <v>41285668</v>
      </c>
    </row>
    <row r="61" spans="1:16">
      <c r="A61" t="s">
        <v>23</v>
      </c>
      <c r="B61">
        <v>2</v>
      </c>
      <c r="E61" t="s">
        <v>3351</v>
      </c>
      <c r="F61" t="s">
        <v>3352</v>
      </c>
      <c r="G61" t="s">
        <v>3353</v>
      </c>
      <c r="I61" t="s">
        <v>3338</v>
      </c>
      <c r="J61" t="s">
        <v>2421</v>
      </c>
      <c r="K61" t="s">
        <v>3354</v>
      </c>
      <c r="L61" t="s">
        <v>3355</v>
      </c>
      <c r="N61" t="s">
        <v>3360</v>
      </c>
      <c r="O61" t="s">
        <v>3361</v>
      </c>
      <c r="P61">
        <v>41285668</v>
      </c>
    </row>
    <row r="62" spans="1:16">
      <c r="A62" t="s">
        <v>23</v>
      </c>
      <c r="B62">
        <v>1</v>
      </c>
      <c r="E62" t="s">
        <v>3347</v>
      </c>
      <c r="F62" t="s">
        <v>3344</v>
      </c>
      <c r="G62" t="s">
        <v>3348</v>
      </c>
      <c r="I62" t="s">
        <v>3338</v>
      </c>
      <c r="J62" t="s">
        <v>2236</v>
      </c>
      <c r="K62" t="s">
        <v>3362</v>
      </c>
      <c r="L62" t="s">
        <v>3363</v>
      </c>
      <c r="N62" t="s">
        <v>3364</v>
      </c>
      <c r="O62" t="s">
        <v>3365</v>
      </c>
      <c r="P62">
        <v>41285668</v>
      </c>
    </row>
    <row r="63" spans="1:16">
      <c r="A63" t="s">
        <v>23</v>
      </c>
      <c r="B63">
        <v>1</v>
      </c>
      <c r="E63" t="s">
        <v>3347</v>
      </c>
      <c r="F63" t="s">
        <v>3344</v>
      </c>
      <c r="G63" t="s">
        <v>3348</v>
      </c>
      <c r="I63" t="s">
        <v>3338</v>
      </c>
      <c r="L63" t="s">
        <v>193</v>
      </c>
      <c r="N63" t="s">
        <v>3366</v>
      </c>
      <c r="O63" t="s">
        <v>3367</v>
      </c>
      <c r="P63">
        <v>41285668</v>
      </c>
    </row>
    <row r="64" spans="1:16">
      <c r="A64" t="s">
        <v>23</v>
      </c>
      <c r="B64">
        <v>2</v>
      </c>
      <c r="E64" t="s">
        <v>3366</v>
      </c>
      <c r="F64" t="s">
        <v>3367</v>
      </c>
      <c r="G64" t="s">
        <v>3368</v>
      </c>
      <c r="I64" t="s">
        <v>3338</v>
      </c>
      <c r="J64" t="s">
        <v>2421</v>
      </c>
      <c r="K64" t="s">
        <v>3354</v>
      </c>
      <c r="L64" t="s">
        <v>3369</v>
      </c>
      <c r="N64" t="s">
        <v>3370</v>
      </c>
      <c r="O64" t="s">
        <v>3359</v>
      </c>
      <c r="P64">
        <v>41285668</v>
      </c>
    </row>
    <row r="65" spans="1:16">
      <c r="A65" t="s">
        <v>23</v>
      </c>
      <c r="B65">
        <v>2</v>
      </c>
      <c r="E65" t="s">
        <v>3366</v>
      </c>
      <c r="F65" t="s">
        <v>3367</v>
      </c>
      <c r="G65" t="s">
        <v>3368</v>
      </c>
      <c r="I65" t="s">
        <v>3338</v>
      </c>
      <c r="J65" t="s">
        <v>2421</v>
      </c>
      <c r="K65" t="s">
        <v>3354</v>
      </c>
      <c r="L65" t="s">
        <v>3369</v>
      </c>
      <c r="N65" t="s">
        <v>3371</v>
      </c>
      <c r="O65" t="s">
        <v>3372</v>
      </c>
      <c r="P65">
        <v>41285668</v>
      </c>
    </row>
    <row r="66" spans="1:16">
      <c r="A66" t="s">
        <v>23</v>
      </c>
      <c r="B66">
        <v>2</v>
      </c>
      <c r="E66" t="s">
        <v>3366</v>
      </c>
      <c r="F66" t="s">
        <v>3367</v>
      </c>
      <c r="G66" t="s">
        <v>3368</v>
      </c>
      <c r="I66" t="s">
        <v>3338</v>
      </c>
      <c r="J66" t="s">
        <v>2421</v>
      </c>
      <c r="K66" t="s">
        <v>3354</v>
      </c>
      <c r="L66" t="s">
        <v>3369</v>
      </c>
      <c r="N66" t="s">
        <v>3373</v>
      </c>
      <c r="O66" t="s">
        <v>3374</v>
      </c>
      <c r="P66">
        <v>41285668</v>
      </c>
    </row>
    <row r="67" spans="1:16">
      <c r="A67" t="s">
        <v>23</v>
      </c>
      <c r="B67">
        <v>2</v>
      </c>
      <c r="E67" t="s">
        <v>3366</v>
      </c>
      <c r="F67" t="s">
        <v>3367</v>
      </c>
      <c r="G67" t="s">
        <v>3368</v>
      </c>
      <c r="I67" t="s">
        <v>3338</v>
      </c>
      <c r="J67" t="s">
        <v>2236</v>
      </c>
      <c r="K67" t="s">
        <v>3362</v>
      </c>
      <c r="L67" t="s">
        <v>3363</v>
      </c>
      <c r="N67" t="s">
        <v>3375</v>
      </c>
      <c r="O67" t="s">
        <v>3376</v>
      </c>
      <c r="P67">
        <v>41285668</v>
      </c>
    </row>
    <row r="68" spans="1:16">
      <c r="A68" t="s">
        <v>23</v>
      </c>
      <c r="B68">
        <v>0</v>
      </c>
      <c r="G68" t="s">
        <v>3338</v>
      </c>
      <c r="I68" t="s">
        <v>3338</v>
      </c>
      <c r="N68" t="s">
        <v>3377</v>
      </c>
      <c r="O68" t="s">
        <v>3346</v>
      </c>
      <c r="P68">
        <v>41285668</v>
      </c>
    </row>
    <row r="69" spans="1:16">
      <c r="A69" t="s">
        <v>23</v>
      </c>
      <c r="B69">
        <v>1</v>
      </c>
      <c r="E69" t="s">
        <v>3377</v>
      </c>
      <c r="F69" t="s">
        <v>3346</v>
      </c>
      <c r="G69" t="s">
        <v>3378</v>
      </c>
      <c r="I69" t="s">
        <v>3338</v>
      </c>
      <c r="L69" t="s">
        <v>193</v>
      </c>
      <c r="N69" t="s">
        <v>3379</v>
      </c>
      <c r="O69" t="s">
        <v>3380</v>
      </c>
      <c r="P69">
        <v>41285668</v>
      </c>
    </row>
    <row r="70" spans="1:16">
      <c r="A70" t="s">
        <v>23</v>
      </c>
      <c r="B70">
        <v>2</v>
      </c>
      <c r="E70" t="s">
        <v>3379</v>
      </c>
      <c r="F70" t="s">
        <v>3380</v>
      </c>
      <c r="G70" t="s">
        <v>3381</v>
      </c>
      <c r="I70" t="s">
        <v>3338</v>
      </c>
      <c r="J70" t="s">
        <v>2421</v>
      </c>
      <c r="K70" t="s">
        <v>3354</v>
      </c>
      <c r="L70" t="s">
        <v>3369</v>
      </c>
      <c r="N70" t="s">
        <v>3382</v>
      </c>
      <c r="O70" t="s">
        <v>3352</v>
      </c>
      <c r="P70">
        <v>41285668</v>
      </c>
    </row>
    <row r="71" spans="1:16">
      <c r="A71" t="s">
        <v>23</v>
      </c>
      <c r="B71">
        <v>2</v>
      </c>
      <c r="E71" t="s">
        <v>3379</v>
      </c>
      <c r="F71" t="s">
        <v>3380</v>
      </c>
      <c r="G71" t="s">
        <v>3381</v>
      </c>
      <c r="I71" t="s">
        <v>3338</v>
      </c>
      <c r="L71" t="s">
        <v>3383</v>
      </c>
      <c r="N71" t="s">
        <v>3384</v>
      </c>
      <c r="O71" t="s">
        <v>3385</v>
      </c>
      <c r="P71">
        <v>41285668</v>
      </c>
    </row>
    <row r="72" spans="1:16">
      <c r="A72" t="s">
        <v>23</v>
      </c>
      <c r="B72">
        <v>2</v>
      </c>
      <c r="E72" t="s">
        <v>3379</v>
      </c>
      <c r="F72" t="s">
        <v>3380</v>
      </c>
      <c r="G72" t="s">
        <v>3381</v>
      </c>
      <c r="I72" t="s">
        <v>3338</v>
      </c>
      <c r="J72" t="s">
        <v>2232</v>
      </c>
      <c r="K72" t="s">
        <v>2233</v>
      </c>
      <c r="L72" t="s">
        <v>3342</v>
      </c>
      <c r="N72" t="s">
        <v>3386</v>
      </c>
      <c r="O72" t="s">
        <v>3350</v>
      </c>
      <c r="P72">
        <v>41285668</v>
      </c>
    </row>
    <row r="73" spans="1:16">
      <c r="A73" t="s">
        <v>23</v>
      </c>
      <c r="B73">
        <v>1</v>
      </c>
      <c r="E73" t="s">
        <v>3377</v>
      </c>
      <c r="F73" t="s">
        <v>3346</v>
      </c>
      <c r="G73" t="s">
        <v>3378</v>
      </c>
      <c r="I73" t="s">
        <v>3338</v>
      </c>
      <c r="L73" t="s">
        <v>193</v>
      </c>
      <c r="N73" t="s">
        <v>3387</v>
      </c>
      <c r="O73" t="s">
        <v>3388</v>
      </c>
      <c r="P73">
        <v>41285668</v>
      </c>
    </row>
    <row r="74" spans="1:16">
      <c r="A74" t="s">
        <v>23</v>
      </c>
      <c r="B74">
        <v>2</v>
      </c>
      <c r="E74" t="s">
        <v>3387</v>
      </c>
      <c r="F74" t="s">
        <v>3388</v>
      </c>
      <c r="G74" t="s">
        <v>3389</v>
      </c>
      <c r="I74" t="s">
        <v>3338</v>
      </c>
      <c r="L74" t="s">
        <v>3369</v>
      </c>
      <c r="N74" t="s">
        <v>3390</v>
      </c>
      <c r="O74" t="s">
        <v>3352</v>
      </c>
      <c r="P74">
        <v>41285668</v>
      </c>
    </row>
    <row r="75" spans="1:16">
      <c r="A75" t="s">
        <v>23</v>
      </c>
      <c r="B75">
        <v>2</v>
      </c>
      <c r="E75" t="s">
        <v>3387</v>
      </c>
      <c r="F75" t="s">
        <v>3388</v>
      </c>
      <c r="G75" t="s">
        <v>3389</v>
      </c>
      <c r="I75" t="s">
        <v>3338</v>
      </c>
      <c r="L75" t="s">
        <v>3342</v>
      </c>
      <c r="N75" t="s">
        <v>3391</v>
      </c>
      <c r="O75" t="s">
        <v>3392</v>
      </c>
      <c r="P75">
        <v>41285668</v>
      </c>
    </row>
    <row r="76" spans="1:16">
      <c r="A76" t="s">
        <v>23</v>
      </c>
      <c r="B76">
        <v>2</v>
      </c>
      <c r="E76" t="s">
        <v>3387</v>
      </c>
      <c r="F76" t="s">
        <v>3388</v>
      </c>
      <c r="G76" t="s">
        <v>3389</v>
      </c>
      <c r="I76" t="s">
        <v>3338</v>
      </c>
      <c r="L76" t="s">
        <v>3383</v>
      </c>
      <c r="N76" t="s">
        <v>3393</v>
      </c>
      <c r="O76" t="s">
        <v>3385</v>
      </c>
      <c r="P76">
        <v>41285668</v>
      </c>
    </row>
    <row r="77" spans="1:16">
      <c r="A77" t="s">
        <v>23</v>
      </c>
      <c r="B77">
        <v>2</v>
      </c>
      <c r="E77" t="s">
        <v>3387</v>
      </c>
      <c r="F77" t="s">
        <v>3388</v>
      </c>
      <c r="G77" t="s">
        <v>3389</v>
      </c>
      <c r="I77" t="s">
        <v>3338</v>
      </c>
      <c r="L77" t="s">
        <v>3342</v>
      </c>
      <c r="N77" t="s">
        <v>3394</v>
      </c>
      <c r="O77" t="s">
        <v>3350</v>
      </c>
      <c r="P77">
        <v>41285668</v>
      </c>
    </row>
    <row r="78" spans="1:16">
      <c r="A78" t="s">
        <v>23</v>
      </c>
      <c r="B78">
        <v>0</v>
      </c>
      <c r="G78" t="s">
        <v>3338</v>
      </c>
      <c r="I78" t="s">
        <v>3338</v>
      </c>
      <c r="N78" t="s">
        <v>3395</v>
      </c>
      <c r="O78" t="s">
        <v>3396</v>
      </c>
      <c r="P78">
        <v>41285668</v>
      </c>
    </row>
    <row r="79" spans="1:16">
      <c r="A79" t="s">
        <v>23</v>
      </c>
      <c r="B79">
        <v>1</v>
      </c>
      <c r="E79" t="s">
        <v>3395</v>
      </c>
      <c r="F79" t="s">
        <v>3396</v>
      </c>
      <c r="G79" t="s">
        <v>3397</v>
      </c>
      <c r="I79" t="s">
        <v>3338</v>
      </c>
      <c r="L79" t="s">
        <v>3342</v>
      </c>
      <c r="N79" t="s">
        <v>3398</v>
      </c>
      <c r="O79" t="s">
        <v>3399</v>
      </c>
      <c r="P79">
        <v>41285668</v>
      </c>
    </row>
    <row r="80" spans="1:16">
      <c r="A80" t="s">
        <v>23</v>
      </c>
      <c r="B80">
        <v>1</v>
      </c>
      <c r="E80" t="s">
        <v>3395</v>
      </c>
      <c r="F80" t="s">
        <v>3396</v>
      </c>
      <c r="G80" t="s">
        <v>3397</v>
      </c>
      <c r="I80" t="s">
        <v>3338</v>
      </c>
      <c r="J80" t="s">
        <v>2232</v>
      </c>
      <c r="K80" t="s">
        <v>2233</v>
      </c>
      <c r="L80" t="s">
        <v>3342</v>
      </c>
      <c r="N80" t="s">
        <v>3400</v>
      </c>
      <c r="O80" t="s">
        <v>3401</v>
      </c>
      <c r="P80">
        <v>41285668</v>
      </c>
    </row>
    <row r="81" spans="1:16">
      <c r="A81" t="s">
        <v>23</v>
      </c>
      <c r="B81">
        <v>1</v>
      </c>
      <c r="E81" t="s">
        <v>3395</v>
      </c>
      <c r="F81" t="s">
        <v>3396</v>
      </c>
      <c r="G81" t="s">
        <v>3397</v>
      </c>
      <c r="I81" t="s">
        <v>3338</v>
      </c>
      <c r="L81" t="s">
        <v>3342</v>
      </c>
      <c r="N81" t="s">
        <v>3402</v>
      </c>
      <c r="O81" t="s">
        <v>3403</v>
      </c>
      <c r="P81">
        <v>41285668</v>
      </c>
    </row>
    <row r="82" spans="1:16">
      <c r="A82" t="s">
        <v>23</v>
      </c>
      <c r="B82">
        <v>1</v>
      </c>
      <c r="E82" t="s">
        <v>3395</v>
      </c>
      <c r="F82" t="s">
        <v>3396</v>
      </c>
      <c r="G82" t="s">
        <v>3397</v>
      </c>
      <c r="I82" t="s">
        <v>3338</v>
      </c>
      <c r="J82" t="s">
        <v>2232</v>
      </c>
      <c r="K82" t="s">
        <v>2233</v>
      </c>
      <c r="L82" t="s">
        <v>3342</v>
      </c>
      <c r="N82" t="s">
        <v>3404</v>
      </c>
      <c r="O82" t="s">
        <v>3405</v>
      </c>
      <c r="P82">
        <v>41285668</v>
      </c>
    </row>
    <row r="83" spans="1:16">
      <c r="A83" t="s">
        <v>23</v>
      </c>
      <c r="B83">
        <v>0</v>
      </c>
      <c r="G83" t="s">
        <v>3338</v>
      </c>
      <c r="I83" t="s">
        <v>3338</v>
      </c>
      <c r="N83" t="s">
        <v>3406</v>
      </c>
      <c r="O83" t="s">
        <v>3407</v>
      </c>
      <c r="P83">
        <v>41285668</v>
      </c>
    </row>
    <row r="84" spans="1:16">
      <c r="A84" t="s">
        <v>23</v>
      </c>
      <c r="B84">
        <v>1</v>
      </c>
      <c r="E84" t="s">
        <v>3406</v>
      </c>
      <c r="F84" t="s">
        <v>3407</v>
      </c>
      <c r="G84" t="s">
        <v>3408</v>
      </c>
      <c r="I84" t="s">
        <v>3338</v>
      </c>
      <c r="J84" t="s">
        <v>2421</v>
      </c>
      <c r="K84" t="s">
        <v>3354</v>
      </c>
      <c r="L84" t="s">
        <v>3369</v>
      </c>
      <c r="N84" t="s">
        <v>3409</v>
      </c>
      <c r="O84" t="s">
        <v>3410</v>
      </c>
      <c r="P84">
        <v>41285668</v>
      </c>
    </row>
    <row r="85" spans="1:16">
      <c r="A85" t="s">
        <v>23</v>
      </c>
      <c r="B85">
        <v>1</v>
      </c>
      <c r="E85" t="s">
        <v>3406</v>
      </c>
      <c r="F85" t="s">
        <v>3407</v>
      </c>
      <c r="G85" t="s">
        <v>3408</v>
      </c>
      <c r="I85" t="s">
        <v>3338</v>
      </c>
      <c r="L85" t="s">
        <v>193</v>
      </c>
      <c r="N85" t="s">
        <v>3411</v>
      </c>
      <c r="O85" t="s">
        <v>3412</v>
      </c>
      <c r="P85">
        <v>41285668</v>
      </c>
    </row>
    <row r="86" spans="1:16">
      <c r="A86" t="s">
        <v>23</v>
      </c>
      <c r="B86">
        <v>2</v>
      </c>
      <c r="E86" t="s">
        <v>3411</v>
      </c>
      <c r="F86" t="s">
        <v>3412</v>
      </c>
      <c r="G86" t="s">
        <v>3413</v>
      </c>
      <c r="I86" t="s">
        <v>3338</v>
      </c>
      <c r="L86" t="s">
        <v>3342</v>
      </c>
      <c r="N86" t="s">
        <v>3414</v>
      </c>
      <c r="O86" t="s">
        <v>3415</v>
      </c>
      <c r="P86">
        <v>41285668</v>
      </c>
    </row>
    <row r="87" spans="1:16">
      <c r="A87" t="s">
        <v>23</v>
      </c>
      <c r="B87">
        <v>2</v>
      </c>
      <c r="E87" t="s">
        <v>3411</v>
      </c>
      <c r="F87" t="s">
        <v>3412</v>
      </c>
      <c r="G87" t="s">
        <v>3413</v>
      </c>
      <c r="I87" t="s">
        <v>3338</v>
      </c>
      <c r="J87" t="s">
        <v>2232</v>
      </c>
      <c r="K87" t="s">
        <v>2233</v>
      </c>
      <c r="L87" t="s">
        <v>3342</v>
      </c>
      <c r="N87" t="s">
        <v>3416</v>
      </c>
      <c r="O87" t="s">
        <v>3417</v>
      </c>
      <c r="P87">
        <v>41285668</v>
      </c>
    </row>
    <row r="88" spans="1:16">
      <c r="A88" t="s">
        <v>23</v>
      </c>
      <c r="B88">
        <v>2</v>
      </c>
      <c r="E88" t="s">
        <v>3411</v>
      </c>
      <c r="F88" t="s">
        <v>3412</v>
      </c>
      <c r="G88" t="s">
        <v>3413</v>
      </c>
      <c r="I88" t="s">
        <v>3338</v>
      </c>
      <c r="J88" t="s">
        <v>2232</v>
      </c>
      <c r="K88" t="s">
        <v>2233</v>
      </c>
      <c r="L88" t="s">
        <v>3342</v>
      </c>
      <c r="N88" t="s">
        <v>3418</v>
      </c>
      <c r="O88" t="s">
        <v>3419</v>
      </c>
      <c r="P88">
        <v>41285668</v>
      </c>
    </row>
    <row r="89" spans="1:16">
      <c r="A89" t="s">
        <v>23</v>
      </c>
      <c r="B89">
        <v>2</v>
      </c>
      <c r="E89" t="s">
        <v>3411</v>
      </c>
      <c r="F89" t="s">
        <v>3412</v>
      </c>
      <c r="G89" t="s">
        <v>3413</v>
      </c>
      <c r="I89" t="s">
        <v>3338</v>
      </c>
      <c r="L89" t="s">
        <v>3342</v>
      </c>
      <c r="N89" t="s">
        <v>3420</v>
      </c>
      <c r="O89" t="s">
        <v>3421</v>
      </c>
      <c r="P89">
        <v>41285668</v>
      </c>
    </row>
    <row r="90" spans="1:16">
      <c r="A90" t="s">
        <v>23</v>
      </c>
      <c r="B90">
        <v>2</v>
      </c>
      <c r="E90" t="s">
        <v>3411</v>
      </c>
      <c r="F90" t="s">
        <v>3412</v>
      </c>
      <c r="G90" t="s">
        <v>3413</v>
      </c>
      <c r="I90" t="s">
        <v>3338</v>
      </c>
      <c r="J90" t="s">
        <v>2232</v>
      </c>
      <c r="K90" t="s">
        <v>2233</v>
      </c>
      <c r="L90" t="s">
        <v>3342</v>
      </c>
      <c r="N90" t="s">
        <v>3422</v>
      </c>
      <c r="O90" t="s">
        <v>3423</v>
      </c>
      <c r="P90">
        <v>41285668</v>
      </c>
    </row>
    <row r="91" spans="1:16">
      <c r="A91" t="s">
        <v>23</v>
      </c>
      <c r="B91">
        <v>0</v>
      </c>
      <c r="G91" t="s">
        <v>3338</v>
      </c>
      <c r="I91" t="s">
        <v>3338</v>
      </c>
      <c r="N91" t="s">
        <v>3424</v>
      </c>
      <c r="O91" t="s">
        <v>3425</v>
      </c>
      <c r="P91">
        <v>41285668</v>
      </c>
    </row>
    <row r="92" spans="1:16">
      <c r="A92" t="s">
        <v>23</v>
      </c>
      <c r="B92">
        <v>1</v>
      </c>
      <c r="E92" t="s">
        <v>3424</v>
      </c>
      <c r="F92" t="s">
        <v>3425</v>
      </c>
      <c r="G92" t="s">
        <v>3426</v>
      </c>
      <c r="I92" t="s">
        <v>3338</v>
      </c>
      <c r="J92" t="s">
        <v>2421</v>
      </c>
      <c r="K92" t="s">
        <v>3354</v>
      </c>
      <c r="L92" t="s">
        <v>3369</v>
      </c>
      <c r="N92" t="s">
        <v>3427</v>
      </c>
      <c r="O92" t="s">
        <v>3428</v>
      </c>
      <c r="P92">
        <v>41285668</v>
      </c>
    </row>
    <row r="93" spans="1:16">
      <c r="A93" t="s">
        <v>23</v>
      </c>
      <c r="B93">
        <v>1</v>
      </c>
      <c r="E93" t="s">
        <v>3424</v>
      </c>
      <c r="F93" t="s">
        <v>3425</v>
      </c>
      <c r="G93" t="s">
        <v>3426</v>
      </c>
      <c r="I93" t="s">
        <v>3338</v>
      </c>
      <c r="J93" t="s">
        <v>2421</v>
      </c>
      <c r="K93" t="s">
        <v>3354</v>
      </c>
      <c r="L93" t="s">
        <v>3369</v>
      </c>
      <c r="N93" t="s">
        <v>3429</v>
      </c>
      <c r="O93" t="s">
        <v>3430</v>
      </c>
      <c r="P93">
        <v>41285668</v>
      </c>
    </row>
    <row r="94" spans="1:16">
      <c r="A94" t="s">
        <v>23</v>
      </c>
      <c r="B94">
        <v>1</v>
      </c>
      <c r="E94" t="s">
        <v>3424</v>
      </c>
      <c r="F94" t="s">
        <v>3425</v>
      </c>
      <c r="G94" t="s">
        <v>3426</v>
      </c>
      <c r="I94" t="s">
        <v>3338</v>
      </c>
      <c r="J94" t="s">
        <v>2232</v>
      </c>
      <c r="K94" t="s">
        <v>2233</v>
      </c>
      <c r="L94" t="s">
        <v>3342</v>
      </c>
      <c r="N94" t="s">
        <v>3431</v>
      </c>
      <c r="O94" t="s">
        <v>3432</v>
      </c>
      <c r="P94">
        <v>41285668</v>
      </c>
    </row>
    <row r="95" spans="1:16">
      <c r="A95" t="s">
        <v>23</v>
      </c>
      <c r="B95">
        <v>0</v>
      </c>
      <c r="G95" t="s">
        <v>3338</v>
      </c>
      <c r="I95" t="s">
        <v>3338</v>
      </c>
      <c r="N95" t="s">
        <v>3433</v>
      </c>
      <c r="O95" t="s">
        <v>3434</v>
      </c>
      <c r="P95">
        <v>41285668</v>
      </c>
    </row>
    <row r="96" spans="1:16">
      <c r="A96" t="s">
        <v>23</v>
      </c>
      <c r="B96">
        <v>1</v>
      </c>
      <c r="E96" t="s">
        <v>3433</v>
      </c>
      <c r="F96" t="s">
        <v>3434</v>
      </c>
      <c r="G96" t="s">
        <v>3435</v>
      </c>
      <c r="I96" t="s">
        <v>3338</v>
      </c>
      <c r="J96" t="s">
        <v>2232</v>
      </c>
      <c r="K96" t="s">
        <v>2233</v>
      </c>
      <c r="L96" t="s">
        <v>3342</v>
      </c>
      <c r="N96" t="s">
        <v>3436</v>
      </c>
      <c r="O96" t="s">
        <v>3437</v>
      </c>
      <c r="P96">
        <v>41285668</v>
      </c>
    </row>
    <row r="97" spans="1:16">
      <c r="A97" t="s">
        <v>23</v>
      </c>
      <c r="B97">
        <v>1</v>
      </c>
      <c r="E97" t="s">
        <v>3433</v>
      </c>
      <c r="F97" t="s">
        <v>3434</v>
      </c>
      <c r="G97" t="s">
        <v>3435</v>
      </c>
      <c r="I97" t="s">
        <v>3338</v>
      </c>
      <c r="J97" t="s">
        <v>2232</v>
      </c>
      <c r="K97" t="s">
        <v>2233</v>
      </c>
      <c r="L97" t="s">
        <v>3342</v>
      </c>
      <c r="N97" t="s">
        <v>3438</v>
      </c>
      <c r="O97" t="s">
        <v>3439</v>
      </c>
      <c r="P97">
        <v>41285668</v>
      </c>
    </row>
    <row r="98" spans="1:16">
      <c r="A98" t="s">
        <v>23</v>
      </c>
      <c r="B98">
        <v>1</v>
      </c>
      <c r="E98" t="s">
        <v>3433</v>
      </c>
      <c r="F98" t="s">
        <v>3434</v>
      </c>
      <c r="G98" t="s">
        <v>3435</v>
      </c>
      <c r="I98" t="s">
        <v>3338</v>
      </c>
      <c r="J98" t="s">
        <v>2232</v>
      </c>
      <c r="K98" t="s">
        <v>2233</v>
      </c>
      <c r="L98" t="s">
        <v>3342</v>
      </c>
      <c r="N98" t="s">
        <v>3440</v>
      </c>
      <c r="O98" t="s">
        <v>3441</v>
      </c>
      <c r="P98">
        <v>41285668</v>
      </c>
    </row>
    <row r="99" spans="1:16">
      <c r="A99" t="s">
        <v>23</v>
      </c>
      <c r="B99">
        <v>1</v>
      </c>
      <c r="E99" t="s">
        <v>3433</v>
      </c>
      <c r="F99" t="s">
        <v>3434</v>
      </c>
      <c r="G99" t="s">
        <v>3435</v>
      </c>
      <c r="I99" t="s">
        <v>3338</v>
      </c>
      <c r="J99" t="s">
        <v>2232</v>
      </c>
      <c r="K99" t="s">
        <v>2233</v>
      </c>
      <c r="L99" t="s">
        <v>3342</v>
      </c>
      <c r="N99" t="s">
        <v>3442</v>
      </c>
      <c r="O99" t="s">
        <v>3443</v>
      </c>
      <c r="P99">
        <v>41285668</v>
      </c>
    </row>
    <row r="100" spans="1:16">
      <c r="A100" t="s">
        <v>23</v>
      </c>
      <c r="B100">
        <v>1</v>
      </c>
      <c r="E100" t="s">
        <v>3433</v>
      </c>
      <c r="F100" t="s">
        <v>3434</v>
      </c>
      <c r="G100" t="s">
        <v>3435</v>
      </c>
      <c r="I100" t="s">
        <v>3338</v>
      </c>
      <c r="J100" t="s">
        <v>2232</v>
      </c>
      <c r="K100" t="s">
        <v>2233</v>
      </c>
      <c r="L100" t="s">
        <v>3342</v>
      </c>
      <c r="N100" t="s">
        <v>3444</v>
      </c>
      <c r="O100" t="s">
        <v>3445</v>
      </c>
      <c r="P100">
        <v>41285668</v>
      </c>
    </row>
    <row r="101" spans="1:16">
      <c r="A101" t="s">
        <v>23</v>
      </c>
      <c r="B101">
        <v>1</v>
      </c>
      <c r="E101" t="s">
        <v>3433</v>
      </c>
      <c r="F101" t="s">
        <v>3434</v>
      </c>
      <c r="G101" t="s">
        <v>3435</v>
      </c>
      <c r="I101" t="s">
        <v>3338</v>
      </c>
      <c r="J101" t="s">
        <v>2232</v>
      </c>
      <c r="K101" t="s">
        <v>2233</v>
      </c>
      <c r="L101" t="s">
        <v>3342</v>
      </c>
      <c r="N101" t="s">
        <v>3446</v>
      </c>
      <c r="O101" t="s">
        <v>3447</v>
      </c>
      <c r="P101">
        <v>41285668</v>
      </c>
    </row>
    <row r="102" spans="1:16">
      <c r="A102" t="s">
        <v>23</v>
      </c>
      <c r="B102">
        <v>0</v>
      </c>
      <c r="G102" t="s">
        <v>3338</v>
      </c>
      <c r="I102" t="s">
        <v>3338</v>
      </c>
      <c r="N102" t="s">
        <v>3448</v>
      </c>
      <c r="O102" t="s">
        <v>3449</v>
      </c>
      <c r="P102">
        <v>41285668</v>
      </c>
    </row>
    <row r="103" spans="1:16">
      <c r="A103" t="s">
        <v>23</v>
      </c>
      <c r="B103">
        <v>1</v>
      </c>
      <c r="E103" t="s">
        <v>3448</v>
      </c>
      <c r="F103" t="s">
        <v>3449</v>
      </c>
      <c r="G103" t="s">
        <v>3450</v>
      </c>
      <c r="I103" t="s">
        <v>3338</v>
      </c>
      <c r="J103" t="s">
        <v>2421</v>
      </c>
      <c r="K103" t="s">
        <v>3354</v>
      </c>
      <c r="L103" t="s">
        <v>3451</v>
      </c>
      <c r="N103" t="s">
        <v>3452</v>
      </c>
      <c r="O103" t="s">
        <v>3453</v>
      </c>
      <c r="P103">
        <v>41285668</v>
      </c>
    </row>
    <row r="104" spans="1:16">
      <c r="A104" t="s">
        <v>25</v>
      </c>
      <c r="B104">
        <v>0</v>
      </c>
      <c r="G104" t="s">
        <v>3338</v>
      </c>
      <c r="I104" t="s">
        <v>3338</v>
      </c>
      <c r="N104" t="s">
        <v>3339</v>
      </c>
      <c r="O104" t="s">
        <v>3340</v>
      </c>
      <c r="P104">
        <v>41085806</v>
      </c>
    </row>
    <row r="105" spans="1:16">
      <c r="A105" t="s">
        <v>25</v>
      </c>
      <c r="B105">
        <v>1</v>
      </c>
      <c r="E105" t="s">
        <v>3339</v>
      </c>
      <c r="F105" t="s">
        <v>3340</v>
      </c>
      <c r="G105" t="s">
        <v>3341</v>
      </c>
      <c r="I105" t="s">
        <v>3338</v>
      </c>
      <c r="J105" t="s">
        <v>2232</v>
      </c>
      <c r="K105" t="s">
        <v>2233</v>
      </c>
      <c r="L105" t="s">
        <v>3342</v>
      </c>
      <c r="N105" t="s">
        <v>3343</v>
      </c>
      <c r="O105" t="s">
        <v>3344</v>
      </c>
      <c r="P105">
        <v>41085806</v>
      </c>
    </row>
    <row r="106" spans="1:16">
      <c r="A106" t="s">
        <v>25</v>
      </c>
      <c r="B106">
        <v>1</v>
      </c>
      <c r="E106" t="s">
        <v>3339</v>
      </c>
      <c r="F106" t="s">
        <v>3340</v>
      </c>
      <c r="G106" t="s">
        <v>3341</v>
      </c>
      <c r="I106" t="s">
        <v>3338</v>
      </c>
      <c r="J106" t="s">
        <v>2232</v>
      </c>
      <c r="K106" t="s">
        <v>2233</v>
      </c>
      <c r="L106" t="s">
        <v>3342</v>
      </c>
      <c r="N106" t="s">
        <v>3345</v>
      </c>
      <c r="O106" t="s">
        <v>3346</v>
      </c>
      <c r="P106">
        <v>41085806</v>
      </c>
    </row>
    <row r="107" spans="1:16">
      <c r="A107" t="s">
        <v>25</v>
      </c>
      <c r="B107">
        <v>0</v>
      </c>
      <c r="G107" t="s">
        <v>3338</v>
      </c>
      <c r="I107" t="s">
        <v>3338</v>
      </c>
      <c r="N107" t="s">
        <v>3347</v>
      </c>
      <c r="O107" t="s">
        <v>3344</v>
      </c>
      <c r="P107">
        <v>41085806</v>
      </c>
    </row>
    <row r="108" spans="1:16">
      <c r="A108" t="s">
        <v>25</v>
      </c>
      <c r="B108">
        <v>1</v>
      </c>
      <c r="E108" t="s">
        <v>3347</v>
      </c>
      <c r="F108" t="s">
        <v>3344</v>
      </c>
      <c r="G108" t="s">
        <v>3348</v>
      </c>
      <c r="I108" t="s">
        <v>3338</v>
      </c>
      <c r="J108" t="s">
        <v>2232</v>
      </c>
      <c r="K108" t="s">
        <v>2233</v>
      </c>
      <c r="L108" t="s">
        <v>3342</v>
      </c>
      <c r="N108" t="s">
        <v>3349</v>
      </c>
      <c r="O108" t="s">
        <v>3350</v>
      </c>
      <c r="P108">
        <v>41085806</v>
      </c>
    </row>
    <row r="109" spans="1:16">
      <c r="A109" t="s">
        <v>25</v>
      </c>
      <c r="B109">
        <v>1</v>
      </c>
      <c r="E109" t="s">
        <v>3347</v>
      </c>
      <c r="F109" t="s">
        <v>3344</v>
      </c>
      <c r="G109" t="s">
        <v>3348</v>
      </c>
      <c r="I109" t="s">
        <v>3338</v>
      </c>
      <c r="L109" t="s">
        <v>193</v>
      </c>
      <c r="N109" t="s">
        <v>3351</v>
      </c>
      <c r="O109" t="s">
        <v>3352</v>
      </c>
      <c r="P109">
        <v>41085806</v>
      </c>
    </row>
    <row r="110" spans="1:16">
      <c r="A110" t="s">
        <v>25</v>
      </c>
      <c r="B110">
        <v>2</v>
      </c>
      <c r="E110" t="s">
        <v>3351</v>
      </c>
      <c r="F110" t="s">
        <v>3352</v>
      </c>
      <c r="G110" t="s">
        <v>3353</v>
      </c>
      <c r="I110" t="s">
        <v>3338</v>
      </c>
      <c r="J110" t="s">
        <v>2421</v>
      </c>
      <c r="K110" t="s">
        <v>3354</v>
      </c>
      <c r="L110" t="s">
        <v>3355</v>
      </c>
      <c r="N110" t="s">
        <v>3356</v>
      </c>
      <c r="O110" t="s">
        <v>3357</v>
      </c>
      <c r="P110">
        <v>41085806</v>
      </c>
    </row>
    <row r="111" spans="1:16">
      <c r="A111" t="s">
        <v>25</v>
      </c>
      <c r="B111">
        <v>2</v>
      </c>
      <c r="E111" t="s">
        <v>3351</v>
      </c>
      <c r="F111" t="s">
        <v>3352</v>
      </c>
      <c r="G111" t="s">
        <v>3353</v>
      </c>
      <c r="I111" t="s">
        <v>3338</v>
      </c>
      <c r="J111" t="s">
        <v>2421</v>
      </c>
      <c r="K111" t="s">
        <v>3354</v>
      </c>
      <c r="L111" t="s">
        <v>3355</v>
      </c>
      <c r="N111" t="s">
        <v>3358</v>
      </c>
      <c r="O111" t="s">
        <v>3359</v>
      </c>
      <c r="P111">
        <v>41085806</v>
      </c>
    </row>
    <row r="112" spans="1:16">
      <c r="A112" t="s">
        <v>25</v>
      </c>
      <c r="B112">
        <v>2</v>
      </c>
      <c r="E112" t="s">
        <v>3351</v>
      </c>
      <c r="F112" t="s">
        <v>3352</v>
      </c>
      <c r="G112" t="s">
        <v>3353</v>
      </c>
      <c r="I112" t="s">
        <v>3338</v>
      </c>
      <c r="J112" t="s">
        <v>2421</v>
      </c>
      <c r="K112" t="s">
        <v>3354</v>
      </c>
      <c r="L112" t="s">
        <v>3355</v>
      </c>
      <c r="N112" t="s">
        <v>3360</v>
      </c>
      <c r="O112" t="s">
        <v>3361</v>
      </c>
      <c r="P112">
        <v>41085806</v>
      </c>
    </row>
    <row r="113" spans="1:16">
      <c r="A113" t="s">
        <v>25</v>
      </c>
      <c r="B113">
        <v>1</v>
      </c>
      <c r="E113" t="s">
        <v>3347</v>
      </c>
      <c r="F113" t="s">
        <v>3344</v>
      </c>
      <c r="G113" t="s">
        <v>3348</v>
      </c>
      <c r="I113" t="s">
        <v>3338</v>
      </c>
      <c r="J113" t="s">
        <v>2236</v>
      </c>
      <c r="K113" t="s">
        <v>3362</v>
      </c>
      <c r="L113" t="s">
        <v>3363</v>
      </c>
      <c r="N113" t="s">
        <v>3364</v>
      </c>
      <c r="O113" t="s">
        <v>3365</v>
      </c>
      <c r="P113">
        <v>41085806</v>
      </c>
    </row>
    <row r="114" spans="1:16">
      <c r="A114" t="s">
        <v>25</v>
      </c>
      <c r="B114">
        <v>1</v>
      </c>
      <c r="E114" t="s">
        <v>3347</v>
      </c>
      <c r="F114" t="s">
        <v>3344</v>
      </c>
      <c r="G114" t="s">
        <v>3348</v>
      </c>
      <c r="I114" t="s">
        <v>3338</v>
      </c>
      <c r="L114" t="s">
        <v>193</v>
      </c>
      <c r="N114" t="s">
        <v>3366</v>
      </c>
      <c r="O114" t="s">
        <v>3367</v>
      </c>
      <c r="P114">
        <v>41085806</v>
      </c>
    </row>
    <row r="115" spans="1:16">
      <c r="A115" t="s">
        <v>25</v>
      </c>
      <c r="B115">
        <v>2</v>
      </c>
      <c r="E115" t="s">
        <v>3366</v>
      </c>
      <c r="F115" t="s">
        <v>3367</v>
      </c>
      <c r="G115" t="s">
        <v>3368</v>
      </c>
      <c r="I115" t="s">
        <v>3338</v>
      </c>
      <c r="J115" t="s">
        <v>2421</v>
      </c>
      <c r="K115" t="s">
        <v>3354</v>
      </c>
      <c r="L115" t="s">
        <v>3369</v>
      </c>
      <c r="N115" t="s">
        <v>3370</v>
      </c>
      <c r="O115" t="s">
        <v>3359</v>
      </c>
      <c r="P115">
        <v>41085806</v>
      </c>
    </row>
    <row r="116" spans="1:16">
      <c r="A116" t="s">
        <v>25</v>
      </c>
      <c r="B116">
        <v>2</v>
      </c>
      <c r="E116" t="s">
        <v>3366</v>
      </c>
      <c r="F116" t="s">
        <v>3367</v>
      </c>
      <c r="G116" t="s">
        <v>3368</v>
      </c>
      <c r="I116" t="s">
        <v>3338</v>
      </c>
      <c r="J116" t="s">
        <v>2421</v>
      </c>
      <c r="K116" t="s">
        <v>3354</v>
      </c>
      <c r="L116" t="s">
        <v>3369</v>
      </c>
      <c r="N116" t="s">
        <v>3371</v>
      </c>
      <c r="O116" t="s">
        <v>3372</v>
      </c>
      <c r="P116">
        <v>41085806</v>
      </c>
    </row>
    <row r="117" spans="1:16">
      <c r="A117" t="s">
        <v>25</v>
      </c>
      <c r="B117">
        <v>2</v>
      </c>
      <c r="E117" t="s">
        <v>3366</v>
      </c>
      <c r="F117" t="s">
        <v>3367</v>
      </c>
      <c r="G117" t="s">
        <v>3368</v>
      </c>
      <c r="I117" t="s">
        <v>3338</v>
      </c>
      <c r="J117" t="s">
        <v>2421</v>
      </c>
      <c r="K117" t="s">
        <v>3354</v>
      </c>
      <c r="L117" t="s">
        <v>3369</v>
      </c>
      <c r="N117" t="s">
        <v>3373</v>
      </c>
      <c r="O117" t="s">
        <v>3374</v>
      </c>
      <c r="P117">
        <v>41085806</v>
      </c>
    </row>
    <row r="118" spans="1:16">
      <c r="A118" t="s">
        <v>25</v>
      </c>
      <c r="B118">
        <v>2</v>
      </c>
      <c r="E118" t="s">
        <v>3366</v>
      </c>
      <c r="F118" t="s">
        <v>3367</v>
      </c>
      <c r="G118" t="s">
        <v>3368</v>
      </c>
      <c r="I118" t="s">
        <v>3338</v>
      </c>
      <c r="J118" t="s">
        <v>2236</v>
      </c>
      <c r="K118" t="s">
        <v>3362</v>
      </c>
      <c r="L118" t="s">
        <v>3363</v>
      </c>
      <c r="N118" t="s">
        <v>3375</v>
      </c>
      <c r="O118" t="s">
        <v>3376</v>
      </c>
      <c r="P118">
        <v>41085806</v>
      </c>
    </row>
    <row r="119" spans="1:16">
      <c r="A119" t="s">
        <v>25</v>
      </c>
      <c r="B119">
        <v>1</v>
      </c>
      <c r="E119" t="s">
        <v>3347</v>
      </c>
      <c r="F119" t="s">
        <v>3344</v>
      </c>
      <c r="G119" t="s">
        <v>3348</v>
      </c>
      <c r="I119" t="s">
        <v>3338</v>
      </c>
      <c r="J119" t="s">
        <v>2232</v>
      </c>
      <c r="K119" t="s">
        <v>2233</v>
      </c>
      <c r="L119" t="s">
        <v>3342</v>
      </c>
      <c r="N119" t="s">
        <v>3454</v>
      </c>
      <c r="O119" t="s">
        <v>3455</v>
      </c>
      <c r="P119">
        <v>41085806</v>
      </c>
    </row>
    <row r="120" spans="1:16">
      <c r="A120" t="s">
        <v>25</v>
      </c>
      <c r="B120">
        <v>0</v>
      </c>
      <c r="G120" t="s">
        <v>3338</v>
      </c>
      <c r="I120" t="s">
        <v>3338</v>
      </c>
      <c r="N120" t="s">
        <v>3377</v>
      </c>
      <c r="O120" t="s">
        <v>3346</v>
      </c>
      <c r="P120">
        <v>41085806</v>
      </c>
    </row>
    <row r="121" spans="1:16">
      <c r="A121" t="s">
        <v>25</v>
      </c>
      <c r="B121">
        <v>1</v>
      </c>
      <c r="E121" t="s">
        <v>3377</v>
      </c>
      <c r="F121" t="s">
        <v>3346</v>
      </c>
      <c r="G121" t="s">
        <v>3378</v>
      </c>
      <c r="I121" t="s">
        <v>3338</v>
      </c>
      <c r="L121" t="s">
        <v>193</v>
      </c>
      <c r="N121" t="s">
        <v>3379</v>
      </c>
      <c r="O121" t="s">
        <v>3380</v>
      </c>
      <c r="P121">
        <v>41085806</v>
      </c>
    </row>
    <row r="122" spans="1:16">
      <c r="A122" t="s">
        <v>25</v>
      </c>
      <c r="B122">
        <v>2</v>
      </c>
      <c r="E122" t="s">
        <v>3379</v>
      </c>
      <c r="F122" t="s">
        <v>3380</v>
      </c>
      <c r="G122" t="s">
        <v>3381</v>
      </c>
      <c r="I122" t="s">
        <v>3338</v>
      </c>
      <c r="J122" t="s">
        <v>2421</v>
      </c>
      <c r="K122" t="s">
        <v>3354</v>
      </c>
      <c r="L122" t="s">
        <v>3369</v>
      </c>
      <c r="N122" t="s">
        <v>3382</v>
      </c>
      <c r="O122" t="s">
        <v>3352</v>
      </c>
      <c r="P122">
        <v>41085806</v>
      </c>
    </row>
    <row r="123" spans="1:16">
      <c r="A123" t="s">
        <v>25</v>
      </c>
      <c r="B123">
        <v>2</v>
      </c>
      <c r="E123" t="s">
        <v>3379</v>
      </c>
      <c r="F123" t="s">
        <v>3380</v>
      </c>
      <c r="G123" t="s">
        <v>3381</v>
      </c>
      <c r="I123" t="s">
        <v>3338</v>
      </c>
      <c r="L123" t="s">
        <v>3383</v>
      </c>
      <c r="N123" t="s">
        <v>3384</v>
      </c>
      <c r="O123" t="s">
        <v>3385</v>
      </c>
      <c r="P123">
        <v>41085806</v>
      </c>
    </row>
    <row r="124" spans="1:16">
      <c r="A124" t="s">
        <v>25</v>
      </c>
      <c r="B124">
        <v>2</v>
      </c>
      <c r="E124" t="s">
        <v>3379</v>
      </c>
      <c r="F124" t="s">
        <v>3380</v>
      </c>
      <c r="G124" t="s">
        <v>3381</v>
      </c>
      <c r="I124" t="s">
        <v>3338</v>
      </c>
      <c r="J124" t="s">
        <v>2232</v>
      </c>
      <c r="K124" t="s">
        <v>2233</v>
      </c>
      <c r="L124" t="s">
        <v>3342</v>
      </c>
      <c r="N124" t="s">
        <v>3386</v>
      </c>
      <c r="O124" t="s">
        <v>3350</v>
      </c>
      <c r="P124">
        <v>41085806</v>
      </c>
    </row>
    <row r="125" spans="1:16">
      <c r="A125" t="s">
        <v>25</v>
      </c>
      <c r="B125">
        <v>0</v>
      </c>
      <c r="G125" t="s">
        <v>3338</v>
      </c>
      <c r="I125" t="s">
        <v>3338</v>
      </c>
      <c r="N125" t="s">
        <v>3395</v>
      </c>
      <c r="O125" t="s">
        <v>3396</v>
      </c>
      <c r="P125">
        <v>41085806</v>
      </c>
    </row>
    <row r="126" spans="1:16">
      <c r="A126" t="s">
        <v>25</v>
      </c>
      <c r="B126">
        <v>1</v>
      </c>
      <c r="E126" t="s">
        <v>3395</v>
      </c>
      <c r="F126" t="s">
        <v>3396</v>
      </c>
      <c r="G126" t="s">
        <v>3397</v>
      </c>
      <c r="I126" t="s">
        <v>3338</v>
      </c>
      <c r="L126" t="s">
        <v>3342</v>
      </c>
      <c r="N126" t="s">
        <v>3398</v>
      </c>
      <c r="O126" t="s">
        <v>3399</v>
      </c>
      <c r="P126">
        <v>41085806</v>
      </c>
    </row>
    <row r="127" spans="1:16">
      <c r="A127" t="s">
        <v>25</v>
      </c>
      <c r="B127">
        <v>1</v>
      </c>
      <c r="E127" t="s">
        <v>3395</v>
      </c>
      <c r="F127" t="s">
        <v>3396</v>
      </c>
      <c r="G127" t="s">
        <v>3397</v>
      </c>
      <c r="I127" t="s">
        <v>3338</v>
      </c>
      <c r="J127" t="s">
        <v>2232</v>
      </c>
      <c r="K127" t="s">
        <v>2233</v>
      </c>
      <c r="L127" t="s">
        <v>3342</v>
      </c>
      <c r="N127" t="s">
        <v>3400</v>
      </c>
      <c r="O127" t="s">
        <v>3401</v>
      </c>
      <c r="P127">
        <v>41085806</v>
      </c>
    </row>
    <row r="128" spans="1:16">
      <c r="A128" t="s">
        <v>25</v>
      </c>
      <c r="B128">
        <v>1</v>
      </c>
      <c r="E128" t="s">
        <v>3395</v>
      </c>
      <c r="F128" t="s">
        <v>3396</v>
      </c>
      <c r="G128" t="s">
        <v>3397</v>
      </c>
      <c r="I128" t="s">
        <v>3338</v>
      </c>
      <c r="L128" t="s">
        <v>3342</v>
      </c>
      <c r="N128" t="s">
        <v>3402</v>
      </c>
      <c r="O128" t="s">
        <v>3403</v>
      </c>
      <c r="P128">
        <v>41085806</v>
      </c>
    </row>
    <row r="129" spans="1:16">
      <c r="A129" t="s">
        <v>25</v>
      </c>
      <c r="B129">
        <v>1</v>
      </c>
      <c r="E129" t="s">
        <v>3395</v>
      </c>
      <c r="F129" t="s">
        <v>3396</v>
      </c>
      <c r="G129" t="s">
        <v>3397</v>
      </c>
      <c r="I129" t="s">
        <v>3338</v>
      </c>
      <c r="J129" t="s">
        <v>2232</v>
      </c>
      <c r="K129" t="s">
        <v>2233</v>
      </c>
      <c r="L129" t="s">
        <v>3342</v>
      </c>
      <c r="N129" t="s">
        <v>3404</v>
      </c>
      <c r="O129" t="s">
        <v>3405</v>
      </c>
      <c r="P129">
        <v>41085806</v>
      </c>
    </row>
    <row r="130" spans="1:16">
      <c r="A130" t="s">
        <v>25</v>
      </c>
      <c r="B130">
        <v>0</v>
      </c>
      <c r="G130" t="s">
        <v>3338</v>
      </c>
      <c r="I130" t="s">
        <v>3338</v>
      </c>
      <c r="N130" t="s">
        <v>3406</v>
      </c>
      <c r="O130" t="s">
        <v>3407</v>
      </c>
      <c r="P130">
        <v>41085806</v>
      </c>
    </row>
    <row r="131" spans="1:16">
      <c r="A131" t="s">
        <v>25</v>
      </c>
      <c r="B131">
        <v>1</v>
      </c>
      <c r="E131" t="s">
        <v>3406</v>
      </c>
      <c r="F131" t="s">
        <v>3407</v>
      </c>
      <c r="G131" t="s">
        <v>3408</v>
      </c>
      <c r="I131" t="s">
        <v>3338</v>
      </c>
      <c r="J131" t="s">
        <v>2421</v>
      </c>
      <c r="K131" t="s">
        <v>3354</v>
      </c>
      <c r="L131" t="s">
        <v>3369</v>
      </c>
      <c r="N131" t="s">
        <v>3409</v>
      </c>
      <c r="O131" t="s">
        <v>3410</v>
      </c>
      <c r="P131">
        <v>41085806</v>
      </c>
    </row>
    <row r="132" spans="1:16">
      <c r="A132" t="s">
        <v>25</v>
      </c>
      <c r="B132">
        <v>1</v>
      </c>
      <c r="E132" t="s">
        <v>3406</v>
      </c>
      <c r="F132" t="s">
        <v>3407</v>
      </c>
      <c r="G132" t="s">
        <v>3408</v>
      </c>
      <c r="I132" t="s">
        <v>3338</v>
      </c>
      <c r="L132" t="s">
        <v>193</v>
      </c>
      <c r="N132" t="s">
        <v>3411</v>
      </c>
      <c r="O132" t="s">
        <v>3412</v>
      </c>
      <c r="P132">
        <v>41085806</v>
      </c>
    </row>
    <row r="133" spans="1:16">
      <c r="A133" t="s">
        <v>25</v>
      </c>
      <c r="B133">
        <v>2</v>
      </c>
      <c r="E133" t="s">
        <v>3411</v>
      </c>
      <c r="F133" t="s">
        <v>3412</v>
      </c>
      <c r="G133" t="s">
        <v>3413</v>
      </c>
      <c r="I133" t="s">
        <v>3338</v>
      </c>
      <c r="L133" t="s">
        <v>3342</v>
      </c>
      <c r="N133" t="s">
        <v>3414</v>
      </c>
      <c r="O133" t="s">
        <v>3415</v>
      </c>
      <c r="P133">
        <v>41085806</v>
      </c>
    </row>
    <row r="134" spans="1:16">
      <c r="A134" t="s">
        <v>25</v>
      </c>
      <c r="B134">
        <v>2</v>
      </c>
      <c r="E134" t="s">
        <v>3411</v>
      </c>
      <c r="F134" t="s">
        <v>3412</v>
      </c>
      <c r="G134" t="s">
        <v>3413</v>
      </c>
      <c r="I134" t="s">
        <v>3338</v>
      </c>
      <c r="J134" t="s">
        <v>2232</v>
      </c>
      <c r="K134" t="s">
        <v>2233</v>
      </c>
      <c r="L134" t="s">
        <v>3342</v>
      </c>
      <c r="N134" t="s">
        <v>3416</v>
      </c>
      <c r="O134" t="s">
        <v>3417</v>
      </c>
      <c r="P134">
        <v>41085806</v>
      </c>
    </row>
    <row r="135" spans="1:16">
      <c r="A135" t="s">
        <v>25</v>
      </c>
      <c r="B135">
        <v>2</v>
      </c>
      <c r="E135" t="s">
        <v>3411</v>
      </c>
      <c r="F135" t="s">
        <v>3412</v>
      </c>
      <c r="G135" t="s">
        <v>3413</v>
      </c>
      <c r="I135" t="s">
        <v>3338</v>
      </c>
      <c r="J135" t="s">
        <v>2232</v>
      </c>
      <c r="K135" t="s">
        <v>2233</v>
      </c>
      <c r="L135" t="s">
        <v>3342</v>
      </c>
      <c r="N135" t="s">
        <v>3418</v>
      </c>
      <c r="O135" t="s">
        <v>3419</v>
      </c>
      <c r="P135">
        <v>41085806</v>
      </c>
    </row>
    <row r="136" spans="1:16">
      <c r="A136" t="s">
        <v>25</v>
      </c>
      <c r="B136">
        <v>2</v>
      </c>
      <c r="E136" t="s">
        <v>3411</v>
      </c>
      <c r="F136" t="s">
        <v>3412</v>
      </c>
      <c r="G136" t="s">
        <v>3413</v>
      </c>
      <c r="I136" t="s">
        <v>3338</v>
      </c>
      <c r="L136" t="s">
        <v>3342</v>
      </c>
      <c r="N136" t="s">
        <v>3420</v>
      </c>
      <c r="O136" t="s">
        <v>3421</v>
      </c>
      <c r="P136">
        <v>41085806</v>
      </c>
    </row>
    <row r="137" spans="1:16">
      <c r="A137" t="s">
        <v>25</v>
      </c>
      <c r="B137">
        <v>2</v>
      </c>
      <c r="E137" t="s">
        <v>3411</v>
      </c>
      <c r="F137" t="s">
        <v>3412</v>
      </c>
      <c r="G137" t="s">
        <v>3413</v>
      </c>
      <c r="I137" t="s">
        <v>3338</v>
      </c>
      <c r="J137" t="s">
        <v>2232</v>
      </c>
      <c r="K137" t="s">
        <v>2233</v>
      </c>
      <c r="L137" t="s">
        <v>3342</v>
      </c>
      <c r="N137" t="s">
        <v>3422</v>
      </c>
      <c r="O137" t="s">
        <v>3423</v>
      </c>
      <c r="P137">
        <v>41085806</v>
      </c>
    </row>
    <row r="138" spans="1:16">
      <c r="A138" t="s">
        <v>25</v>
      </c>
      <c r="B138">
        <v>0</v>
      </c>
      <c r="G138" t="s">
        <v>3338</v>
      </c>
      <c r="I138" t="s">
        <v>3338</v>
      </c>
      <c r="N138" t="s">
        <v>3424</v>
      </c>
      <c r="O138" t="s">
        <v>3425</v>
      </c>
      <c r="P138">
        <v>41085806</v>
      </c>
    </row>
    <row r="139" spans="1:16">
      <c r="A139" t="s">
        <v>25</v>
      </c>
      <c r="B139">
        <v>1</v>
      </c>
      <c r="E139" t="s">
        <v>3424</v>
      </c>
      <c r="F139" t="s">
        <v>3425</v>
      </c>
      <c r="G139" t="s">
        <v>3426</v>
      </c>
      <c r="I139" t="s">
        <v>3338</v>
      </c>
      <c r="J139" t="s">
        <v>2421</v>
      </c>
      <c r="K139" t="s">
        <v>3354</v>
      </c>
      <c r="L139" t="s">
        <v>3369</v>
      </c>
      <c r="N139" t="s">
        <v>3427</v>
      </c>
      <c r="O139" t="s">
        <v>3428</v>
      </c>
      <c r="P139">
        <v>41085806</v>
      </c>
    </row>
    <row r="140" spans="1:16">
      <c r="A140" t="s">
        <v>25</v>
      </c>
      <c r="B140">
        <v>1</v>
      </c>
      <c r="E140" t="s">
        <v>3424</v>
      </c>
      <c r="F140" t="s">
        <v>3425</v>
      </c>
      <c r="G140" t="s">
        <v>3426</v>
      </c>
      <c r="I140" t="s">
        <v>3338</v>
      </c>
      <c r="J140" t="s">
        <v>2421</v>
      </c>
      <c r="K140" t="s">
        <v>3354</v>
      </c>
      <c r="L140" t="s">
        <v>3369</v>
      </c>
      <c r="N140" t="s">
        <v>3429</v>
      </c>
      <c r="O140" t="s">
        <v>3430</v>
      </c>
      <c r="P140">
        <v>41085806</v>
      </c>
    </row>
    <row r="141" spans="1:16">
      <c r="A141" t="s">
        <v>25</v>
      </c>
      <c r="B141">
        <v>1</v>
      </c>
      <c r="E141" t="s">
        <v>3424</v>
      </c>
      <c r="F141" t="s">
        <v>3425</v>
      </c>
      <c r="G141" t="s">
        <v>3426</v>
      </c>
      <c r="I141" t="s">
        <v>3338</v>
      </c>
      <c r="J141" t="s">
        <v>2232</v>
      </c>
      <c r="K141" t="s">
        <v>2233</v>
      </c>
      <c r="L141" t="s">
        <v>3342</v>
      </c>
      <c r="N141" t="s">
        <v>3431</v>
      </c>
      <c r="O141" t="s">
        <v>3432</v>
      </c>
      <c r="P141">
        <v>41085806</v>
      </c>
    </row>
    <row r="142" spans="1:16">
      <c r="A142" t="s">
        <v>25</v>
      </c>
      <c r="B142">
        <v>0</v>
      </c>
      <c r="G142" t="s">
        <v>3338</v>
      </c>
      <c r="I142" t="s">
        <v>3338</v>
      </c>
      <c r="N142" t="s">
        <v>3433</v>
      </c>
      <c r="O142" t="s">
        <v>3434</v>
      </c>
      <c r="P142">
        <v>41085806</v>
      </c>
    </row>
    <row r="143" spans="1:16">
      <c r="A143" t="s">
        <v>25</v>
      </c>
      <c r="B143">
        <v>1</v>
      </c>
      <c r="E143" t="s">
        <v>3433</v>
      </c>
      <c r="F143" t="s">
        <v>3434</v>
      </c>
      <c r="G143" t="s">
        <v>3435</v>
      </c>
      <c r="I143" t="s">
        <v>3338</v>
      </c>
      <c r="J143" t="s">
        <v>2232</v>
      </c>
      <c r="K143" t="s">
        <v>2233</v>
      </c>
      <c r="L143" t="s">
        <v>3342</v>
      </c>
      <c r="N143" t="s">
        <v>3436</v>
      </c>
      <c r="O143" t="s">
        <v>3437</v>
      </c>
      <c r="P143">
        <v>41085806</v>
      </c>
    </row>
    <row r="144" spans="1:16">
      <c r="A144" t="s">
        <v>25</v>
      </c>
      <c r="B144">
        <v>1</v>
      </c>
      <c r="E144" t="s">
        <v>3433</v>
      </c>
      <c r="F144" t="s">
        <v>3434</v>
      </c>
      <c r="G144" t="s">
        <v>3435</v>
      </c>
      <c r="I144" t="s">
        <v>3338</v>
      </c>
      <c r="J144" t="s">
        <v>2232</v>
      </c>
      <c r="K144" t="s">
        <v>2233</v>
      </c>
      <c r="L144" t="s">
        <v>3342</v>
      </c>
      <c r="N144" t="s">
        <v>3438</v>
      </c>
      <c r="O144" t="s">
        <v>3439</v>
      </c>
      <c r="P144">
        <v>41085806</v>
      </c>
    </row>
    <row r="145" spans="1:16">
      <c r="A145" t="s">
        <v>25</v>
      </c>
      <c r="B145">
        <v>1</v>
      </c>
      <c r="E145" t="s">
        <v>3433</v>
      </c>
      <c r="F145" t="s">
        <v>3434</v>
      </c>
      <c r="G145" t="s">
        <v>3435</v>
      </c>
      <c r="I145" t="s">
        <v>3338</v>
      </c>
      <c r="J145" t="s">
        <v>2232</v>
      </c>
      <c r="K145" t="s">
        <v>2233</v>
      </c>
      <c r="L145" t="s">
        <v>3342</v>
      </c>
      <c r="N145" t="s">
        <v>3440</v>
      </c>
      <c r="O145" t="s">
        <v>3441</v>
      </c>
      <c r="P145">
        <v>41085806</v>
      </c>
    </row>
    <row r="146" spans="1:16">
      <c r="A146" t="s">
        <v>25</v>
      </c>
      <c r="B146">
        <v>1</v>
      </c>
      <c r="E146" t="s">
        <v>3433</v>
      </c>
      <c r="F146" t="s">
        <v>3434</v>
      </c>
      <c r="G146" t="s">
        <v>3435</v>
      </c>
      <c r="I146" t="s">
        <v>3338</v>
      </c>
      <c r="J146" t="s">
        <v>2232</v>
      </c>
      <c r="K146" t="s">
        <v>2233</v>
      </c>
      <c r="L146" t="s">
        <v>3342</v>
      </c>
      <c r="N146" t="s">
        <v>3442</v>
      </c>
      <c r="O146" t="s">
        <v>3443</v>
      </c>
      <c r="P146">
        <v>41085806</v>
      </c>
    </row>
    <row r="147" spans="1:16">
      <c r="A147" t="s">
        <v>25</v>
      </c>
      <c r="B147">
        <v>1</v>
      </c>
      <c r="E147" t="s">
        <v>3433</v>
      </c>
      <c r="F147" t="s">
        <v>3434</v>
      </c>
      <c r="G147" t="s">
        <v>3435</v>
      </c>
      <c r="I147" t="s">
        <v>3338</v>
      </c>
      <c r="J147" t="s">
        <v>2232</v>
      </c>
      <c r="K147" t="s">
        <v>2233</v>
      </c>
      <c r="L147" t="s">
        <v>3342</v>
      </c>
      <c r="N147" t="s">
        <v>3444</v>
      </c>
      <c r="O147" t="s">
        <v>3445</v>
      </c>
      <c r="P147">
        <v>41085806</v>
      </c>
    </row>
    <row r="148" spans="1:16">
      <c r="A148" t="s">
        <v>25</v>
      </c>
      <c r="B148">
        <v>1</v>
      </c>
      <c r="E148" t="s">
        <v>3433</v>
      </c>
      <c r="F148" t="s">
        <v>3434</v>
      </c>
      <c r="G148" t="s">
        <v>3435</v>
      </c>
      <c r="I148" t="s">
        <v>3338</v>
      </c>
      <c r="J148" t="s">
        <v>2232</v>
      </c>
      <c r="K148" t="s">
        <v>2233</v>
      </c>
      <c r="L148" t="s">
        <v>3342</v>
      </c>
      <c r="N148" t="s">
        <v>3446</v>
      </c>
      <c r="O148" t="s">
        <v>3447</v>
      </c>
      <c r="P148">
        <v>41085806</v>
      </c>
    </row>
    <row r="149" spans="1:16">
      <c r="A149" t="s">
        <v>25</v>
      </c>
      <c r="B149">
        <v>0</v>
      </c>
      <c r="G149" t="s">
        <v>3338</v>
      </c>
      <c r="I149" t="s">
        <v>3338</v>
      </c>
      <c r="N149" t="s">
        <v>3448</v>
      </c>
      <c r="O149" t="s">
        <v>3449</v>
      </c>
      <c r="P149">
        <v>41085806</v>
      </c>
    </row>
    <row r="150" spans="1:16">
      <c r="A150" t="s">
        <v>25</v>
      </c>
      <c r="B150">
        <v>1</v>
      </c>
      <c r="E150" t="s">
        <v>3448</v>
      </c>
      <c r="F150" t="s">
        <v>3449</v>
      </c>
      <c r="G150" t="s">
        <v>3450</v>
      </c>
      <c r="I150" t="s">
        <v>3338</v>
      </c>
      <c r="J150" t="s">
        <v>2421</v>
      </c>
      <c r="K150" t="s">
        <v>3354</v>
      </c>
      <c r="L150" t="s">
        <v>3451</v>
      </c>
      <c r="N150" t="s">
        <v>3452</v>
      </c>
      <c r="O150" t="s">
        <v>3453</v>
      </c>
      <c r="P150">
        <v>41085806</v>
      </c>
    </row>
    <row r="151" spans="1:16">
      <c r="A151" t="s">
        <v>25</v>
      </c>
      <c r="B151">
        <v>0</v>
      </c>
      <c r="G151" t="s">
        <v>3456</v>
      </c>
      <c r="I151" t="s">
        <v>3456</v>
      </c>
      <c r="M151" t="s">
        <v>3457</v>
      </c>
      <c r="N151" t="s">
        <v>3458</v>
      </c>
      <c r="O151" t="s">
        <v>3459</v>
      </c>
      <c r="P151">
        <v>41085806</v>
      </c>
    </row>
    <row r="152" spans="1:16">
      <c r="A152" t="s">
        <v>26</v>
      </c>
      <c r="B152">
        <v>0</v>
      </c>
      <c r="G152" t="s">
        <v>3338</v>
      </c>
      <c r="I152" t="s">
        <v>3338</v>
      </c>
      <c r="N152" t="s">
        <v>3339</v>
      </c>
      <c r="O152" t="s">
        <v>3340</v>
      </c>
      <c r="P152">
        <v>40151520</v>
      </c>
    </row>
    <row r="153" spans="1:16">
      <c r="A153" t="s">
        <v>26</v>
      </c>
      <c r="B153">
        <v>1</v>
      </c>
      <c r="E153" t="s">
        <v>3339</v>
      </c>
      <c r="F153" t="s">
        <v>3340</v>
      </c>
      <c r="G153" t="s">
        <v>3341</v>
      </c>
      <c r="I153" t="s">
        <v>3338</v>
      </c>
      <c r="J153" t="s">
        <v>2232</v>
      </c>
      <c r="K153" t="s">
        <v>2233</v>
      </c>
      <c r="L153" t="s">
        <v>3342</v>
      </c>
      <c r="N153" t="s">
        <v>3343</v>
      </c>
      <c r="O153" t="s">
        <v>3344</v>
      </c>
      <c r="P153">
        <v>40151520</v>
      </c>
    </row>
    <row r="154" spans="1:16">
      <c r="A154" t="s">
        <v>26</v>
      </c>
      <c r="B154">
        <v>1</v>
      </c>
      <c r="E154" t="s">
        <v>3339</v>
      </c>
      <c r="F154" t="s">
        <v>3340</v>
      </c>
      <c r="G154" t="s">
        <v>3341</v>
      </c>
      <c r="I154" t="s">
        <v>3338</v>
      </c>
      <c r="J154" t="s">
        <v>2232</v>
      </c>
      <c r="K154" t="s">
        <v>2233</v>
      </c>
      <c r="L154" t="s">
        <v>3342</v>
      </c>
      <c r="N154" t="s">
        <v>3345</v>
      </c>
      <c r="O154" t="s">
        <v>3346</v>
      </c>
      <c r="P154">
        <v>40151520</v>
      </c>
    </row>
    <row r="155" spans="1:16">
      <c r="A155" t="s">
        <v>26</v>
      </c>
      <c r="B155">
        <v>0</v>
      </c>
      <c r="G155" t="s">
        <v>3338</v>
      </c>
      <c r="I155" t="s">
        <v>3338</v>
      </c>
      <c r="N155" t="s">
        <v>3347</v>
      </c>
      <c r="O155" t="s">
        <v>3344</v>
      </c>
      <c r="P155">
        <v>40151520</v>
      </c>
    </row>
    <row r="156" spans="1:16">
      <c r="A156" t="s">
        <v>26</v>
      </c>
      <c r="B156">
        <v>1</v>
      </c>
      <c r="E156" t="s">
        <v>3347</v>
      </c>
      <c r="F156" t="s">
        <v>3344</v>
      </c>
      <c r="G156" t="s">
        <v>3348</v>
      </c>
      <c r="I156" t="s">
        <v>3338</v>
      </c>
      <c r="J156" t="s">
        <v>2232</v>
      </c>
      <c r="K156" t="s">
        <v>2233</v>
      </c>
      <c r="L156" t="s">
        <v>3342</v>
      </c>
      <c r="N156" t="s">
        <v>3349</v>
      </c>
      <c r="O156" t="s">
        <v>3350</v>
      </c>
      <c r="P156">
        <v>40151520</v>
      </c>
    </row>
    <row r="157" spans="1:16">
      <c r="A157" t="s">
        <v>26</v>
      </c>
      <c r="B157">
        <v>1</v>
      </c>
      <c r="E157" t="s">
        <v>3347</v>
      </c>
      <c r="F157" t="s">
        <v>3344</v>
      </c>
      <c r="G157" t="s">
        <v>3348</v>
      </c>
      <c r="I157" t="s">
        <v>3338</v>
      </c>
      <c r="L157" t="s">
        <v>193</v>
      </c>
      <c r="N157" t="s">
        <v>3351</v>
      </c>
      <c r="O157" t="s">
        <v>3352</v>
      </c>
      <c r="P157">
        <v>40151520</v>
      </c>
    </row>
    <row r="158" spans="1:16">
      <c r="A158" t="s">
        <v>26</v>
      </c>
      <c r="B158">
        <v>2</v>
      </c>
      <c r="E158" t="s">
        <v>3351</v>
      </c>
      <c r="F158" t="s">
        <v>3352</v>
      </c>
      <c r="G158" t="s">
        <v>3353</v>
      </c>
      <c r="I158" t="s">
        <v>3338</v>
      </c>
      <c r="J158" t="s">
        <v>2421</v>
      </c>
      <c r="K158" t="s">
        <v>3354</v>
      </c>
      <c r="L158" t="s">
        <v>3355</v>
      </c>
      <c r="N158" t="s">
        <v>3356</v>
      </c>
      <c r="O158" t="s">
        <v>3357</v>
      </c>
      <c r="P158">
        <v>40151520</v>
      </c>
    </row>
    <row r="159" spans="1:16">
      <c r="A159" t="s">
        <v>26</v>
      </c>
      <c r="B159">
        <v>2</v>
      </c>
      <c r="E159" t="s">
        <v>3351</v>
      </c>
      <c r="F159" t="s">
        <v>3352</v>
      </c>
      <c r="G159" t="s">
        <v>3353</v>
      </c>
      <c r="I159" t="s">
        <v>3338</v>
      </c>
      <c r="J159" t="s">
        <v>2421</v>
      </c>
      <c r="K159" t="s">
        <v>3354</v>
      </c>
      <c r="L159" t="s">
        <v>3355</v>
      </c>
      <c r="N159" t="s">
        <v>3358</v>
      </c>
      <c r="O159" t="s">
        <v>3359</v>
      </c>
      <c r="P159">
        <v>40151520</v>
      </c>
    </row>
    <row r="160" spans="1:16">
      <c r="A160" t="s">
        <v>26</v>
      </c>
      <c r="B160">
        <v>2</v>
      </c>
      <c r="E160" t="s">
        <v>3351</v>
      </c>
      <c r="F160" t="s">
        <v>3352</v>
      </c>
      <c r="G160" t="s">
        <v>3353</v>
      </c>
      <c r="I160" t="s">
        <v>3338</v>
      </c>
      <c r="J160" t="s">
        <v>2421</v>
      </c>
      <c r="K160" t="s">
        <v>3354</v>
      </c>
      <c r="L160" t="s">
        <v>3355</v>
      </c>
      <c r="N160" t="s">
        <v>3360</v>
      </c>
      <c r="O160" t="s">
        <v>3361</v>
      </c>
      <c r="P160">
        <v>40151520</v>
      </c>
    </row>
    <row r="161" spans="1:16">
      <c r="A161" t="s">
        <v>26</v>
      </c>
      <c r="B161">
        <v>1</v>
      </c>
      <c r="E161" t="s">
        <v>3347</v>
      </c>
      <c r="F161" t="s">
        <v>3344</v>
      </c>
      <c r="G161" t="s">
        <v>3348</v>
      </c>
      <c r="I161" t="s">
        <v>3338</v>
      </c>
      <c r="J161" t="s">
        <v>2236</v>
      </c>
      <c r="K161" t="s">
        <v>3362</v>
      </c>
      <c r="L161" t="s">
        <v>3363</v>
      </c>
      <c r="N161" t="s">
        <v>3364</v>
      </c>
      <c r="O161" t="s">
        <v>3365</v>
      </c>
      <c r="P161">
        <v>40151520</v>
      </c>
    </row>
    <row r="162" spans="1:16">
      <c r="A162" t="s">
        <v>26</v>
      </c>
      <c r="B162">
        <v>1</v>
      </c>
      <c r="E162" t="s">
        <v>3347</v>
      </c>
      <c r="F162" t="s">
        <v>3344</v>
      </c>
      <c r="G162" t="s">
        <v>3348</v>
      </c>
      <c r="I162" t="s">
        <v>3338</v>
      </c>
      <c r="L162" t="s">
        <v>193</v>
      </c>
      <c r="N162" t="s">
        <v>3366</v>
      </c>
      <c r="O162" t="s">
        <v>3367</v>
      </c>
      <c r="P162">
        <v>40151520</v>
      </c>
    </row>
    <row r="163" spans="1:16">
      <c r="A163" t="s">
        <v>26</v>
      </c>
      <c r="B163">
        <v>2</v>
      </c>
      <c r="E163" t="s">
        <v>3366</v>
      </c>
      <c r="F163" t="s">
        <v>3367</v>
      </c>
      <c r="G163" t="s">
        <v>3368</v>
      </c>
      <c r="I163" t="s">
        <v>3338</v>
      </c>
      <c r="J163" t="s">
        <v>2421</v>
      </c>
      <c r="K163" t="s">
        <v>3354</v>
      </c>
      <c r="L163" t="s">
        <v>3369</v>
      </c>
      <c r="N163" t="s">
        <v>3370</v>
      </c>
      <c r="O163" t="s">
        <v>3359</v>
      </c>
      <c r="P163">
        <v>40151520</v>
      </c>
    </row>
    <row r="164" spans="1:16">
      <c r="A164" t="s">
        <v>26</v>
      </c>
      <c r="B164">
        <v>2</v>
      </c>
      <c r="E164" t="s">
        <v>3366</v>
      </c>
      <c r="F164" t="s">
        <v>3367</v>
      </c>
      <c r="G164" t="s">
        <v>3368</v>
      </c>
      <c r="I164" t="s">
        <v>3338</v>
      </c>
      <c r="J164" t="s">
        <v>2421</v>
      </c>
      <c r="K164" t="s">
        <v>3354</v>
      </c>
      <c r="L164" t="s">
        <v>3369</v>
      </c>
      <c r="N164" t="s">
        <v>3371</v>
      </c>
      <c r="O164" t="s">
        <v>3372</v>
      </c>
      <c r="P164">
        <v>40151520</v>
      </c>
    </row>
    <row r="165" spans="1:16">
      <c r="A165" t="s">
        <v>26</v>
      </c>
      <c r="B165">
        <v>2</v>
      </c>
      <c r="E165" t="s">
        <v>3366</v>
      </c>
      <c r="F165" t="s">
        <v>3367</v>
      </c>
      <c r="G165" t="s">
        <v>3368</v>
      </c>
      <c r="I165" t="s">
        <v>3338</v>
      </c>
      <c r="J165" t="s">
        <v>2421</v>
      </c>
      <c r="K165" t="s">
        <v>3354</v>
      </c>
      <c r="L165" t="s">
        <v>3369</v>
      </c>
      <c r="N165" t="s">
        <v>3373</v>
      </c>
      <c r="O165" t="s">
        <v>3374</v>
      </c>
      <c r="P165">
        <v>40151520</v>
      </c>
    </row>
    <row r="166" spans="1:16">
      <c r="A166" t="s">
        <v>26</v>
      </c>
      <c r="B166">
        <v>2</v>
      </c>
      <c r="E166" t="s">
        <v>3366</v>
      </c>
      <c r="F166" t="s">
        <v>3367</v>
      </c>
      <c r="G166" t="s">
        <v>3368</v>
      </c>
      <c r="I166" t="s">
        <v>3338</v>
      </c>
      <c r="J166" t="s">
        <v>2236</v>
      </c>
      <c r="K166" t="s">
        <v>3362</v>
      </c>
      <c r="L166" t="s">
        <v>3363</v>
      </c>
      <c r="N166" t="s">
        <v>3375</v>
      </c>
      <c r="O166" t="s">
        <v>3376</v>
      </c>
      <c r="P166">
        <v>40151520</v>
      </c>
    </row>
    <row r="167" spans="1:16">
      <c r="A167" t="s">
        <v>26</v>
      </c>
      <c r="B167">
        <v>0</v>
      </c>
      <c r="G167" t="s">
        <v>3338</v>
      </c>
      <c r="I167" t="s">
        <v>3338</v>
      </c>
      <c r="N167" t="s">
        <v>3377</v>
      </c>
      <c r="O167" t="s">
        <v>3346</v>
      </c>
      <c r="P167">
        <v>40151520</v>
      </c>
    </row>
    <row r="168" spans="1:16">
      <c r="A168" t="s">
        <v>26</v>
      </c>
      <c r="B168">
        <v>1</v>
      </c>
      <c r="E168" t="s">
        <v>3377</v>
      </c>
      <c r="F168" t="s">
        <v>3346</v>
      </c>
      <c r="G168" t="s">
        <v>3378</v>
      </c>
      <c r="I168" t="s">
        <v>3338</v>
      </c>
      <c r="L168" t="s">
        <v>193</v>
      </c>
      <c r="N168" t="s">
        <v>3379</v>
      </c>
      <c r="O168" t="s">
        <v>3380</v>
      </c>
      <c r="P168">
        <v>40151520</v>
      </c>
    </row>
    <row r="169" spans="1:16">
      <c r="A169" t="s">
        <v>26</v>
      </c>
      <c r="B169">
        <v>2</v>
      </c>
      <c r="E169" t="s">
        <v>3379</v>
      </c>
      <c r="F169" t="s">
        <v>3380</v>
      </c>
      <c r="G169" t="s">
        <v>3381</v>
      </c>
      <c r="I169" t="s">
        <v>3338</v>
      </c>
      <c r="J169" t="s">
        <v>2421</v>
      </c>
      <c r="K169" t="s">
        <v>3354</v>
      </c>
      <c r="L169" t="s">
        <v>3369</v>
      </c>
      <c r="N169" t="s">
        <v>3382</v>
      </c>
      <c r="O169" t="s">
        <v>3352</v>
      </c>
      <c r="P169">
        <v>40151520</v>
      </c>
    </row>
    <row r="170" spans="1:16">
      <c r="A170" t="s">
        <v>26</v>
      </c>
      <c r="B170">
        <v>2</v>
      </c>
      <c r="E170" t="s">
        <v>3379</v>
      </c>
      <c r="F170" t="s">
        <v>3380</v>
      </c>
      <c r="G170" t="s">
        <v>3381</v>
      </c>
      <c r="I170" t="s">
        <v>3338</v>
      </c>
      <c r="L170" t="s">
        <v>3383</v>
      </c>
      <c r="N170" t="s">
        <v>3384</v>
      </c>
      <c r="O170" t="s">
        <v>3385</v>
      </c>
      <c r="P170">
        <v>40151520</v>
      </c>
    </row>
    <row r="171" spans="1:16">
      <c r="A171" t="s">
        <v>26</v>
      </c>
      <c r="B171">
        <v>2</v>
      </c>
      <c r="E171" t="s">
        <v>3379</v>
      </c>
      <c r="F171" t="s">
        <v>3380</v>
      </c>
      <c r="G171" t="s">
        <v>3381</v>
      </c>
      <c r="I171" t="s">
        <v>3338</v>
      </c>
      <c r="J171" t="s">
        <v>2232</v>
      </c>
      <c r="K171" t="s">
        <v>2233</v>
      </c>
      <c r="L171" t="s">
        <v>3342</v>
      </c>
      <c r="N171" t="s">
        <v>3386</v>
      </c>
      <c r="O171" t="s">
        <v>3350</v>
      </c>
      <c r="P171">
        <v>40151520</v>
      </c>
    </row>
    <row r="172" spans="1:16">
      <c r="A172" t="s">
        <v>26</v>
      </c>
      <c r="B172">
        <v>0</v>
      </c>
      <c r="G172" t="s">
        <v>3338</v>
      </c>
      <c r="I172" t="s">
        <v>3338</v>
      </c>
      <c r="N172" t="s">
        <v>3395</v>
      </c>
      <c r="O172" t="s">
        <v>3396</v>
      </c>
      <c r="P172">
        <v>40151520</v>
      </c>
    </row>
    <row r="173" spans="1:16">
      <c r="A173" t="s">
        <v>26</v>
      </c>
      <c r="B173">
        <v>1</v>
      </c>
      <c r="E173" t="s">
        <v>3395</v>
      </c>
      <c r="F173" t="s">
        <v>3396</v>
      </c>
      <c r="G173" t="s">
        <v>3397</v>
      </c>
      <c r="I173" t="s">
        <v>3338</v>
      </c>
      <c r="L173" t="s">
        <v>3342</v>
      </c>
      <c r="N173" t="s">
        <v>3398</v>
      </c>
      <c r="O173" t="s">
        <v>3399</v>
      </c>
      <c r="P173">
        <v>40151520</v>
      </c>
    </row>
    <row r="174" spans="1:16">
      <c r="A174" t="s">
        <v>26</v>
      </c>
      <c r="B174">
        <v>1</v>
      </c>
      <c r="E174" t="s">
        <v>3395</v>
      </c>
      <c r="F174" t="s">
        <v>3396</v>
      </c>
      <c r="G174" t="s">
        <v>3397</v>
      </c>
      <c r="I174" t="s">
        <v>3338</v>
      </c>
      <c r="J174" t="s">
        <v>2232</v>
      </c>
      <c r="K174" t="s">
        <v>2233</v>
      </c>
      <c r="L174" t="s">
        <v>3342</v>
      </c>
      <c r="N174" t="s">
        <v>3400</v>
      </c>
      <c r="O174" t="s">
        <v>3401</v>
      </c>
      <c r="P174">
        <v>40151520</v>
      </c>
    </row>
    <row r="175" spans="1:16">
      <c r="A175" t="s">
        <v>26</v>
      </c>
      <c r="B175">
        <v>1</v>
      </c>
      <c r="E175" t="s">
        <v>3395</v>
      </c>
      <c r="F175" t="s">
        <v>3396</v>
      </c>
      <c r="G175" t="s">
        <v>3397</v>
      </c>
      <c r="I175" t="s">
        <v>3338</v>
      </c>
      <c r="L175" t="s">
        <v>3342</v>
      </c>
      <c r="N175" t="s">
        <v>3402</v>
      </c>
      <c r="O175" t="s">
        <v>3403</v>
      </c>
      <c r="P175">
        <v>40151520</v>
      </c>
    </row>
    <row r="176" spans="1:16">
      <c r="A176" t="s">
        <v>26</v>
      </c>
      <c r="B176">
        <v>1</v>
      </c>
      <c r="E176" t="s">
        <v>3395</v>
      </c>
      <c r="F176" t="s">
        <v>3396</v>
      </c>
      <c r="G176" t="s">
        <v>3397</v>
      </c>
      <c r="I176" t="s">
        <v>3338</v>
      </c>
      <c r="J176" t="s">
        <v>2232</v>
      </c>
      <c r="K176" t="s">
        <v>2233</v>
      </c>
      <c r="L176" t="s">
        <v>3342</v>
      </c>
      <c r="N176" t="s">
        <v>3404</v>
      </c>
      <c r="O176" t="s">
        <v>3405</v>
      </c>
      <c r="P176">
        <v>40151520</v>
      </c>
    </row>
    <row r="177" spans="1:16">
      <c r="A177" t="s">
        <v>26</v>
      </c>
      <c r="B177">
        <v>0</v>
      </c>
      <c r="G177" t="s">
        <v>3338</v>
      </c>
      <c r="I177" t="s">
        <v>3338</v>
      </c>
      <c r="N177" t="s">
        <v>3406</v>
      </c>
      <c r="O177" t="s">
        <v>3407</v>
      </c>
      <c r="P177">
        <v>40151520</v>
      </c>
    </row>
    <row r="178" spans="1:16">
      <c r="A178" t="s">
        <v>26</v>
      </c>
      <c r="B178">
        <v>1</v>
      </c>
      <c r="E178" t="s">
        <v>3406</v>
      </c>
      <c r="F178" t="s">
        <v>3407</v>
      </c>
      <c r="G178" t="s">
        <v>3408</v>
      </c>
      <c r="I178" t="s">
        <v>3338</v>
      </c>
      <c r="J178" t="s">
        <v>2421</v>
      </c>
      <c r="K178" t="s">
        <v>3354</v>
      </c>
      <c r="L178" t="s">
        <v>3369</v>
      </c>
      <c r="N178" t="s">
        <v>3409</v>
      </c>
      <c r="O178" t="s">
        <v>3410</v>
      </c>
      <c r="P178">
        <v>40151520</v>
      </c>
    </row>
    <row r="179" spans="1:16">
      <c r="A179" t="s">
        <v>26</v>
      </c>
      <c r="B179">
        <v>1</v>
      </c>
      <c r="E179" t="s">
        <v>3406</v>
      </c>
      <c r="F179" t="s">
        <v>3407</v>
      </c>
      <c r="G179" t="s">
        <v>3408</v>
      </c>
      <c r="I179" t="s">
        <v>3338</v>
      </c>
      <c r="L179" t="s">
        <v>193</v>
      </c>
      <c r="N179" t="s">
        <v>3411</v>
      </c>
      <c r="O179" t="s">
        <v>3412</v>
      </c>
      <c r="P179">
        <v>40151520</v>
      </c>
    </row>
    <row r="180" spans="1:16">
      <c r="A180" t="s">
        <v>26</v>
      </c>
      <c r="B180">
        <v>2</v>
      </c>
      <c r="E180" t="s">
        <v>3411</v>
      </c>
      <c r="F180" t="s">
        <v>3412</v>
      </c>
      <c r="G180" t="s">
        <v>3413</v>
      </c>
      <c r="I180" t="s">
        <v>3338</v>
      </c>
      <c r="L180" t="s">
        <v>3342</v>
      </c>
      <c r="N180" t="s">
        <v>3414</v>
      </c>
      <c r="O180" t="s">
        <v>3415</v>
      </c>
      <c r="P180">
        <v>40151520</v>
      </c>
    </row>
    <row r="181" spans="1:16">
      <c r="A181" t="s">
        <v>26</v>
      </c>
      <c r="B181">
        <v>2</v>
      </c>
      <c r="E181" t="s">
        <v>3411</v>
      </c>
      <c r="F181" t="s">
        <v>3412</v>
      </c>
      <c r="G181" t="s">
        <v>3413</v>
      </c>
      <c r="I181" t="s">
        <v>3338</v>
      </c>
      <c r="J181" t="s">
        <v>2232</v>
      </c>
      <c r="K181" t="s">
        <v>2233</v>
      </c>
      <c r="L181" t="s">
        <v>3342</v>
      </c>
      <c r="N181" t="s">
        <v>3416</v>
      </c>
      <c r="O181" t="s">
        <v>3417</v>
      </c>
      <c r="P181">
        <v>40151520</v>
      </c>
    </row>
    <row r="182" spans="1:16">
      <c r="A182" t="s">
        <v>26</v>
      </c>
      <c r="B182">
        <v>2</v>
      </c>
      <c r="E182" t="s">
        <v>3411</v>
      </c>
      <c r="F182" t="s">
        <v>3412</v>
      </c>
      <c r="G182" t="s">
        <v>3413</v>
      </c>
      <c r="I182" t="s">
        <v>3338</v>
      </c>
      <c r="J182" t="s">
        <v>2232</v>
      </c>
      <c r="K182" t="s">
        <v>2233</v>
      </c>
      <c r="L182" t="s">
        <v>3342</v>
      </c>
      <c r="N182" t="s">
        <v>3418</v>
      </c>
      <c r="O182" t="s">
        <v>3419</v>
      </c>
      <c r="P182">
        <v>40151520</v>
      </c>
    </row>
    <row r="183" spans="1:16">
      <c r="A183" t="s">
        <v>26</v>
      </c>
      <c r="B183">
        <v>2</v>
      </c>
      <c r="E183" t="s">
        <v>3411</v>
      </c>
      <c r="F183" t="s">
        <v>3412</v>
      </c>
      <c r="G183" t="s">
        <v>3413</v>
      </c>
      <c r="I183" t="s">
        <v>3338</v>
      </c>
      <c r="L183" t="s">
        <v>3342</v>
      </c>
      <c r="N183" t="s">
        <v>3420</v>
      </c>
      <c r="O183" t="s">
        <v>3421</v>
      </c>
      <c r="P183">
        <v>40151520</v>
      </c>
    </row>
    <row r="184" spans="1:16">
      <c r="A184" t="s">
        <v>26</v>
      </c>
      <c r="B184">
        <v>2</v>
      </c>
      <c r="E184" t="s">
        <v>3411</v>
      </c>
      <c r="F184" t="s">
        <v>3412</v>
      </c>
      <c r="G184" t="s">
        <v>3413</v>
      </c>
      <c r="I184" t="s">
        <v>3338</v>
      </c>
      <c r="J184" t="s">
        <v>2232</v>
      </c>
      <c r="K184" t="s">
        <v>2233</v>
      </c>
      <c r="L184" t="s">
        <v>3342</v>
      </c>
      <c r="N184" t="s">
        <v>3422</v>
      </c>
      <c r="O184" t="s">
        <v>3423</v>
      </c>
      <c r="P184">
        <v>40151520</v>
      </c>
    </row>
    <row r="185" spans="1:16">
      <c r="A185" t="s">
        <v>26</v>
      </c>
      <c r="B185">
        <v>0</v>
      </c>
      <c r="G185" t="s">
        <v>3338</v>
      </c>
      <c r="I185" t="s">
        <v>3338</v>
      </c>
      <c r="N185" t="s">
        <v>3424</v>
      </c>
      <c r="O185" t="s">
        <v>3425</v>
      </c>
      <c r="P185">
        <v>40151520</v>
      </c>
    </row>
    <row r="186" spans="1:16">
      <c r="A186" t="s">
        <v>26</v>
      </c>
      <c r="B186">
        <v>1</v>
      </c>
      <c r="E186" t="s">
        <v>3424</v>
      </c>
      <c r="F186" t="s">
        <v>3425</v>
      </c>
      <c r="G186" t="s">
        <v>3426</v>
      </c>
      <c r="I186" t="s">
        <v>3338</v>
      </c>
      <c r="J186" t="s">
        <v>2421</v>
      </c>
      <c r="K186" t="s">
        <v>3354</v>
      </c>
      <c r="L186" t="s">
        <v>3369</v>
      </c>
      <c r="N186" t="s">
        <v>3427</v>
      </c>
      <c r="O186" t="s">
        <v>3428</v>
      </c>
      <c r="P186">
        <v>40151520</v>
      </c>
    </row>
    <row r="187" spans="1:16">
      <c r="A187" t="s">
        <v>26</v>
      </c>
      <c r="B187">
        <v>1</v>
      </c>
      <c r="E187" t="s">
        <v>3424</v>
      </c>
      <c r="F187" t="s">
        <v>3425</v>
      </c>
      <c r="G187" t="s">
        <v>3426</v>
      </c>
      <c r="I187" t="s">
        <v>3338</v>
      </c>
      <c r="J187" t="s">
        <v>2421</v>
      </c>
      <c r="K187" t="s">
        <v>3354</v>
      </c>
      <c r="L187" t="s">
        <v>3369</v>
      </c>
      <c r="N187" t="s">
        <v>3429</v>
      </c>
      <c r="O187" t="s">
        <v>3430</v>
      </c>
      <c r="P187">
        <v>40151520</v>
      </c>
    </row>
    <row r="188" spans="1:16">
      <c r="A188" t="s">
        <v>26</v>
      </c>
      <c r="B188">
        <v>1</v>
      </c>
      <c r="E188" t="s">
        <v>3424</v>
      </c>
      <c r="F188" t="s">
        <v>3425</v>
      </c>
      <c r="G188" t="s">
        <v>3426</v>
      </c>
      <c r="I188" t="s">
        <v>3338</v>
      </c>
      <c r="J188" t="s">
        <v>2232</v>
      </c>
      <c r="K188" t="s">
        <v>2233</v>
      </c>
      <c r="L188" t="s">
        <v>3342</v>
      </c>
      <c r="N188" t="s">
        <v>3431</v>
      </c>
      <c r="O188" t="s">
        <v>3432</v>
      </c>
      <c r="P188">
        <v>40151520</v>
      </c>
    </row>
    <row r="189" spans="1:16">
      <c r="A189" t="s">
        <v>26</v>
      </c>
      <c r="B189">
        <v>0</v>
      </c>
      <c r="G189" t="s">
        <v>3338</v>
      </c>
      <c r="I189" t="s">
        <v>3338</v>
      </c>
      <c r="N189" t="s">
        <v>3433</v>
      </c>
      <c r="O189" t="s">
        <v>3434</v>
      </c>
      <c r="P189">
        <v>40151520</v>
      </c>
    </row>
    <row r="190" spans="1:16">
      <c r="A190" t="s">
        <v>26</v>
      </c>
      <c r="B190">
        <v>1</v>
      </c>
      <c r="E190" t="s">
        <v>3433</v>
      </c>
      <c r="F190" t="s">
        <v>3434</v>
      </c>
      <c r="G190" t="s">
        <v>3435</v>
      </c>
      <c r="I190" t="s">
        <v>3338</v>
      </c>
      <c r="J190" t="s">
        <v>2232</v>
      </c>
      <c r="K190" t="s">
        <v>2233</v>
      </c>
      <c r="L190" t="s">
        <v>3342</v>
      </c>
      <c r="N190" t="s">
        <v>3436</v>
      </c>
      <c r="O190" t="s">
        <v>3437</v>
      </c>
      <c r="P190">
        <v>40151520</v>
      </c>
    </row>
    <row r="191" spans="1:16">
      <c r="A191" t="s">
        <v>26</v>
      </c>
      <c r="B191">
        <v>1</v>
      </c>
      <c r="E191" t="s">
        <v>3433</v>
      </c>
      <c r="F191" t="s">
        <v>3434</v>
      </c>
      <c r="G191" t="s">
        <v>3435</v>
      </c>
      <c r="I191" t="s">
        <v>3338</v>
      </c>
      <c r="J191" t="s">
        <v>2232</v>
      </c>
      <c r="K191" t="s">
        <v>2233</v>
      </c>
      <c r="L191" t="s">
        <v>3342</v>
      </c>
      <c r="N191" t="s">
        <v>3438</v>
      </c>
      <c r="O191" t="s">
        <v>3439</v>
      </c>
      <c r="P191">
        <v>40151520</v>
      </c>
    </row>
    <row r="192" spans="1:16">
      <c r="A192" t="s">
        <v>26</v>
      </c>
      <c r="B192">
        <v>1</v>
      </c>
      <c r="E192" t="s">
        <v>3433</v>
      </c>
      <c r="F192" t="s">
        <v>3434</v>
      </c>
      <c r="G192" t="s">
        <v>3435</v>
      </c>
      <c r="I192" t="s">
        <v>3338</v>
      </c>
      <c r="J192" t="s">
        <v>2232</v>
      </c>
      <c r="K192" t="s">
        <v>2233</v>
      </c>
      <c r="L192" t="s">
        <v>3342</v>
      </c>
      <c r="N192" t="s">
        <v>3440</v>
      </c>
      <c r="O192" t="s">
        <v>3441</v>
      </c>
      <c r="P192">
        <v>40151520</v>
      </c>
    </row>
    <row r="193" spans="1:16">
      <c r="A193" t="s">
        <v>26</v>
      </c>
      <c r="B193">
        <v>1</v>
      </c>
      <c r="E193" t="s">
        <v>3433</v>
      </c>
      <c r="F193" t="s">
        <v>3434</v>
      </c>
      <c r="G193" t="s">
        <v>3435</v>
      </c>
      <c r="I193" t="s">
        <v>3338</v>
      </c>
      <c r="J193" t="s">
        <v>2232</v>
      </c>
      <c r="K193" t="s">
        <v>2233</v>
      </c>
      <c r="L193" t="s">
        <v>3342</v>
      </c>
      <c r="N193" t="s">
        <v>3442</v>
      </c>
      <c r="O193" t="s">
        <v>3443</v>
      </c>
      <c r="P193">
        <v>40151520</v>
      </c>
    </row>
    <row r="194" spans="1:16">
      <c r="A194" t="s">
        <v>26</v>
      </c>
      <c r="B194">
        <v>1</v>
      </c>
      <c r="E194" t="s">
        <v>3433</v>
      </c>
      <c r="F194" t="s">
        <v>3434</v>
      </c>
      <c r="G194" t="s">
        <v>3435</v>
      </c>
      <c r="I194" t="s">
        <v>3338</v>
      </c>
      <c r="J194" t="s">
        <v>2232</v>
      </c>
      <c r="K194" t="s">
        <v>2233</v>
      </c>
      <c r="L194" t="s">
        <v>3342</v>
      </c>
      <c r="N194" t="s">
        <v>3444</v>
      </c>
      <c r="O194" t="s">
        <v>3445</v>
      </c>
      <c r="P194">
        <v>40151520</v>
      </c>
    </row>
    <row r="195" spans="1:16">
      <c r="A195" t="s">
        <v>26</v>
      </c>
      <c r="B195">
        <v>1</v>
      </c>
      <c r="E195" t="s">
        <v>3433</v>
      </c>
      <c r="F195" t="s">
        <v>3434</v>
      </c>
      <c r="G195" t="s">
        <v>3435</v>
      </c>
      <c r="I195" t="s">
        <v>3338</v>
      </c>
      <c r="J195" t="s">
        <v>2232</v>
      </c>
      <c r="K195" t="s">
        <v>2233</v>
      </c>
      <c r="L195" t="s">
        <v>3342</v>
      </c>
      <c r="N195" t="s">
        <v>3446</v>
      </c>
      <c r="O195" t="s">
        <v>3447</v>
      </c>
      <c r="P195">
        <v>40151520</v>
      </c>
    </row>
    <row r="196" spans="1:16">
      <c r="A196" t="s">
        <v>26</v>
      </c>
      <c r="B196">
        <v>0</v>
      </c>
      <c r="G196" t="s">
        <v>3338</v>
      </c>
      <c r="I196" t="s">
        <v>3338</v>
      </c>
      <c r="N196" t="s">
        <v>3448</v>
      </c>
      <c r="O196" t="s">
        <v>3449</v>
      </c>
      <c r="P196">
        <v>40151520</v>
      </c>
    </row>
    <row r="197" spans="1:16">
      <c r="A197" t="s">
        <v>26</v>
      </c>
      <c r="B197">
        <v>1</v>
      </c>
      <c r="E197" t="s">
        <v>3448</v>
      </c>
      <c r="F197" t="s">
        <v>3449</v>
      </c>
      <c r="G197" t="s">
        <v>3450</v>
      </c>
      <c r="I197" t="s">
        <v>3338</v>
      </c>
      <c r="J197" t="s">
        <v>2421</v>
      </c>
      <c r="K197" t="s">
        <v>3354</v>
      </c>
      <c r="L197" t="s">
        <v>3451</v>
      </c>
      <c r="N197" t="s">
        <v>3452</v>
      </c>
      <c r="O197" t="s">
        <v>3453</v>
      </c>
      <c r="P197">
        <v>40151520</v>
      </c>
    </row>
    <row r="198" spans="1:16">
      <c r="A198" t="s">
        <v>27</v>
      </c>
      <c r="B198">
        <v>0</v>
      </c>
      <c r="G198" t="s">
        <v>3338</v>
      </c>
      <c r="I198" t="s">
        <v>3338</v>
      </c>
      <c r="N198" t="s">
        <v>3339</v>
      </c>
      <c r="O198" t="s">
        <v>3340</v>
      </c>
      <c r="P198">
        <v>38557627</v>
      </c>
    </row>
    <row r="199" spans="1:16">
      <c r="A199" t="s">
        <v>27</v>
      </c>
      <c r="B199">
        <v>1</v>
      </c>
      <c r="E199" t="s">
        <v>3339</v>
      </c>
      <c r="F199" t="s">
        <v>3340</v>
      </c>
      <c r="G199" t="s">
        <v>3341</v>
      </c>
      <c r="I199" t="s">
        <v>3338</v>
      </c>
      <c r="J199" t="s">
        <v>2232</v>
      </c>
      <c r="K199" t="s">
        <v>2233</v>
      </c>
      <c r="L199" t="s">
        <v>3342</v>
      </c>
      <c r="N199" t="s">
        <v>3343</v>
      </c>
      <c r="O199" t="s">
        <v>3344</v>
      </c>
      <c r="P199">
        <v>38557627</v>
      </c>
    </row>
    <row r="200" spans="1:16">
      <c r="A200" t="s">
        <v>27</v>
      </c>
      <c r="B200">
        <v>1</v>
      </c>
      <c r="E200" t="s">
        <v>3339</v>
      </c>
      <c r="F200" t="s">
        <v>3340</v>
      </c>
      <c r="G200" t="s">
        <v>3341</v>
      </c>
      <c r="I200" t="s">
        <v>3338</v>
      </c>
      <c r="J200" t="s">
        <v>2232</v>
      </c>
      <c r="K200" t="s">
        <v>2233</v>
      </c>
      <c r="L200" t="s">
        <v>3342</v>
      </c>
      <c r="N200" t="s">
        <v>3345</v>
      </c>
      <c r="O200" t="s">
        <v>3346</v>
      </c>
      <c r="P200">
        <v>38557627</v>
      </c>
    </row>
    <row r="201" spans="1:16">
      <c r="A201" t="s">
        <v>27</v>
      </c>
      <c r="B201">
        <v>0</v>
      </c>
      <c r="G201" t="s">
        <v>3338</v>
      </c>
      <c r="I201" t="s">
        <v>3338</v>
      </c>
      <c r="N201" t="s">
        <v>3347</v>
      </c>
      <c r="O201" t="s">
        <v>3344</v>
      </c>
      <c r="P201">
        <v>38557627</v>
      </c>
    </row>
    <row r="202" spans="1:16">
      <c r="A202" t="s">
        <v>27</v>
      </c>
      <c r="B202">
        <v>1</v>
      </c>
      <c r="E202" t="s">
        <v>3347</v>
      </c>
      <c r="F202" t="s">
        <v>3344</v>
      </c>
      <c r="G202" t="s">
        <v>3348</v>
      </c>
      <c r="I202" t="s">
        <v>3338</v>
      </c>
      <c r="J202" t="s">
        <v>2232</v>
      </c>
      <c r="K202" t="s">
        <v>2233</v>
      </c>
      <c r="L202" t="s">
        <v>3342</v>
      </c>
      <c r="N202" t="s">
        <v>3349</v>
      </c>
      <c r="O202" t="s">
        <v>3350</v>
      </c>
      <c r="P202">
        <v>38557627</v>
      </c>
    </row>
    <row r="203" spans="1:16">
      <c r="A203" t="s">
        <v>27</v>
      </c>
      <c r="B203">
        <v>1</v>
      </c>
      <c r="E203" t="s">
        <v>3347</v>
      </c>
      <c r="F203" t="s">
        <v>3344</v>
      </c>
      <c r="G203" t="s">
        <v>3348</v>
      </c>
      <c r="I203" t="s">
        <v>3338</v>
      </c>
      <c r="L203" t="s">
        <v>193</v>
      </c>
      <c r="N203" t="s">
        <v>3351</v>
      </c>
      <c r="O203" t="s">
        <v>3352</v>
      </c>
      <c r="P203">
        <v>38557627</v>
      </c>
    </row>
    <row r="204" spans="1:16">
      <c r="A204" t="s">
        <v>27</v>
      </c>
      <c r="B204">
        <v>2</v>
      </c>
      <c r="E204" t="s">
        <v>3351</v>
      </c>
      <c r="F204" t="s">
        <v>3352</v>
      </c>
      <c r="G204" t="s">
        <v>3353</v>
      </c>
      <c r="I204" t="s">
        <v>3338</v>
      </c>
      <c r="J204" t="s">
        <v>2421</v>
      </c>
      <c r="K204" t="s">
        <v>3354</v>
      </c>
      <c r="L204" t="s">
        <v>3355</v>
      </c>
      <c r="N204" t="s">
        <v>3356</v>
      </c>
      <c r="O204" t="s">
        <v>3357</v>
      </c>
      <c r="P204">
        <v>38557627</v>
      </c>
    </row>
    <row r="205" spans="1:16">
      <c r="A205" t="s">
        <v>27</v>
      </c>
      <c r="B205">
        <v>2</v>
      </c>
      <c r="E205" t="s">
        <v>3351</v>
      </c>
      <c r="F205" t="s">
        <v>3352</v>
      </c>
      <c r="G205" t="s">
        <v>3353</v>
      </c>
      <c r="I205" t="s">
        <v>3338</v>
      </c>
      <c r="J205" t="s">
        <v>2421</v>
      </c>
      <c r="K205" t="s">
        <v>3354</v>
      </c>
      <c r="L205" t="s">
        <v>3355</v>
      </c>
      <c r="N205" t="s">
        <v>3358</v>
      </c>
      <c r="O205" t="s">
        <v>3359</v>
      </c>
      <c r="P205">
        <v>38557627</v>
      </c>
    </row>
    <row r="206" spans="1:16">
      <c r="A206" t="s">
        <v>27</v>
      </c>
      <c r="B206">
        <v>2</v>
      </c>
      <c r="E206" t="s">
        <v>3351</v>
      </c>
      <c r="F206" t="s">
        <v>3352</v>
      </c>
      <c r="G206" t="s">
        <v>3353</v>
      </c>
      <c r="I206" t="s">
        <v>3338</v>
      </c>
      <c r="J206" t="s">
        <v>2421</v>
      </c>
      <c r="K206" t="s">
        <v>3354</v>
      </c>
      <c r="L206" t="s">
        <v>3355</v>
      </c>
      <c r="N206" t="s">
        <v>3360</v>
      </c>
      <c r="O206" t="s">
        <v>3361</v>
      </c>
      <c r="P206">
        <v>38557627</v>
      </c>
    </row>
    <row r="207" spans="1:16">
      <c r="A207" t="s">
        <v>27</v>
      </c>
      <c r="B207">
        <v>1</v>
      </c>
      <c r="E207" t="s">
        <v>3347</v>
      </c>
      <c r="F207" t="s">
        <v>3344</v>
      </c>
      <c r="G207" t="s">
        <v>3348</v>
      </c>
      <c r="I207" t="s">
        <v>3338</v>
      </c>
      <c r="J207" t="s">
        <v>2236</v>
      </c>
      <c r="K207" t="s">
        <v>3362</v>
      </c>
      <c r="L207" t="s">
        <v>3363</v>
      </c>
      <c r="N207" t="s">
        <v>3364</v>
      </c>
      <c r="O207" t="s">
        <v>3365</v>
      </c>
      <c r="P207">
        <v>38557627</v>
      </c>
    </row>
    <row r="208" spans="1:16">
      <c r="A208" t="s">
        <v>27</v>
      </c>
      <c r="B208">
        <v>1</v>
      </c>
      <c r="E208" t="s">
        <v>3347</v>
      </c>
      <c r="F208" t="s">
        <v>3344</v>
      </c>
      <c r="G208" t="s">
        <v>3348</v>
      </c>
      <c r="I208" t="s">
        <v>3338</v>
      </c>
      <c r="L208" t="s">
        <v>193</v>
      </c>
      <c r="N208" t="s">
        <v>3366</v>
      </c>
      <c r="O208" t="s">
        <v>3367</v>
      </c>
      <c r="P208">
        <v>38557627</v>
      </c>
    </row>
    <row r="209" spans="1:16">
      <c r="A209" t="s">
        <v>27</v>
      </c>
      <c r="B209">
        <v>2</v>
      </c>
      <c r="E209" t="s">
        <v>3366</v>
      </c>
      <c r="F209" t="s">
        <v>3367</v>
      </c>
      <c r="G209" t="s">
        <v>3368</v>
      </c>
      <c r="I209" t="s">
        <v>3338</v>
      </c>
      <c r="J209" t="s">
        <v>2421</v>
      </c>
      <c r="K209" t="s">
        <v>3354</v>
      </c>
      <c r="L209" t="s">
        <v>3369</v>
      </c>
      <c r="N209" t="s">
        <v>3370</v>
      </c>
      <c r="O209" t="s">
        <v>3359</v>
      </c>
      <c r="P209">
        <v>38557627</v>
      </c>
    </row>
    <row r="210" spans="1:16">
      <c r="A210" t="s">
        <v>27</v>
      </c>
      <c r="B210">
        <v>2</v>
      </c>
      <c r="E210" t="s">
        <v>3366</v>
      </c>
      <c r="F210" t="s">
        <v>3367</v>
      </c>
      <c r="G210" t="s">
        <v>3368</v>
      </c>
      <c r="I210" t="s">
        <v>3338</v>
      </c>
      <c r="J210" t="s">
        <v>2421</v>
      </c>
      <c r="K210" t="s">
        <v>3354</v>
      </c>
      <c r="L210" t="s">
        <v>3369</v>
      </c>
      <c r="N210" t="s">
        <v>3371</v>
      </c>
      <c r="O210" t="s">
        <v>3372</v>
      </c>
      <c r="P210">
        <v>38557627</v>
      </c>
    </row>
    <row r="211" spans="1:16">
      <c r="A211" t="s">
        <v>27</v>
      </c>
      <c r="B211">
        <v>2</v>
      </c>
      <c r="E211" t="s">
        <v>3366</v>
      </c>
      <c r="F211" t="s">
        <v>3367</v>
      </c>
      <c r="G211" t="s">
        <v>3368</v>
      </c>
      <c r="I211" t="s">
        <v>3338</v>
      </c>
      <c r="J211" t="s">
        <v>2421</v>
      </c>
      <c r="K211" t="s">
        <v>3354</v>
      </c>
      <c r="L211" t="s">
        <v>3369</v>
      </c>
      <c r="N211" t="s">
        <v>3373</v>
      </c>
      <c r="O211" t="s">
        <v>3374</v>
      </c>
      <c r="P211">
        <v>38557627</v>
      </c>
    </row>
    <row r="212" spans="1:16">
      <c r="A212" t="s">
        <v>27</v>
      </c>
      <c r="B212">
        <v>2</v>
      </c>
      <c r="E212" t="s">
        <v>3366</v>
      </c>
      <c r="F212" t="s">
        <v>3367</v>
      </c>
      <c r="G212" t="s">
        <v>3368</v>
      </c>
      <c r="I212" t="s">
        <v>3338</v>
      </c>
      <c r="J212" t="s">
        <v>2236</v>
      </c>
      <c r="K212" t="s">
        <v>3362</v>
      </c>
      <c r="L212" t="s">
        <v>3363</v>
      </c>
      <c r="N212" t="s">
        <v>3375</v>
      </c>
      <c r="O212" t="s">
        <v>3376</v>
      </c>
      <c r="P212">
        <v>38557627</v>
      </c>
    </row>
    <row r="213" spans="1:16">
      <c r="A213" t="s">
        <v>27</v>
      </c>
      <c r="B213">
        <v>0</v>
      </c>
      <c r="G213" t="s">
        <v>3338</v>
      </c>
      <c r="I213" t="s">
        <v>3338</v>
      </c>
      <c r="N213" t="s">
        <v>3377</v>
      </c>
      <c r="O213" t="s">
        <v>3346</v>
      </c>
      <c r="P213">
        <v>38557627</v>
      </c>
    </row>
    <row r="214" spans="1:16">
      <c r="A214" t="s">
        <v>27</v>
      </c>
      <c r="B214">
        <v>1</v>
      </c>
      <c r="E214" t="s">
        <v>3377</v>
      </c>
      <c r="F214" t="s">
        <v>3346</v>
      </c>
      <c r="G214" t="s">
        <v>3378</v>
      </c>
      <c r="I214" t="s">
        <v>3338</v>
      </c>
      <c r="L214" t="s">
        <v>193</v>
      </c>
      <c r="N214" t="s">
        <v>3379</v>
      </c>
      <c r="O214" t="s">
        <v>3380</v>
      </c>
      <c r="P214">
        <v>38557627</v>
      </c>
    </row>
    <row r="215" spans="1:16">
      <c r="A215" t="s">
        <v>27</v>
      </c>
      <c r="B215">
        <v>2</v>
      </c>
      <c r="E215" t="s">
        <v>3379</v>
      </c>
      <c r="F215" t="s">
        <v>3380</v>
      </c>
      <c r="G215" t="s">
        <v>3381</v>
      </c>
      <c r="I215" t="s">
        <v>3338</v>
      </c>
      <c r="J215" t="s">
        <v>2421</v>
      </c>
      <c r="K215" t="s">
        <v>3354</v>
      </c>
      <c r="L215" t="s">
        <v>3369</v>
      </c>
      <c r="N215" t="s">
        <v>3382</v>
      </c>
      <c r="O215" t="s">
        <v>3352</v>
      </c>
      <c r="P215">
        <v>38557627</v>
      </c>
    </row>
    <row r="216" spans="1:16">
      <c r="A216" t="s">
        <v>27</v>
      </c>
      <c r="B216">
        <v>2</v>
      </c>
      <c r="E216" t="s">
        <v>3379</v>
      </c>
      <c r="F216" t="s">
        <v>3380</v>
      </c>
      <c r="G216" t="s">
        <v>3381</v>
      </c>
      <c r="I216" t="s">
        <v>3338</v>
      </c>
      <c r="L216" t="s">
        <v>3383</v>
      </c>
      <c r="N216" t="s">
        <v>3384</v>
      </c>
      <c r="O216" t="s">
        <v>3385</v>
      </c>
      <c r="P216">
        <v>38557627</v>
      </c>
    </row>
    <row r="217" spans="1:16">
      <c r="A217" t="s">
        <v>27</v>
      </c>
      <c r="B217">
        <v>2</v>
      </c>
      <c r="E217" t="s">
        <v>3379</v>
      </c>
      <c r="F217" t="s">
        <v>3380</v>
      </c>
      <c r="G217" t="s">
        <v>3381</v>
      </c>
      <c r="I217" t="s">
        <v>3338</v>
      </c>
      <c r="J217" t="s">
        <v>2232</v>
      </c>
      <c r="K217" t="s">
        <v>2233</v>
      </c>
      <c r="L217" t="s">
        <v>3342</v>
      </c>
      <c r="N217" t="s">
        <v>3386</v>
      </c>
      <c r="O217" t="s">
        <v>3350</v>
      </c>
      <c r="P217">
        <v>38557627</v>
      </c>
    </row>
    <row r="218" spans="1:16">
      <c r="A218" t="s">
        <v>27</v>
      </c>
      <c r="B218">
        <v>0</v>
      </c>
      <c r="G218" t="s">
        <v>3338</v>
      </c>
      <c r="I218" t="s">
        <v>3338</v>
      </c>
      <c r="N218" t="s">
        <v>3395</v>
      </c>
      <c r="O218" t="s">
        <v>3396</v>
      </c>
      <c r="P218">
        <v>38557627</v>
      </c>
    </row>
    <row r="219" spans="1:16">
      <c r="A219" t="s">
        <v>27</v>
      </c>
      <c r="B219">
        <v>1</v>
      </c>
      <c r="E219" t="s">
        <v>3395</v>
      </c>
      <c r="F219" t="s">
        <v>3396</v>
      </c>
      <c r="G219" t="s">
        <v>3397</v>
      </c>
      <c r="I219" t="s">
        <v>3338</v>
      </c>
      <c r="L219" t="s">
        <v>3342</v>
      </c>
      <c r="N219" t="s">
        <v>3398</v>
      </c>
      <c r="O219" t="s">
        <v>3399</v>
      </c>
      <c r="P219">
        <v>38557627</v>
      </c>
    </row>
    <row r="220" spans="1:16">
      <c r="A220" t="s">
        <v>27</v>
      </c>
      <c r="B220">
        <v>1</v>
      </c>
      <c r="E220" t="s">
        <v>3395</v>
      </c>
      <c r="F220" t="s">
        <v>3396</v>
      </c>
      <c r="G220" t="s">
        <v>3397</v>
      </c>
      <c r="I220" t="s">
        <v>3338</v>
      </c>
      <c r="J220" t="s">
        <v>2232</v>
      </c>
      <c r="K220" t="s">
        <v>2233</v>
      </c>
      <c r="L220" t="s">
        <v>3342</v>
      </c>
      <c r="N220" t="s">
        <v>3400</v>
      </c>
      <c r="O220" t="s">
        <v>3401</v>
      </c>
      <c r="P220">
        <v>38557627</v>
      </c>
    </row>
    <row r="221" spans="1:16">
      <c r="A221" t="s">
        <v>27</v>
      </c>
      <c r="B221">
        <v>1</v>
      </c>
      <c r="E221" t="s">
        <v>3395</v>
      </c>
      <c r="F221" t="s">
        <v>3396</v>
      </c>
      <c r="G221" t="s">
        <v>3397</v>
      </c>
      <c r="I221" t="s">
        <v>3338</v>
      </c>
      <c r="L221" t="s">
        <v>3342</v>
      </c>
      <c r="N221" t="s">
        <v>3402</v>
      </c>
      <c r="O221" t="s">
        <v>3403</v>
      </c>
      <c r="P221">
        <v>38557627</v>
      </c>
    </row>
    <row r="222" spans="1:16">
      <c r="A222" t="s">
        <v>27</v>
      </c>
      <c r="B222">
        <v>1</v>
      </c>
      <c r="E222" t="s">
        <v>3395</v>
      </c>
      <c r="F222" t="s">
        <v>3396</v>
      </c>
      <c r="G222" t="s">
        <v>3397</v>
      </c>
      <c r="I222" t="s">
        <v>3338</v>
      </c>
      <c r="J222" t="s">
        <v>2232</v>
      </c>
      <c r="K222" t="s">
        <v>2233</v>
      </c>
      <c r="L222" t="s">
        <v>3342</v>
      </c>
      <c r="N222" t="s">
        <v>3404</v>
      </c>
      <c r="O222" t="s">
        <v>3405</v>
      </c>
      <c r="P222">
        <v>38557627</v>
      </c>
    </row>
    <row r="223" spans="1:16">
      <c r="A223" t="s">
        <v>27</v>
      </c>
      <c r="B223">
        <v>0</v>
      </c>
      <c r="G223" t="s">
        <v>3338</v>
      </c>
      <c r="I223" t="s">
        <v>3338</v>
      </c>
      <c r="N223" t="s">
        <v>3406</v>
      </c>
      <c r="O223" t="s">
        <v>3407</v>
      </c>
      <c r="P223">
        <v>38557627</v>
      </c>
    </row>
    <row r="224" spans="1:16">
      <c r="A224" t="s">
        <v>27</v>
      </c>
      <c r="B224">
        <v>1</v>
      </c>
      <c r="E224" t="s">
        <v>3406</v>
      </c>
      <c r="F224" t="s">
        <v>3407</v>
      </c>
      <c r="G224" t="s">
        <v>3408</v>
      </c>
      <c r="I224" t="s">
        <v>3338</v>
      </c>
      <c r="J224" t="s">
        <v>2421</v>
      </c>
      <c r="K224" t="s">
        <v>3354</v>
      </c>
      <c r="L224" t="s">
        <v>3369</v>
      </c>
      <c r="N224" t="s">
        <v>3409</v>
      </c>
      <c r="O224" t="s">
        <v>3410</v>
      </c>
      <c r="P224">
        <v>38557627</v>
      </c>
    </row>
    <row r="225" spans="1:16">
      <c r="A225" t="s">
        <v>27</v>
      </c>
      <c r="B225">
        <v>1</v>
      </c>
      <c r="E225" t="s">
        <v>3406</v>
      </c>
      <c r="F225" t="s">
        <v>3407</v>
      </c>
      <c r="G225" t="s">
        <v>3408</v>
      </c>
      <c r="I225" t="s">
        <v>3338</v>
      </c>
      <c r="L225" t="s">
        <v>193</v>
      </c>
      <c r="N225" t="s">
        <v>3411</v>
      </c>
      <c r="O225" t="s">
        <v>3412</v>
      </c>
      <c r="P225">
        <v>38557627</v>
      </c>
    </row>
    <row r="226" spans="1:16">
      <c r="A226" t="s">
        <v>27</v>
      </c>
      <c r="B226">
        <v>2</v>
      </c>
      <c r="E226" t="s">
        <v>3411</v>
      </c>
      <c r="F226" t="s">
        <v>3412</v>
      </c>
      <c r="G226" t="s">
        <v>3413</v>
      </c>
      <c r="I226" t="s">
        <v>3338</v>
      </c>
      <c r="L226" t="s">
        <v>3342</v>
      </c>
      <c r="N226" t="s">
        <v>3414</v>
      </c>
      <c r="O226" t="s">
        <v>3415</v>
      </c>
      <c r="P226">
        <v>38557627</v>
      </c>
    </row>
    <row r="227" spans="1:16">
      <c r="A227" t="s">
        <v>27</v>
      </c>
      <c r="B227">
        <v>2</v>
      </c>
      <c r="E227" t="s">
        <v>3411</v>
      </c>
      <c r="F227" t="s">
        <v>3412</v>
      </c>
      <c r="G227" t="s">
        <v>3413</v>
      </c>
      <c r="I227" t="s">
        <v>3338</v>
      </c>
      <c r="J227" t="s">
        <v>2232</v>
      </c>
      <c r="K227" t="s">
        <v>2233</v>
      </c>
      <c r="L227" t="s">
        <v>3342</v>
      </c>
      <c r="N227" t="s">
        <v>3416</v>
      </c>
      <c r="O227" t="s">
        <v>3417</v>
      </c>
      <c r="P227">
        <v>38557627</v>
      </c>
    </row>
    <row r="228" spans="1:16">
      <c r="A228" t="s">
        <v>27</v>
      </c>
      <c r="B228">
        <v>2</v>
      </c>
      <c r="E228" t="s">
        <v>3411</v>
      </c>
      <c r="F228" t="s">
        <v>3412</v>
      </c>
      <c r="G228" t="s">
        <v>3413</v>
      </c>
      <c r="I228" t="s">
        <v>3338</v>
      </c>
      <c r="J228" t="s">
        <v>2232</v>
      </c>
      <c r="K228" t="s">
        <v>2233</v>
      </c>
      <c r="L228" t="s">
        <v>3342</v>
      </c>
      <c r="N228" t="s">
        <v>3418</v>
      </c>
      <c r="O228" t="s">
        <v>3419</v>
      </c>
      <c r="P228">
        <v>38557627</v>
      </c>
    </row>
    <row r="229" spans="1:16">
      <c r="A229" t="s">
        <v>27</v>
      </c>
      <c r="B229">
        <v>2</v>
      </c>
      <c r="E229" t="s">
        <v>3411</v>
      </c>
      <c r="F229" t="s">
        <v>3412</v>
      </c>
      <c r="G229" t="s">
        <v>3413</v>
      </c>
      <c r="I229" t="s">
        <v>3338</v>
      </c>
      <c r="L229" t="s">
        <v>3342</v>
      </c>
      <c r="N229" t="s">
        <v>3420</v>
      </c>
      <c r="O229" t="s">
        <v>3421</v>
      </c>
      <c r="P229">
        <v>38557627</v>
      </c>
    </row>
    <row r="230" spans="1:16">
      <c r="A230" t="s">
        <v>27</v>
      </c>
      <c r="B230">
        <v>2</v>
      </c>
      <c r="E230" t="s">
        <v>3411</v>
      </c>
      <c r="F230" t="s">
        <v>3412</v>
      </c>
      <c r="G230" t="s">
        <v>3413</v>
      </c>
      <c r="I230" t="s">
        <v>3338</v>
      </c>
      <c r="J230" t="s">
        <v>2232</v>
      </c>
      <c r="K230" t="s">
        <v>2233</v>
      </c>
      <c r="L230" t="s">
        <v>3342</v>
      </c>
      <c r="N230" t="s">
        <v>3422</v>
      </c>
      <c r="O230" t="s">
        <v>3423</v>
      </c>
      <c r="P230">
        <v>38557627</v>
      </c>
    </row>
    <row r="231" spans="1:16">
      <c r="A231" t="s">
        <v>27</v>
      </c>
      <c r="B231">
        <v>0</v>
      </c>
      <c r="G231" t="s">
        <v>3338</v>
      </c>
      <c r="I231" t="s">
        <v>3338</v>
      </c>
      <c r="N231" t="s">
        <v>3424</v>
      </c>
      <c r="O231" t="s">
        <v>3425</v>
      </c>
      <c r="P231">
        <v>38557627</v>
      </c>
    </row>
    <row r="232" spans="1:16">
      <c r="A232" t="s">
        <v>27</v>
      </c>
      <c r="B232">
        <v>1</v>
      </c>
      <c r="E232" t="s">
        <v>3424</v>
      </c>
      <c r="F232" t="s">
        <v>3425</v>
      </c>
      <c r="G232" t="s">
        <v>3426</v>
      </c>
      <c r="I232" t="s">
        <v>3338</v>
      </c>
      <c r="J232" t="s">
        <v>2421</v>
      </c>
      <c r="K232" t="s">
        <v>3354</v>
      </c>
      <c r="L232" t="s">
        <v>3369</v>
      </c>
      <c r="N232" t="s">
        <v>3427</v>
      </c>
      <c r="O232" t="s">
        <v>3428</v>
      </c>
      <c r="P232">
        <v>38557627</v>
      </c>
    </row>
    <row r="233" spans="1:16">
      <c r="A233" t="s">
        <v>27</v>
      </c>
      <c r="B233">
        <v>1</v>
      </c>
      <c r="E233" t="s">
        <v>3424</v>
      </c>
      <c r="F233" t="s">
        <v>3425</v>
      </c>
      <c r="G233" t="s">
        <v>3426</v>
      </c>
      <c r="I233" t="s">
        <v>3338</v>
      </c>
      <c r="J233" t="s">
        <v>2421</v>
      </c>
      <c r="K233" t="s">
        <v>3354</v>
      </c>
      <c r="L233" t="s">
        <v>3369</v>
      </c>
      <c r="N233" t="s">
        <v>3429</v>
      </c>
      <c r="O233" t="s">
        <v>3430</v>
      </c>
      <c r="P233">
        <v>38557627</v>
      </c>
    </row>
    <row r="234" spans="1:16">
      <c r="A234" t="s">
        <v>27</v>
      </c>
      <c r="B234">
        <v>1</v>
      </c>
      <c r="E234" t="s">
        <v>3424</v>
      </c>
      <c r="F234" t="s">
        <v>3425</v>
      </c>
      <c r="G234" t="s">
        <v>3426</v>
      </c>
      <c r="I234" t="s">
        <v>3338</v>
      </c>
      <c r="J234" t="s">
        <v>2232</v>
      </c>
      <c r="K234" t="s">
        <v>2233</v>
      </c>
      <c r="L234" t="s">
        <v>3342</v>
      </c>
      <c r="N234" t="s">
        <v>3431</v>
      </c>
      <c r="O234" t="s">
        <v>3432</v>
      </c>
      <c r="P234">
        <v>38557627</v>
      </c>
    </row>
    <row r="235" spans="1:16">
      <c r="A235" t="s">
        <v>27</v>
      </c>
      <c r="B235">
        <v>0</v>
      </c>
      <c r="G235" t="s">
        <v>3338</v>
      </c>
      <c r="I235" t="s">
        <v>3338</v>
      </c>
      <c r="N235" t="s">
        <v>3433</v>
      </c>
      <c r="O235" t="s">
        <v>3434</v>
      </c>
      <c r="P235">
        <v>38557627</v>
      </c>
    </row>
    <row r="236" spans="1:16">
      <c r="A236" t="s">
        <v>27</v>
      </c>
      <c r="B236">
        <v>1</v>
      </c>
      <c r="E236" t="s">
        <v>3433</v>
      </c>
      <c r="F236" t="s">
        <v>3434</v>
      </c>
      <c r="G236" t="s">
        <v>3435</v>
      </c>
      <c r="I236" t="s">
        <v>3338</v>
      </c>
      <c r="J236" t="s">
        <v>2232</v>
      </c>
      <c r="K236" t="s">
        <v>2233</v>
      </c>
      <c r="L236" t="s">
        <v>3342</v>
      </c>
      <c r="N236" t="s">
        <v>3436</v>
      </c>
      <c r="O236" t="s">
        <v>3437</v>
      </c>
      <c r="P236">
        <v>38557627</v>
      </c>
    </row>
    <row r="237" spans="1:16">
      <c r="A237" t="s">
        <v>27</v>
      </c>
      <c r="B237">
        <v>1</v>
      </c>
      <c r="E237" t="s">
        <v>3433</v>
      </c>
      <c r="F237" t="s">
        <v>3434</v>
      </c>
      <c r="G237" t="s">
        <v>3435</v>
      </c>
      <c r="I237" t="s">
        <v>3338</v>
      </c>
      <c r="J237" t="s">
        <v>2232</v>
      </c>
      <c r="K237" t="s">
        <v>2233</v>
      </c>
      <c r="L237" t="s">
        <v>3342</v>
      </c>
      <c r="N237" t="s">
        <v>3438</v>
      </c>
      <c r="O237" t="s">
        <v>3439</v>
      </c>
      <c r="P237">
        <v>38557627</v>
      </c>
    </row>
    <row r="238" spans="1:16">
      <c r="A238" t="s">
        <v>27</v>
      </c>
      <c r="B238">
        <v>1</v>
      </c>
      <c r="E238" t="s">
        <v>3433</v>
      </c>
      <c r="F238" t="s">
        <v>3434</v>
      </c>
      <c r="G238" t="s">
        <v>3435</v>
      </c>
      <c r="I238" t="s">
        <v>3338</v>
      </c>
      <c r="J238" t="s">
        <v>2232</v>
      </c>
      <c r="K238" t="s">
        <v>2233</v>
      </c>
      <c r="L238" t="s">
        <v>3342</v>
      </c>
      <c r="N238" t="s">
        <v>3440</v>
      </c>
      <c r="O238" t="s">
        <v>3441</v>
      </c>
      <c r="P238">
        <v>38557627</v>
      </c>
    </row>
    <row r="239" spans="1:16">
      <c r="A239" t="s">
        <v>27</v>
      </c>
      <c r="B239">
        <v>1</v>
      </c>
      <c r="E239" t="s">
        <v>3433</v>
      </c>
      <c r="F239" t="s">
        <v>3434</v>
      </c>
      <c r="G239" t="s">
        <v>3435</v>
      </c>
      <c r="I239" t="s">
        <v>3338</v>
      </c>
      <c r="J239" t="s">
        <v>2232</v>
      </c>
      <c r="K239" t="s">
        <v>2233</v>
      </c>
      <c r="L239" t="s">
        <v>3342</v>
      </c>
      <c r="N239" t="s">
        <v>3442</v>
      </c>
      <c r="O239" t="s">
        <v>3443</v>
      </c>
      <c r="P239">
        <v>38557627</v>
      </c>
    </row>
    <row r="240" spans="1:16">
      <c r="A240" t="s">
        <v>27</v>
      </c>
      <c r="B240">
        <v>1</v>
      </c>
      <c r="E240" t="s">
        <v>3433</v>
      </c>
      <c r="F240" t="s">
        <v>3434</v>
      </c>
      <c r="G240" t="s">
        <v>3435</v>
      </c>
      <c r="I240" t="s">
        <v>3338</v>
      </c>
      <c r="J240" t="s">
        <v>2232</v>
      </c>
      <c r="K240" t="s">
        <v>2233</v>
      </c>
      <c r="L240" t="s">
        <v>3342</v>
      </c>
      <c r="N240" t="s">
        <v>3444</v>
      </c>
      <c r="O240" t="s">
        <v>3445</v>
      </c>
      <c r="P240">
        <v>38557627</v>
      </c>
    </row>
    <row r="241" spans="1:16">
      <c r="A241" t="s">
        <v>27</v>
      </c>
      <c r="B241">
        <v>1</v>
      </c>
      <c r="E241" t="s">
        <v>3433</v>
      </c>
      <c r="F241" t="s">
        <v>3434</v>
      </c>
      <c r="G241" t="s">
        <v>3435</v>
      </c>
      <c r="I241" t="s">
        <v>3338</v>
      </c>
      <c r="J241" t="s">
        <v>2232</v>
      </c>
      <c r="K241" t="s">
        <v>2233</v>
      </c>
      <c r="L241" t="s">
        <v>3342</v>
      </c>
      <c r="N241" t="s">
        <v>3446</v>
      </c>
      <c r="O241" t="s">
        <v>3447</v>
      </c>
      <c r="P241">
        <v>38557627</v>
      </c>
    </row>
    <row r="242" spans="1:16">
      <c r="A242" t="s">
        <v>27</v>
      </c>
      <c r="B242">
        <v>0</v>
      </c>
      <c r="G242" t="s">
        <v>3338</v>
      </c>
      <c r="I242" t="s">
        <v>3338</v>
      </c>
      <c r="N242" t="s">
        <v>3448</v>
      </c>
      <c r="O242" t="s">
        <v>3449</v>
      </c>
      <c r="P242">
        <v>38557627</v>
      </c>
    </row>
    <row r="243" spans="1:16">
      <c r="A243" t="s">
        <v>27</v>
      </c>
      <c r="B243">
        <v>1</v>
      </c>
      <c r="E243" t="s">
        <v>3448</v>
      </c>
      <c r="F243" t="s">
        <v>3449</v>
      </c>
      <c r="G243" t="s">
        <v>3450</v>
      </c>
      <c r="I243" t="s">
        <v>3338</v>
      </c>
      <c r="J243" t="s">
        <v>2421</v>
      </c>
      <c r="K243" t="s">
        <v>3354</v>
      </c>
      <c r="L243" t="s">
        <v>3451</v>
      </c>
      <c r="N243" t="s">
        <v>3452</v>
      </c>
      <c r="O243" t="s">
        <v>3453</v>
      </c>
      <c r="P243">
        <v>38557627</v>
      </c>
    </row>
    <row r="244" spans="1:16">
      <c r="A244" t="s">
        <v>27</v>
      </c>
      <c r="B244">
        <v>0</v>
      </c>
      <c r="G244" t="s">
        <v>3456</v>
      </c>
      <c r="I244" t="s">
        <v>3456</v>
      </c>
      <c r="M244" t="s">
        <v>3460</v>
      </c>
      <c r="N244" t="s">
        <v>3461</v>
      </c>
      <c r="O244" t="s">
        <v>3462</v>
      </c>
      <c r="P244">
        <v>38557627</v>
      </c>
    </row>
    <row r="245" spans="1:16">
      <c r="A245" t="s">
        <v>28</v>
      </c>
      <c r="B245">
        <v>0</v>
      </c>
      <c r="G245" t="s">
        <v>3338</v>
      </c>
      <c r="I245" t="s">
        <v>3338</v>
      </c>
      <c r="N245" t="s">
        <v>3339</v>
      </c>
      <c r="O245" t="s">
        <v>3340</v>
      </c>
      <c r="P245">
        <v>41218565</v>
      </c>
    </row>
    <row r="246" spans="1:16">
      <c r="A246" t="s">
        <v>28</v>
      </c>
      <c r="B246">
        <v>1</v>
      </c>
      <c r="E246" t="s">
        <v>3339</v>
      </c>
      <c r="F246" t="s">
        <v>3340</v>
      </c>
      <c r="G246" t="s">
        <v>3341</v>
      </c>
      <c r="I246" t="s">
        <v>3338</v>
      </c>
      <c r="J246" t="s">
        <v>2232</v>
      </c>
      <c r="K246" t="s">
        <v>2233</v>
      </c>
      <c r="L246" t="s">
        <v>3342</v>
      </c>
      <c r="N246" t="s">
        <v>3343</v>
      </c>
      <c r="O246" t="s">
        <v>3344</v>
      </c>
      <c r="P246">
        <v>41218565</v>
      </c>
    </row>
    <row r="247" spans="1:16">
      <c r="A247" t="s">
        <v>28</v>
      </c>
      <c r="B247">
        <v>1</v>
      </c>
      <c r="E247" t="s">
        <v>3339</v>
      </c>
      <c r="F247" t="s">
        <v>3340</v>
      </c>
      <c r="G247" t="s">
        <v>3341</v>
      </c>
      <c r="I247" t="s">
        <v>3338</v>
      </c>
      <c r="J247" t="s">
        <v>2232</v>
      </c>
      <c r="K247" t="s">
        <v>2233</v>
      </c>
      <c r="L247" t="s">
        <v>3342</v>
      </c>
      <c r="N247" t="s">
        <v>3345</v>
      </c>
      <c r="O247" t="s">
        <v>3346</v>
      </c>
      <c r="P247">
        <v>41218565</v>
      </c>
    </row>
    <row r="248" spans="1:16">
      <c r="A248" t="s">
        <v>28</v>
      </c>
      <c r="B248">
        <v>0</v>
      </c>
      <c r="G248" t="s">
        <v>3338</v>
      </c>
      <c r="I248" t="s">
        <v>3338</v>
      </c>
      <c r="N248" t="s">
        <v>3347</v>
      </c>
      <c r="O248" t="s">
        <v>3344</v>
      </c>
      <c r="P248">
        <v>41218565</v>
      </c>
    </row>
    <row r="249" spans="1:16">
      <c r="A249" t="s">
        <v>28</v>
      </c>
      <c r="B249">
        <v>1</v>
      </c>
      <c r="E249" t="s">
        <v>3347</v>
      </c>
      <c r="F249" t="s">
        <v>3344</v>
      </c>
      <c r="G249" t="s">
        <v>3348</v>
      </c>
      <c r="I249" t="s">
        <v>3338</v>
      </c>
      <c r="J249" t="s">
        <v>2232</v>
      </c>
      <c r="K249" t="s">
        <v>2233</v>
      </c>
      <c r="L249" t="s">
        <v>3342</v>
      </c>
      <c r="N249" t="s">
        <v>3349</v>
      </c>
      <c r="O249" t="s">
        <v>3350</v>
      </c>
      <c r="P249">
        <v>41218565</v>
      </c>
    </row>
    <row r="250" spans="1:16">
      <c r="A250" t="s">
        <v>28</v>
      </c>
      <c r="B250">
        <v>1</v>
      </c>
      <c r="E250" t="s">
        <v>3347</v>
      </c>
      <c r="F250" t="s">
        <v>3344</v>
      </c>
      <c r="G250" t="s">
        <v>3348</v>
      </c>
      <c r="I250" t="s">
        <v>3338</v>
      </c>
      <c r="L250" t="s">
        <v>193</v>
      </c>
      <c r="N250" t="s">
        <v>3351</v>
      </c>
      <c r="O250" t="s">
        <v>3352</v>
      </c>
      <c r="P250">
        <v>41218565</v>
      </c>
    </row>
    <row r="251" spans="1:16">
      <c r="A251" t="s">
        <v>28</v>
      </c>
      <c r="B251">
        <v>2</v>
      </c>
      <c r="E251" t="s">
        <v>3351</v>
      </c>
      <c r="F251" t="s">
        <v>3352</v>
      </c>
      <c r="G251" t="s">
        <v>3353</v>
      </c>
      <c r="I251" t="s">
        <v>3338</v>
      </c>
      <c r="J251" t="s">
        <v>2421</v>
      </c>
      <c r="K251" t="s">
        <v>3354</v>
      </c>
      <c r="L251" t="s">
        <v>3355</v>
      </c>
      <c r="N251" t="s">
        <v>3356</v>
      </c>
      <c r="O251" t="s">
        <v>3357</v>
      </c>
      <c r="P251">
        <v>41218565</v>
      </c>
    </row>
    <row r="252" spans="1:16">
      <c r="A252" t="s">
        <v>28</v>
      </c>
      <c r="B252">
        <v>2</v>
      </c>
      <c r="E252" t="s">
        <v>3351</v>
      </c>
      <c r="F252" t="s">
        <v>3352</v>
      </c>
      <c r="G252" t="s">
        <v>3353</v>
      </c>
      <c r="I252" t="s">
        <v>3338</v>
      </c>
      <c r="J252" t="s">
        <v>2421</v>
      </c>
      <c r="K252" t="s">
        <v>3354</v>
      </c>
      <c r="L252" t="s">
        <v>3355</v>
      </c>
      <c r="N252" t="s">
        <v>3358</v>
      </c>
      <c r="O252" t="s">
        <v>3359</v>
      </c>
      <c r="P252">
        <v>41218565</v>
      </c>
    </row>
    <row r="253" spans="1:16">
      <c r="A253" t="s">
        <v>28</v>
      </c>
      <c r="B253">
        <v>2</v>
      </c>
      <c r="E253" t="s">
        <v>3351</v>
      </c>
      <c r="F253" t="s">
        <v>3352</v>
      </c>
      <c r="G253" t="s">
        <v>3353</v>
      </c>
      <c r="I253" t="s">
        <v>3338</v>
      </c>
      <c r="J253" t="s">
        <v>2421</v>
      </c>
      <c r="K253" t="s">
        <v>3354</v>
      </c>
      <c r="L253" t="s">
        <v>3355</v>
      </c>
      <c r="N253" t="s">
        <v>3360</v>
      </c>
      <c r="O253" t="s">
        <v>3361</v>
      </c>
      <c r="P253">
        <v>41218565</v>
      </c>
    </row>
    <row r="254" spans="1:16">
      <c r="A254" t="s">
        <v>28</v>
      </c>
      <c r="B254">
        <v>1</v>
      </c>
      <c r="E254" t="s">
        <v>3347</v>
      </c>
      <c r="F254" t="s">
        <v>3344</v>
      </c>
      <c r="G254" t="s">
        <v>3348</v>
      </c>
      <c r="I254" t="s">
        <v>3338</v>
      </c>
      <c r="J254" t="s">
        <v>2236</v>
      </c>
      <c r="K254" t="s">
        <v>3362</v>
      </c>
      <c r="L254" t="s">
        <v>3363</v>
      </c>
      <c r="N254" t="s">
        <v>3364</v>
      </c>
      <c r="O254" t="s">
        <v>3365</v>
      </c>
      <c r="P254">
        <v>41218565</v>
      </c>
    </row>
    <row r="255" spans="1:16">
      <c r="A255" t="s">
        <v>28</v>
      </c>
      <c r="B255">
        <v>1</v>
      </c>
      <c r="E255" t="s">
        <v>3347</v>
      </c>
      <c r="F255" t="s">
        <v>3344</v>
      </c>
      <c r="G255" t="s">
        <v>3348</v>
      </c>
      <c r="I255" t="s">
        <v>3338</v>
      </c>
      <c r="L255" t="s">
        <v>193</v>
      </c>
      <c r="N255" t="s">
        <v>3366</v>
      </c>
      <c r="O255" t="s">
        <v>3367</v>
      </c>
      <c r="P255">
        <v>41218565</v>
      </c>
    </row>
    <row r="256" spans="1:16">
      <c r="A256" t="s">
        <v>28</v>
      </c>
      <c r="B256">
        <v>2</v>
      </c>
      <c r="E256" t="s">
        <v>3366</v>
      </c>
      <c r="F256" t="s">
        <v>3367</v>
      </c>
      <c r="G256" t="s">
        <v>3368</v>
      </c>
      <c r="I256" t="s">
        <v>3338</v>
      </c>
      <c r="J256" t="s">
        <v>2421</v>
      </c>
      <c r="K256" t="s">
        <v>3354</v>
      </c>
      <c r="L256" t="s">
        <v>3369</v>
      </c>
      <c r="N256" t="s">
        <v>3370</v>
      </c>
      <c r="O256" t="s">
        <v>3359</v>
      </c>
      <c r="P256">
        <v>41218565</v>
      </c>
    </row>
    <row r="257" spans="1:16">
      <c r="A257" t="s">
        <v>28</v>
      </c>
      <c r="B257">
        <v>2</v>
      </c>
      <c r="E257" t="s">
        <v>3366</v>
      </c>
      <c r="F257" t="s">
        <v>3367</v>
      </c>
      <c r="G257" t="s">
        <v>3368</v>
      </c>
      <c r="I257" t="s">
        <v>3338</v>
      </c>
      <c r="J257" t="s">
        <v>2421</v>
      </c>
      <c r="K257" t="s">
        <v>3354</v>
      </c>
      <c r="L257" t="s">
        <v>3369</v>
      </c>
      <c r="N257" t="s">
        <v>3371</v>
      </c>
      <c r="O257" t="s">
        <v>3372</v>
      </c>
      <c r="P257">
        <v>41218565</v>
      </c>
    </row>
    <row r="258" spans="1:16">
      <c r="A258" t="s">
        <v>28</v>
      </c>
      <c r="B258">
        <v>2</v>
      </c>
      <c r="E258" t="s">
        <v>3366</v>
      </c>
      <c r="F258" t="s">
        <v>3367</v>
      </c>
      <c r="G258" t="s">
        <v>3368</v>
      </c>
      <c r="I258" t="s">
        <v>3338</v>
      </c>
      <c r="J258" t="s">
        <v>2421</v>
      </c>
      <c r="K258" t="s">
        <v>3354</v>
      </c>
      <c r="L258" t="s">
        <v>3369</v>
      </c>
      <c r="N258" t="s">
        <v>3373</v>
      </c>
      <c r="O258" t="s">
        <v>3374</v>
      </c>
      <c r="P258">
        <v>41218565</v>
      </c>
    </row>
    <row r="259" spans="1:16">
      <c r="A259" t="s">
        <v>28</v>
      </c>
      <c r="B259">
        <v>2</v>
      </c>
      <c r="E259" t="s">
        <v>3366</v>
      </c>
      <c r="F259" t="s">
        <v>3367</v>
      </c>
      <c r="G259" t="s">
        <v>3368</v>
      </c>
      <c r="I259" t="s">
        <v>3338</v>
      </c>
      <c r="J259" t="s">
        <v>2236</v>
      </c>
      <c r="K259" t="s">
        <v>3362</v>
      </c>
      <c r="L259" t="s">
        <v>3363</v>
      </c>
      <c r="N259" t="s">
        <v>3375</v>
      </c>
      <c r="O259" t="s">
        <v>3376</v>
      </c>
      <c r="P259">
        <v>41218565</v>
      </c>
    </row>
    <row r="260" spans="1:16">
      <c r="A260" t="s">
        <v>28</v>
      </c>
      <c r="B260">
        <v>0</v>
      </c>
      <c r="G260" t="s">
        <v>3338</v>
      </c>
      <c r="I260" t="s">
        <v>3338</v>
      </c>
      <c r="N260" t="s">
        <v>3377</v>
      </c>
      <c r="O260" t="s">
        <v>3346</v>
      </c>
      <c r="P260">
        <v>41218565</v>
      </c>
    </row>
    <row r="261" spans="1:16">
      <c r="A261" t="s">
        <v>28</v>
      </c>
      <c r="B261">
        <v>1</v>
      </c>
      <c r="E261" t="s">
        <v>3377</v>
      </c>
      <c r="F261" t="s">
        <v>3346</v>
      </c>
      <c r="G261" t="s">
        <v>3378</v>
      </c>
      <c r="I261" t="s">
        <v>3338</v>
      </c>
      <c r="L261" t="s">
        <v>193</v>
      </c>
      <c r="N261" t="s">
        <v>3379</v>
      </c>
      <c r="O261" t="s">
        <v>3380</v>
      </c>
      <c r="P261">
        <v>41218565</v>
      </c>
    </row>
    <row r="262" spans="1:16">
      <c r="A262" t="s">
        <v>28</v>
      </c>
      <c r="B262">
        <v>2</v>
      </c>
      <c r="E262" t="s">
        <v>3379</v>
      </c>
      <c r="F262" t="s">
        <v>3380</v>
      </c>
      <c r="G262" t="s">
        <v>3381</v>
      </c>
      <c r="I262" t="s">
        <v>3338</v>
      </c>
      <c r="J262" t="s">
        <v>2421</v>
      </c>
      <c r="K262" t="s">
        <v>3354</v>
      </c>
      <c r="L262" t="s">
        <v>3369</v>
      </c>
      <c r="N262" t="s">
        <v>3382</v>
      </c>
      <c r="O262" t="s">
        <v>3352</v>
      </c>
      <c r="P262">
        <v>41218565</v>
      </c>
    </row>
    <row r="263" spans="1:16">
      <c r="A263" t="s">
        <v>28</v>
      </c>
      <c r="B263">
        <v>2</v>
      </c>
      <c r="E263" t="s">
        <v>3379</v>
      </c>
      <c r="F263" t="s">
        <v>3380</v>
      </c>
      <c r="G263" t="s">
        <v>3381</v>
      </c>
      <c r="I263" t="s">
        <v>3338</v>
      </c>
      <c r="L263" t="s">
        <v>3383</v>
      </c>
      <c r="N263" t="s">
        <v>3384</v>
      </c>
      <c r="O263" t="s">
        <v>3385</v>
      </c>
      <c r="P263">
        <v>41218565</v>
      </c>
    </row>
    <row r="264" spans="1:16">
      <c r="A264" t="s">
        <v>28</v>
      </c>
      <c r="B264">
        <v>2</v>
      </c>
      <c r="E264" t="s">
        <v>3379</v>
      </c>
      <c r="F264" t="s">
        <v>3380</v>
      </c>
      <c r="G264" t="s">
        <v>3381</v>
      </c>
      <c r="I264" t="s">
        <v>3338</v>
      </c>
      <c r="J264" t="s">
        <v>2232</v>
      </c>
      <c r="K264" t="s">
        <v>2233</v>
      </c>
      <c r="L264" t="s">
        <v>3342</v>
      </c>
      <c r="N264" t="s">
        <v>3386</v>
      </c>
      <c r="O264" t="s">
        <v>3350</v>
      </c>
      <c r="P264">
        <v>41218565</v>
      </c>
    </row>
    <row r="265" spans="1:16">
      <c r="A265" t="s">
        <v>28</v>
      </c>
      <c r="B265">
        <v>1</v>
      </c>
      <c r="E265" t="s">
        <v>3377</v>
      </c>
      <c r="F265" t="s">
        <v>3346</v>
      </c>
      <c r="G265" t="s">
        <v>3378</v>
      </c>
      <c r="I265" t="s">
        <v>3338</v>
      </c>
      <c r="L265" t="s">
        <v>193</v>
      </c>
      <c r="N265" t="s">
        <v>3387</v>
      </c>
      <c r="O265" t="s">
        <v>3388</v>
      </c>
      <c r="P265">
        <v>41218565</v>
      </c>
    </row>
    <row r="266" spans="1:16">
      <c r="A266" t="s">
        <v>28</v>
      </c>
      <c r="B266">
        <v>2</v>
      </c>
      <c r="E266" t="s">
        <v>3387</v>
      </c>
      <c r="F266" t="s">
        <v>3388</v>
      </c>
      <c r="G266" t="s">
        <v>3389</v>
      </c>
      <c r="I266" t="s">
        <v>3338</v>
      </c>
      <c r="L266" t="s">
        <v>3369</v>
      </c>
      <c r="N266" t="s">
        <v>3390</v>
      </c>
      <c r="O266" t="s">
        <v>3352</v>
      </c>
      <c r="P266">
        <v>41218565</v>
      </c>
    </row>
    <row r="267" spans="1:16">
      <c r="A267" t="s">
        <v>28</v>
      </c>
      <c r="B267">
        <v>2</v>
      </c>
      <c r="E267" t="s">
        <v>3387</v>
      </c>
      <c r="F267" t="s">
        <v>3388</v>
      </c>
      <c r="G267" t="s">
        <v>3389</v>
      </c>
      <c r="I267" t="s">
        <v>3338</v>
      </c>
      <c r="L267" t="s">
        <v>3342</v>
      </c>
      <c r="N267" t="s">
        <v>3391</v>
      </c>
      <c r="O267" t="s">
        <v>3392</v>
      </c>
      <c r="P267">
        <v>41218565</v>
      </c>
    </row>
    <row r="268" spans="1:16">
      <c r="A268" t="s">
        <v>28</v>
      </c>
      <c r="B268">
        <v>2</v>
      </c>
      <c r="E268" t="s">
        <v>3387</v>
      </c>
      <c r="F268" t="s">
        <v>3388</v>
      </c>
      <c r="G268" t="s">
        <v>3389</v>
      </c>
      <c r="I268" t="s">
        <v>3338</v>
      </c>
      <c r="L268" t="s">
        <v>3383</v>
      </c>
      <c r="N268" t="s">
        <v>3393</v>
      </c>
      <c r="O268" t="s">
        <v>3385</v>
      </c>
      <c r="P268">
        <v>41218565</v>
      </c>
    </row>
    <row r="269" spans="1:16">
      <c r="A269" t="s">
        <v>28</v>
      </c>
      <c r="B269">
        <v>2</v>
      </c>
      <c r="E269" t="s">
        <v>3387</v>
      </c>
      <c r="F269" t="s">
        <v>3388</v>
      </c>
      <c r="G269" t="s">
        <v>3389</v>
      </c>
      <c r="I269" t="s">
        <v>3338</v>
      </c>
      <c r="L269" t="s">
        <v>3342</v>
      </c>
      <c r="N269" t="s">
        <v>3394</v>
      </c>
      <c r="O269" t="s">
        <v>3350</v>
      </c>
      <c r="P269">
        <v>41218565</v>
      </c>
    </row>
    <row r="270" spans="1:16">
      <c r="A270" t="s">
        <v>28</v>
      </c>
      <c r="B270">
        <v>0</v>
      </c>
      <c r="G270" t="s">
        <v>3338</v>
      </c>
      <c r="I270" t="s">
        <v>3338</v>
      </c>
      <c r="N270" t="s">
        <v>3395</v>
      </c>
      <c r="O270" t="s">
        <v>3396</v>
      </c>
      <c r="P270">
        <v>41218565</v>
      </c>
    </row>
    <row r="271" spans="1:16">
      <c r="A271" t="s">
        <v>28</v>
      </c>
      <c r="B271">
        <v>1</v>
      </c>
      <c r="E271" t="s">
        <v>3395</v>
      </c>
      <c r="F271" t="s">
        <v>3396</v>
      </c>
      <c r="G271" t="s">
        <v>3397</v>
      </c>
      <c r="I271" t="s">
        <v>3338</v>
      </c>
      <c r="L271" t="s">
        <v>3342</v>
      </c>
      <c r="N271" t="s">
        <v>3398</v>
      </c>
      <c r="O271" t="s">
        <v>3399</v>
      </c>
      <c r="P271">
        <v>41218565</v>
      </c>
    </row>
    <row r="272" spans="1:16">
      <c r="A272" t="s">
        <v>28</v>
      </c>
      <c r="B272">
        <v>1</v>
      </c>
      <c r="E272" t="s">
        <v>3395</v>
      </c>
      <c r="F272" t="s">
        <v>3396</v>
      </c>
      <c r="G272" t="s">
        <v>3397</v>
      </c>
      <c r="I272" t="s">
        <v>3338</v>
      </c>
      <c r="J272" t="s">
        <v>2232</v>
      </c>
      <c r="K272" t="s">
        <v>2233</v>
      </c>
      <c r="L272" t="s">
        <v>3342</v>
      </c>
      <c r="N272" t="s">
        <v>3400</v>
      </c>
      <c r="O272" t="s">
        <v>3401</v>
      </c>
      <c r="P272">
        <v>41218565</v>
      </c>
    </row>
    <row r="273" spans="1:16">
      <c r="A273" t="s">
        <v>28</v>
      </c>
      <c r="B273">
        <v>1</v>
      </c>
      <c r="E273" t="s">
        <v>3395</v>
      </c>
      <c r="F273" t="s">
        <v>3396</v>
      </c>
      <c r="G273" t="s">
        <v>3397</v>
      </c>
      <c r="I273" t="s">
        <v>3338</v>
      </c>
      <c r="L273" t="s">
        <v>3342</v>
      </c>
      <c r="N273" t="s">
        <v>3402</v>
      </c>
      <c r="O273" t="s">
        <v>3403</v>
      </c>
      <c r="P273">
        <v>41218565</v>
      </c>
    </row>
    <row r="274" spans="1:16">
      <c r="A274" t="s">
        <v>28</v>
      </c>
      <c r="B274">
        <v>1</v>
      </c>
      <c r="E274" t="s">
        <v>3395</v>
      </c>
      <c r="F274" t="s">
        <v>3396</v>
      </c>
      <c r="G274" t="s">
        <v>3397</v>
      </c>
      <c r="I274" t="s">
        <v>3338</v>
      </c>
      <c r="J274" t="s">
        <v>2232</v>
      </c>
      <c r="K274" t="s">
        <v>2233</v>
      </c>
      <c r="L274" t="s">
        <v>3342</v>
      </c>
      <c r="N274" t="s">
        <v>3404</v>
      </c>
      <c r="O274" t="s">
        <v>3405</v>
      </c>
      <c r="P274">
        <v>41218565</v>
      </c>
    </row>
    <row r="275" spans="1:16">
      <c r="A275" t="s">
        <v>28</v>
      </c>
      <c r="B275">
        <v>0</v>
      </c>
      <c r="G275" t="s">
        <v>3338</v>
      </c>
      <c r="I275" t="s">
        <v>3338</v>
      </c>
      <c r="N275" t="s">
        <v>3406</v>
      </c>
      <c r="O275" t="s">
        <v>3407</v>
      </c>
      <c r="P275">
        <v>41218565</v>
      </c>
    </row>
    <row r="276" spans="1:16">
      <c r="A276" t="s">
        <v>28</v>
      </c>
      <c r="B276">
        <v>1</v>
      </c>
      <c r="E276" t="s">
        <v>3406</v>
      </c>
      <c r="F276" t="s">
        <v>3407</v>
      </c>
      <c r="G276" t="s">
        <v>3408</v>
      </c>
      <c r="I276" t="s">
        <v>3338</v>
      </c>
      <c r="J276" t="s">
        <v>2421</v>
      </c>
      <c r="K276" t="s">
        <v>3354</v>
      </c>
      <c r="L276" t="s">
        <v>3369</v>
      </c>
      <c r="N276" t="s">
        <v>3409</v>
      </c>
      <c r="O276" t="s">
        <v>3410</v>
      </c>
      <c r="P276">
        <v>41218565</v>
      </c>
    </row>
    <row r="277" spans="1:16">
      <c r="A277" t="s">
        <v>28</v>
      </c>
      <c r="B277">
        <v>1</v>
      </c>
      <c r="E277" t="s">
        <v>3406</v>
      </c>
      <c r="F277" t="s">
        <v>3407</v>
      </c>
      <c r="G277" t="s">
        <v>3408</v>
      </c>
      <c r="I277" t="s">
        <v>3338</v>
      </c>
      <c r="L277" t="s">
        <v>193</v>
      </c>
      <c r="N277" t="s">
        <v>3411</v>
      </c>
      <c r="O277" t="s">
        <v>3412</v>
      </c>
      <c r="P277">
        <v>41218565</v>
      </c>
    </row>
    <row r="278" spans="1:16">
      <c r="A278" t="s">
        <v>28</v>
      </c>
      <c r="B278">
        <v>2</v>
      </c>
      <c r="E278" t="s">
        <v>3411</v>
      </c>
      <c r="F278" t="s">
        <v>3412</v>
      </c>
      <c r="G278" t="s">
        <v>3413</v>
      </c>
      <c r="I278" t="s">
        <v>3338</v>
      </c>
      <c r="L278" t="s">
        <v>3342</v>
      </c>
      <c r="N278" t="s">
        <v>3414</v>
      </c>
      <c r="O278" t="s">
        <v>3415</v>
      </c>
      <c r="P278">
        <v>41218565</v>
      </c>
    </row>
    <row r="279" spans="1:16">
      <c r="A279" t="s">
        <v>28</v>
      </c>
      <c r="B279">
        <v>2</v>
      </c>
      <c r="E279" t="s">
        <v>3411</v>
      </c>
      <c r="F279" t="s">
        <v>3412</v>
      </c>
      <c r="G279" t="s">
        <v>3413</v>
      </c>
      <c r="I279" t="s">
        <v>3338</v>
      </c>
      <c r="J279" t="s">
        <v>2232</v>
      </c>
      <c r="K279" t="s">
        <v>2233</v>
      </c>
      <c r="L279" t="s">
        <v>3342</v>
      </c>
      <c r="N279" t="s">
        <v>3416</v>
      </c>
      <c r="O279" t="s">
        <v>3417</v>
      </c>
      <c r="P279">
        <v>41218565</v>
      </c>
    </row>
    <row r="280" spans="1:16">
      <c r="A280" t="s">
        <v>28</v>
      </c>
      <c r="B280">
        <v>2</v>
      </c>
      <c r="E280" t="s">
        <v>3411</v>
      </c>
      <c r="F280" t="s">
        <v>3412</v>
      </c>
      <c r="G280" t="s">
        <v>3413</v>
      </c>
      <c r="I280" t="s">
        <v>3338</v>
      </c>
      <c r="J280" t="s">
        <v>2232</v>
      </c>
      <c r="K280" t="s">
        <v>2233</v>
      </c>
      <c r="L280" t="s">
        <v>3342</v>
      </c>
      <c r="N280" t="s">
        <v>3418</v>
      </c>
      <c r="O280" t="s">
        <v>3419</v>
      </c>
      <c r="P280">
        <v>41218565</v>
      </c>
    </row>
    <row r="281" spans="1:16">
      <c r="A281" t="s">
        <v>28</v>
      </c>
      <c r="B281">
        <v>2</v>
      </c>
      <c r="E281" t="s">
        <v>3411</v>
      </c>
      <c r="F281" t="s">
        <v>3412</v>
      </c>
      <c r="G281" t="s">
        <v>3413</v>
      </c>
      <c r="I281" t="s">
        <v>3338</v>
      </c>
      <c r="L281" t="s">
        <v>3342</v>
      </c>
      <c r="N281" t="s">
        <v>3420</v>
      </c>
      <c r="O281" t="s">
        <v>3421</v>
      </c>
      <c r="P281">
        <v>41218565</v>
      </c>
    </row>
    <row r="282" spans="1:16">
      <c r="A282" t="s">
        <v>28</v>
      </c>
      <c r="B282">
        <v>2</v>
      </c>
      <c r="E282" t="s">
        <v>3411</v>
      </c>
      <c r="F282" t="s">
        <v>3412</v>
      </c>
      <c r="G282" t="s">
        <v>3413</v>
      </c>
      <c r="I282" t="s">
        <v>3338</v>
      </c>
      <c r="J282" t="s">
        <v>2232</v>
      </c>
      <c r="K282" t="s">
        <v>2233</v>
      </c>
      <c r="L282" t="s">
        <v>3342</v>
      </c>
      <c r="N282" t="s">
        <v>3422</v>
      </c>
      <c r="O282" t="s">
        <v>3423</v>
      </c>
      <c r="P282">
        <v>41218565</v>
      </c>
    </row>
    <row r="283" spans="1:16">
      <c r="A283" t="s">
        <v>28</v>
      </c>
      <c r="B283">
        <v>0</v>
      </c>
      <c r="G283" t="s">
        <v>3338</v>
      </c>
      <c r="I283" t="s">
        <v>3338</v>
      </c>
      <c r="N283" t="s">
        <v>3424</v>
      </c>
      <c r="O283" t="s">
        <v>3425</v>
      </c>
      <c r="P283">
        <v>41218565</v>
      </c>
    </row>
    <row r="284" spans="1:16">
      <c r="A284" t="s">
        <v>28</v>
      </c>
      <c r="B284">
        <v>1</v>
      </c>
      <c r="E284" t="s">
        <v>3424</v>
      </c>
      <c r="F284" t="s">
        <v>3425</v>
      </c>
      <c r="G284" t="s">
        <v>3426</v>
      </c>
      <c r="I284" t="s">
        <v>3338</v>
      </c>
      <c r="J284" t="s">
        <v>2421</v>
      </c>
      <c r="K284" t="s">
        <v>3354</v>
      </c>
      <c r="L284" t="s">
        <v>3369</v>
      </c>
      <c r="N284" t="s">
        <v>3427</v>
      </c>
      <c r="O284" t="s">
        <v>3428</v>
      </c>
      <c r="P284">
        <v>41218565</v>
      </c>
    </row>
    <row r="285" spans="1:16">
      <c r="A285" t="s">
        <v>28</v>
      </c>
      <c r="B285">
        <v>1</v>
      </c>
      <c r="E285" t="s">
        <v>3424</v>
      </c>
      <c r="F285" t="s">
        <v>3425</v>
      </c>
      <c r="G285" t="s">
        <v>3426</v>
      </c>
      <c r="I285" t="s">
        <v>3338</v>
      </c>
      <c r="J285" t="s">
        <v>2421</v>
      </c>
      <c r="K285" t="s">
        <v>3354</v>
      </c>
      <c r="L285" t="s">
        <v>3369</v>
      </c>
      <c r="N285" t="s">
        <v>3429</v>
      </c>
      <c r="O285" t="s">
        <v>3430</v>
      </c>
      <c r="P285">
        <v>41218565</v>
      </c>
    </row>
    <row r="286" spans="1:16">
      <c r="A286" t="s">
        <v>28</v>
      </c>
      <c r="B286">
        <v>1</v>
      </c>
      <c r="E286" t="s">
        <v>3424</v>
      </c>
      <c r="F286" t="s">
        <v>3425</v>
      </c>
      <c r="G286" t="s">
        <v>3426</v>
      </c>
      <c r="I286" t="s">
        <v>3338</v>
      </c>
      <c r="J286" t="s">
        <v>2232</v>
      </c>
      <c r="K286" t="s">
        <v>2233</v>
      </c>
      <c r="L286" t="s">
        <v>3342</v>
      </c>
      <c r="N286" t="s">
        <v>3431</v>
      </c>
      <c r="O286" t="s">
        <v>3432</v>
      </c>
      <c r="P286">
        <v>41218565</v>
      </c>
    </row>
    <row r="287" spans="1:16">
      <c r="A287" t="s">
        <v>28</v>
      </c>
      <c r="B287">
        <v>0</v>
      </c>
      <c r="G287" t="s">
        <v>3338</v>
      </c>
      <c r="I287" t="s">
        <v>3338</v>
      </c>
      <c r="N287" t="s">
        <v>3433</v>
      </c>
      <c r="O287" t="s">
        <v>3434</v>
      </c>
      <c r="P287">
        <v>41218565</v>
      </c>
    </row>
    <row r="288" spans="1:16">
      <c r="A288" t="s">
        <v>28</v>
      </c>
      <c r="B288">
        <v>1</v>
      </c>
      <c r="E288" t="s">
        <v>3433</v>
      </c>
      <c r="F288" t="s">
        <v>3434</v>
      </c>
      <c r="G288" t="s">
        <v>3435</v>
      </c>
      <c r="I288" t="s">
        <v>3338</v>
      </c>
      <c r="J288" t="s">
        <v>2232</v>
      </c>
      <c r="K288" t="s">
        <v>2233</v>
      </c>
      <c r="L288" t="s">
        <v>3342</v>
      </c>
      <c r="N288" t="s">
        <v>3436</v>
      </c>
      <c r="O288" t="s">
        <v>3437</v>
      </c>
      <c r="P288">
        <v>41218565</v>
      </c>
    </row>
    <row r="289" spans="1:16">
      <c r="A289" t="s">
        <v>28</v>
      </c>
      <c r="B289">
        <v>1</v>
      </c>
      <c r="E289" t="s">
        <v>3433</v>
      </c>
      <c r="F289" t="s">
        <v>3434</v>
      </c>
      <c r="G289" t="s">
        <v>3435</v>
      </c>
      <c r="I289" t="s">
        <v>3338</v>
      </c>
      <c r="J289" t="s">
        <v>2232</v>
      </c>
      <c r="K289" t="s">
        <v>2233</v>
      </c>
      <c r="L289" t="s">
        <v>3342</v>
      </c>
      <c r="N289" t="s">
        <v>3438</v>
      </c>
      <c r="O289" t="s">
        <v>3439</v>
      </c>
      <c r="P289">
        <v>41218565</v>
      </c>
    </row>
    <row r="290" spans="1:16">
      <c r="A290" t="s">
        <v>28</v>
      </c>
      <c r="B290">
        <v>1</v>
      </c>
      <c r="E290" t="s">
        <v>3433</v>
      </c>
      <c r="F290" t="s">
        <v>3434</v>
      </c>
      <c r="G290" t="s">
        <v>3435</v>
      </c>
      <c r="I290" t="s">
        <v>3338</v>
      </c>
      <c r="J290" t="s">
        <v>2232</v>
      </c>
      <c r="K290" t="s">
        <v>2233</v>
      </c>
      <c r="L290" t="s">
        <v>3342</v>
      </c>
      <c r="N290" t="s">
        <v>3440</v>
      </c>
      <c r="O290" t="s">
        <v>3441</v>
      </c>
      <c r="P290">
        <v>41218565</v>
      </c>
    </row>
    <row r="291" spans="1:16">
      <c r="A291" t="s">
        <v>28</v>
      </c>
      <c r="B291">
        <v>1</v>
      </c>
      <c r="E291" t="s">
        <v>3433</v>
      </c>
      <c r="F291" t="s">
        <v>3434</v>
      </c>
      <c r="G291" t="s">
        <v>3435</v>
      </c>
      <c r="I291" t="s">
        <v>3338</v>
      </c>
      <c r="J291" t="s">
        <v>2232</v>
      </c>
      <c r="K291" t="s">
        <v>2233</v>
      </c>
      <c r="L291" t="s">
        <v>3342</v>
      </c>
      <c r="N291" t="s">
        <v>3442</v>
      </c>
      <c r="O291" t="s">
        <v>3443</v>
      </c>
      <c r="P291">
        <v>41218565</v>
      </c>
    </row>
    <row r="292" spans="1:16">
      <c r="A292" t="s">
        <v>28</v>
      </c>
      <c r="B292">
        <v>1</v>
      </c>
      <c r="E292" t="s">
        <v>3433</v>
      </c>
      <c r="F292" t="s">
        <v>3434</v>
      </c>
      <c r="G292" t="s">
        <v>3435</v>
      </c>
      <c r="I292" t="s">
        <v>3338</v>
      </c>
      <c r="J292" t="s">
        <v>2232</v>
      </c>
      <c r="K292" t="s">
        <v>2233</v>
      </c>
      <c r="L292" t="s">
        <v>3342</v>
      </c>
      <c r="N292" t="s">
        <v>3444</v>
      </c>
      <c r="O292" t="s">
        <v>3445</v>
      </c>
      <c r="P292">
        <v>41218565</v>
      </c>
    </row>
    <row r="293" spans="1:16">
      <c r="A293" t="s">
        <v>28</v>
      </c>
      <c r="B293">
        <v>1</v>
      </c>
      <c r="E293" t="s">
        <v>3433</v>
      </c>
      <c r="F293" t="s">
        <v>3434</v>
      </c>
      <c r="G293" t="s">
        <v>3435</v>
      </c>
      <c r="I293" t="s">
        <v>3338</v>
      </c>
      <c r="J293" t="s">
        <v>2232</v>
      </c>
      <c r="K293" t="s">
        <v>2233</v>
      </c>
      <c r="L293" t="s">
        <v>3342</v>
      </c>
      <c r="N293" t="s">
        <v>3446</v>
      </c>
      <c r="O293" t="s">
        <v>3447</v>
      </c>
      <c r="P293">
        <v>41218565</v>
      </c>
    </row>
    <row r="294" spans="1:16">
      <c r="A294" t="s">
        <v>28</v>
      </c>
      <c r="B294">
        <v>0</v>
      </c>
      <c r="G294" t="s">
        <v>3338</v>
      </c>
      <c r="I294" t="s">
        <v>3338</v>
      </c>
      <c r="N294" t="s">
        <v>3448</v>
      </c>
      <c r="O294" t="s">
        <v>3449</v>
      </c>
      <c r="P294">
        <v>41218565</v>
      </c>
    </row>
    <row r="295" spans="1:16">
      <c r="A295" t="s">
        <v>28</v>
      </c>
      <c r="B295">
        <v>1</v>
      </c>
      <c r="E295" t="s">
        <v>3448</v>
      </c>
      <c r="F295" t="s">
        <v>3449</v>
      </c>
      <c r="G295" t="s">
        <v>3450</v>
      </c>
      <c r="I295" t="s">
        <v>3338</v>
      </c>
      <c r="J295" t="s">
        <v>2421</v>
      </c>
      <c r="K295" t="s">
        <v>3354</v>
      </c>
      <c r="L295" t="s">
        <v>3451</v>
      </c>
      <c r="N295" t="s">
        <v>3452</v>
      </c>
      <c r="O295" t="s">
        <v>3453</v>
      </c>
      <c r="P295">
        <v>41218565</v>
      </c>
    </row>
    <row r="296" spans="1:16">
      <c r="A296" t="s">
        <v>28</v>
      </c>
      <c r="B296">
        <v>0</v>
      </c>
      <c r="G296" t="s">
        <v>3456</v>
      </c>
      <c r="I296" t="s">
        <v>3456</v>
      </c>
      <c r="M296" t="s">
        <v>3463</v>
      </c>
      <c r="N296" t="s">
        <v>3464</v>
      </c>
      <c r="O296" t="s">
        <v>3465</v>
      </c>
      <c r="P296">
        <v>41218565</v>
      </c>
    </row>
    <row r="297" spans="1:16">
      <c r="A297" t="s">
        <v>28</v>
      </c>
      <c r="B297">
        <v>0</v>
      </c>
      <c r="G297" t="s">
        <v>3456</v>
      </c>
      <c r="I297" t="s">
        <v>3456</v>
      </c>
      <c r="M297" t="s">
        <v>3457</v>
      </c>
      <c r="N297" t="s">
        <v>3466</v>
      </c>
      <c r="O297" t="s">
        <v>3467</v>
      </c>
      <c r="P297">
        <v>41218565</v>
      </c>
    </row>
    <row r="298" spans="1:16">
      <c r="A298" t="s">
        <v>29</v>
      </c>
      <c r="B298">
        <v>0</v>
      </c>
      <c r="G298" t="s">
        <v>3338</v>
      </c>
      <c r="I298" t="s">
        <v>3338</v>
      </c>
      <c r="N298" t="s">
        <v>3339</v>
      </c>
      <c r="O298" t="s">
        <v>3340</v>
      </c>
      <c r="P298">
        <v>40055487</v>
      </c>
    </row>
    <row r="299" spans="1:16">
      <c r="A299" t="s">
        <v>29</v>
      </c>
      <c r="B299">
        <v>1</v>
      </c>
      <c r="E299" t="s">
        <v>3339</v>
      </c>
      <c r="F299" t="s">
        <v>3340</v>
      </c>
      <c r="G299" t="s">
        <v>3341</v>
      </c>
      <c r="I299" t="s">
        <v>3338</v>
      </c>
      <c r="J299" t="s">
        <v>2232</v>
      </c>
      <c r="K299" t="s">
        <v>2233</v>
      </c>
      <c r="L299" t="s">
        <v>3342</v>
      </c>
      <c r="N299" t="s">
        <v>3343</v>
      </c>
      <c r="O299" t="s">
        <v>3344</v>
      </c>
      <c r="P299">
        <v>40055487</v>
      </c>
    </row>
    <row r="300" spans="1:16">
      <c r="A300" t="s">
        <v>29</v>
      </c>
      <c r="B300">
        <v>1</v>
      </c>
      <c r="E300" t="s">
        <v>3339</v>
      </c>
      <c r="F300" t="s">
        <v>3340</v>
      </c>
      <c r="G300" t="s">
        <v>3341</v>
      </c>
      <c r="I300" t="s">
        <v>3338</v>
      </c>
      <c r="J300" t="s">
        <v>2232</v>
      </c>
      <c r="K300" t="s">
        <v>2233</v>
      </c>
      <c r="L300" t="s">
        <v>3342</v>
      </c>
      <c r="N300" t="s">
        <v>3345</v>
      </c>
      <c r="O300" t="s">
        <v>3346</v>
      </c>
      <c r="P300">
        <v>40055487</v>
      </c>
    </row>
    <row r="301" spans="1:16">
      <c r="A301" t="s">
        <v>29</v>
      </c>
      <c r="B301">
        <v>0</v>
      </c>
      <c r="G301" t="s">
        <v>3338</v>
      </c>
      <c r="I301" t="s">
        <v>3338</v>
      </c>
      <c r="N301" t="s">
        <v>3347</v>
      </c>
      <c r="O301" t="s">
        <v>3344</v>
      </c>
      <c r="P301">
        <v>40055487</v>
      </c>
    </row>
    <row r="302" spans="1:16">
      <c r="A302" t="s">
        <v>29</v>
      </c>
      <c r="B302">
        <v>1</v>
      </c>
      <c r="E302" t="s">
        <v>3347</v>
      </c>
      <c r="F302" t="s">
        <v>3344</v>
      </c>
      <c r="G302" t="s">
        <v>3348</v>
      </c>
      <c r="I302" t="s">
        <v>3338</v>
      </c>
      <c r="J302" t="s">
        <v>2232</v>
      </c>
      <c r="K302" t="s">
        <v>2233</v>
      </c>
      <c r="L302" t="s">
        <v>3342</v>
      </c>
      <c r="N302" t="s">
        <v>3349</v>
      </c>
      <c r="O302" t="s">
        <v>3350</v>
      </c>
      <c r="P302">
        <v>40055487</v>
      </c>
    </row>
    <row r="303" spans="1:16">
      <c r="A303" t="s">
        <v>29</v>
      </c>
      <c r="B303">
        <v>1</v>
      </c>
      <c r="E303" t="s">
        <v>3347</v>
      </c>
      <c r="F303" t="s">
        <v>3344</v>
      </c>
      <c r="G303" t="s">
        <v>3348</v>
      </c>
      <c r="I303" t="s">
        <v>3338</v>
      </c>
      <c r="L303" t="s">
        <v>193</v>
      </c>
      <c r="N303" t="s">
        <v>3351</v>
      </c>
      <c r="O303" t="s">
        <v>3352</v>
      </c>
      <c r="P303">
        <v>40055487</v>
      </c>
    </row>
    <row r="304" spans="1:16">
      <c r="A304" t="s">
        <v>29</v>
      </c>
      <c r="B304">
        <v>2</v>
      </c>
      <c r="E304" t="s">
        <v>3351</v>
      </c>
      <c r="F304" t="s">
        <v>3352</v>
      </c>
      <c r="G304" t="s">
        <v>3353</v>
      </c>
      <c r="I304" t="s">
        <v>3338</v>
      </c>
      <c r="J304" t="s">
        <v>2421</v>
      </c>
      <c r="K304" t="s">
        <v>3354</v>
      </c>
      <c r="L304" t="s">
        <v>3355</v>
      </c>
      <c r="N304" t="s">
        <v>3356</v>
      </c>
      <c r="O304" t="s">
        <v>3357</v>
      </c>
      <c r="P304">
        <v>40055487</v>
      </c>
    </row>
    <row r="305" spans="1:16">
      <c r="A305" t="s">
        <v>29</v>
      </c>
      <c r="B305">
        <v>2</v>
      </c>
      <c r="E305" t="s">
        <v>3351</v>
      </c>
      <c r="F305" t="s">
        <v>3352</v>
      </c>
      <c r="G305" t="s">
        <v>3353</v>
      </c>
      <c r="I305" t="s">
        <v>3338</v>
      </c>
      <c r="J305" t="s">
        <v>2421</v>
      </c>
      <c r="K305" t="s">
        <v>3354</v>
      </c>
      <c r="L305" t="s">
        <v>3355</v>
      </c>
      <c r="N305" t="s">
        <v>3358</v>
      </c>
      <c r="O305" t="s">
        <v>3359</v>
      </c>
      <c r="P305">
        <v>40055487</v>
      </c>
    </row>
    <row r="306" spans="1:16">
      <c r="A306" t="s">
        <v>29</v>
      </c>
      <c r="B306">
        <v>2</v>
      </c>
      <c r="E306" t="s">
        <v>3351</v>
      </c>
      <c r="F306" t="s">
        <v>3352</v>
      </c>
      <c r="G306" t="s">
        <v>3353</v>
      </c>
      <c r="I306" t="s">
        <v>3338</v>
      </c>
      <c r="J306" t="s">
        <v>2421</v>
      </c>
      <c r="K306" t="s">
        <v>3354</v>
      </c>
      <c r="L306" t="s">
        <v>3355</v>
      </c>
      <c r="N306" t="s">
        <v>3360</v>
      </c>
      <c r="O306" t="s">
        <v>3361</v>
      </c>
      <c r="P306">
        <v>40055487</v>
      </c>
    </row>
    <row r="307" spans="1:16">
      <c r="A307" t="s">
        <v>29</v>
      </c>
      <c r="B307">
        <v>1</v>
      </c>
      <c r="E307" t="s">
        <v>3347</v>
      </c>
      <c r="F307" t="s">
        <v>3344</v>
      </c>
      <c r="G307" t="s">
        <v>3348</v>
      </c>
      <c r="I307" t="s">
        <v>3338</v>
      </c>
      <c r="J307" t="s">
        <v>2236</v>
      </c>
      <c r="K307" t="s">
        <v>3362</v>
      </c>
      <c r="L307" t="s">
        <v>3363</v>
      </c>
      <c r="N307" t="s">
        <v>3364</v>
      </c>
      <c r="O307" t="s">
        <v>3365</v>
      </c>
      <c r="P307">
        <v>40055487</v>
      </c>
    </row>
    <row r="308" spans="1:16">
      <c r="A308" t="s">
        <v>29</v>
      </c>
      <c r="B308">
        <v>1</v>
      </c>
      <c r="E308" t="s">
        <v>3347</v>
      </c>
      <c r="F308" t="s">
        <v>3344</v>
      </c>
      <c r="G308" t="s">
        <v>3348</v>
      </c>
      <c r="I308" t="s">
        <v>3338</v>
      </c>
      <c r="L308" t="s">
        <v>193</v>
      </c>
      <c r="N308" t="s">
        <v>3366</v>
      </c>
      <c r="O308" t="s">
        <v>3367</v>
      </c>
      <c r="P308">
        <v>40055487</v>
      </c>
    </row>
    <row r="309" spans="1:16">
      <c r="A309" t="s">
        <v>29</v>
      </c>
      <c r="B309">
        <v>2</v>
      </c>
      <c r="E309" t="s">
        <v>3366</v>
      </c>
      <c r="F309" t="s">
        <v>3367</v>
      </c>
      <c r="G309" t="s">
        <v>3368</v>
      </c>
      <c r="I309" t="s">
        <v>3338</v>
      </c>
      <c r="J309" t="s">
        <v>2421</v>
      </c>
      <c r="K309" t="s">
        <v>3354</v>
      </c>
      <c r="L309" t="s">
        <v>3369</v>
      </c>
      <c r="N309" t="s">
        <v>3370</v>
      </c>
      <c r="O309" t="s">
        <v>3359</v>
      </c>
      <c r="P309">
        <v>40055487</v>
      </c>
    </row>
    <row r="310" spans="1:16">
      <c r="A310" t="s">
        <v>29</v>
      </c>
      <c r="B310">
        <v>2</v>
      </c>
      <c r="E310" t="s">
        <v>3366</v>
      </c>
      <c r="F310" t="s">
        <v>3367</v>
      </c>
      <c r="G310" t="s">
        <v>3368</v>
      </c>
      <c r="I310" t="s">
        <v>3338</v>
      </c>
      <c r="J310" t="s">
        <v>2421</v>
      </c>
      <c r="K310" t="s">
        <v>3354</v>
      </c>
      <c r="L310" t="s">
        <v>3369</v>
      </c>
      <c r="N310" t="s">
        <v>3371</v>
      </c>
      <c r="O310" t="s">
        <v>3372</v>
      </c>
      <c r="P310">
        <v>40055487</v>
      </c>
    </row>
    <row r="311" spans="1:16">
      <c r="A311" t="s">
        <v>29</v>
      </c>
      <c r="B311">
        <v>2</v>
      </c>
      <c r="E311" t="s">
        <v>3366</v>
      </c>
      <c r="F311" t="s">
        <v>3367</v>
      </c>
      <c r="G311" t="s">
        <v>3368</v>
      </c>
      <c r="I311" t="s">
        <v>3338</v>
      </c>
      <c r="J311" t="s">
        <v>2421</v>
      </c>
      <c r="K311" t="s">
        <v>3354</v>
      </c>
      <c r="L311" t="s">
        <v>3369</v>
      </c>
      <c r="N311" t="s">
        <v>3373</v>
      </c>
      <c r="O311" t="s">
        <v>3374</v>
      </c>
      <c r="P311">
        <v>40055487</v>
      </c>
    </row>
    <row r="312" spans="1:16">
      <c r="A312" t="s">
        <v>29</v>
      </c>
      <c r="B312">
        <v>2</v>
      </c>
      <c r="E312" t="s">
        <v>3366</v>
      </c>
      <c r="F312" t="s">
        <v>3367</v>
      </c>
      <c r="G312" t="s">
        <v>3368</v>
      </c>
      <c r="I312" t="s">
        <v>3338</v>
      </c>
      <c r="J312" t="s">
        <v>2236</v>
      </c>
      <c r="K312" t="s">
        <v>3362</v>
      </c>
      <c r="L312" t="s">
        <v>3363</v>
      </c>
      <c r="N312" t="s">
        <v>3375</v>
      </c>
      <c r="O312" t="s">
        <v>3376</v>
      </c>
      <c r="P312">
        <v>40055487</v>
      </c>
    </row>
    <row r="313" spans="1:16">
      <c r="A313" t="s">
        <v>29</v>
      </c>
      <c r="B313">
        <v>1</v>
      </c>
      <c r="E313" t="s">
        <v>3347</v>
      </c>
      <c r="F313" t="s">
        <v>3344</v>
      </c>
      <c r="G313" t="s">
        <v>3348</v>
      </c>
      <c r="I313" t="s">
        <v>3338</v>
      </c>
      <c r="J313" t="s">
        <v>2232</v>
      </c>
      <c r="K313" t="s">
        <v>2233</v>
      </c>
      <c r="L313" t="s">
        <v>3342</v>
      </c>
      <c r="N313" t="s">
        <v>3454</v>
      </c>
      <c r="O313" t="s">
        <v>3455</v>
      </c>
      <c r="P313">
        <v>40055487</v>
      </c>
    </row>
    <row r="314" spans="1:16">
      <c r="A314" t="s">
        <v>29</v>
      </c>
      <c r="B314">
        <v>0</v>
      </c>
      <c r="G314" t="s">
        <v>3338</v>
      </c>
      <c r="I314" t="s">
        <v>3338</v>
      </c>
      <c r="N314" t="s">
        <v>3377</v>
      </c>
      <c r="O314" t="s">
        <v>3346</v>
      </c>
      <c r="P314">
        <v>40055487</v>
      </c>
    </row>
    <row r="315" spans="1:16">
      <c r="A315" t="s">
        <v>29</v>
      </c>
      <c r="B315">
        <v>1</v>
      </c>
      <c r="E315" t="s">
        <v>3377</v>
      </c>
      <c r="F315" t="s">
        <v>3346</v>
      </c>
      <c r="G315" t="s">
        <v>3378</v>
      </c>
      <c r="I315" t="s">
        <v>3338</v>
      </c>
      <c r="L315" t="s">
        <v>193</v>
      </c>
      <c r="N315" t="s">
        <v>3379</v>
      </c>
      <c r="O315" t="s">
        <v>3380</v>
      </c>
      <c r="P315">
        <v>40055487</v>
      </c>
    </row>
    <row r="316" spans="1:16">
      <c r="A316" t="s">
        <v>29</v>
      </c>
      <c r="B316">
        <v>2</v>
      </c>
      <c r="E316" t="s">
        <v>3379</v>
      </c>
      <c r="F316" t="s">
        <v>3380</v>
      </c>
      <c r="G316" t="s">
        <v>3381</v>
      </c>
      <c r="I316" t="s">
        <v>3338</v>
      </c>
      <c r="J316" t="s">
        <v>2421</v>
      </c>
      <c r="K316" t="s">
        <v>3354</v>
      </c>
      <c r="L316" t="s">
        <v>3369</v>
      </c>
      <c r="N316" t="s">
        <v>3382</v>
      </c>
      <c r="O316" t="s">
        <v>3352</v>
      </c>
      <c r="P316">
        <v>40055487</v>
      </c>
    </row>
    <row r="317" spans="1:16">
      <c r="A317" t="s">
        <v>29</v>
      </c>
      <c r="B317">
        <v>2</v>
      </c>
      <c r="E317" t="s">
        <v>3379</v>
      </c>
      <c r="F317" t="s">
        <v>3380</v>
      </c>
      <c r="G317" t="s">
        <v>3381</v>
      </c>
      <c r="I317" t="s">
        <v>3338</v>
      </c>
      <c r="L317" t="s">
        <v>3383</v>
      </c>
      <c r="N317" t="s">
        <v>3384</v>
      </c>
      <c r="O317" t="s">
        <v>3385</v>
      </c>
      <c r="P317">
        <v>40055487</v>
      </c>
    </row>
    <row r="318" spans="1:16">
      <c r="A318" t="s">
        <v>29</v>
      </c>
      <c r="B318">
        <v>2</v>
      </c>
      <c r="E318" t="s">
        <v>3379</v>
      </c>
      <c r="F318" t="s">
        <v>3380</v>
      </c>
      <c r="G318" t="s">
        <v>3381</v>
      </c>
      <c r="I318" t="s">
        <v>3338</v>
      </c>
      <c r="J318" t="s">
        <v>2232</v>
      </c>
      <c r="K318" t="s">
        <v>2233</v>
      </c>
      <c r="L318" t="s">
        <v>3342</v>
      </c>
      <c r="N318" t="s">
        <v>3386</v>
      </c>
      <c r="O318" t="s">
        <v>3350</v>
      </c>
      <c r="P318">
        <v>40055487</v>
      </c>
    </row>
    <row r="319" spans="1:16">
      <c r="A319" t="s">
        <v>29</v>
      </c>
      <c r="B319">
        <v>0</v>
      </c>
      <c r="G319" t="s">
        <v>3338</v>
      </c>
      <c r="I319" t="s">
        <v>3338</v>
      </c>
      <c r="N319" t="s">
        <v>3395</v>
      </c>
      <c r="O319" t="s">
        <v>3396</v>
      </c>
      <c r="P319">
        <v>40055487</v>
      </c>
    </row>
    <row r="320" spans="1:16">
      <c r="A320" t="s">
        <v>29</v>
      </c>
      <c r="B320">
        <v>1</v>
      </c>
      <c r="E320" t="s">
        <v>3395</v>
      </c>
      <c r="F320" t="s">
        <v>3396</v>
      </c>
      <c r="G320" t="s">
        <v>3397</v>
      </c>
      <c r="I320" t="s">
        <v>3338</v>
      </c>
      <c r="L320" t="s">
        <v>3342</v>
      </c>
      <c r="N320" t="s">
        <v>3398</v>
      </c>
      <c r="O320" t="s">
        <v>3399</v>
      </c>
      <c r="P320">
        <v>40055487</v>
      </c>
    </row>
    <row r="321" spans="1:16">
      <c r="A321" t="s">
        <v>29</v>
      </c>
      <c r="B321">
        <v>1</v>
      </c>
      <c r="E321" t="s">
        <v>3395</v>
      </c>
      <c r="F321" t="s">
        <v>3396</v>
      </c>
      <c r="G321" t="s">
        <v>3397</v>
      </c>
      <c r="I321" t="s">
        <v>3338</v>
      </c>
      <c r="J321" t="s">
        <v>2232</v>
      </c>
      <c r="K321" t="s">
        <v>2233</v>
      </c>
      <c r="L321" t="s">
        <v>3342</v>
      </c>
      <c r="N321" t="s">
        <v>3400</v>
      </c>
      <c r="O321" t="s">
        <v>3401</v>
      </c>
      <c r="P321">
        <v>40055487</v>
      </c>
    </row>
    <row r="322" spans="1:16">
      <c r="A322" t="s">
        <v>29</v>
      </c>
      <c r="B322">
        <v>1</v>
      </c>
      <c r="E322" t="s">
        <v>3395</v>
      </c>
      <c r="F322" t="s">
        <v>3396</v>
      </c>
      <c r="G322" t="s">
        <v>3397</v>
      </c>
      <c r="I322" t="s">
        <v>3338</v>
      </c>
      <c r="L322" t="s">
        <v>3342</v>
      </c>
      <c r="N322" t="s">
        <v>3402</v>
      </c>
      <c r="O322" t="s">
        <v>3403</v>
      </c>
      <c r="P322">
        <v>40055487</v>
      </c>
    </row>
    <row r="323" spans="1:16">
      <c r="A323" t="s">
        <v>29</v>
      </c>
      <c r="B323">
        <v>1</v>
      </c>
      <c r="E323" t="s">
        <v>3395</v>
      </c>
      <c r="F323" t="s">
        <v>3396</v>
      </c>
      <c r="G323" t="s">
        <v>3397</v>
      </c>
      <c r="I323" t="s">
        <v>3338</v>
      </c>
      <c r="J323" t="s">
        <v>2232</v>
      </c>
      <c r="K323" t="s">
        <v>2233</v>
      </c>
      <c r="L323" t="s">
        <v>3342</v>
      </c>
      <c r="N323" t="s">
        <v>3404</v>
      </c>
      <c r="O323" t="s">
        <v>3405</v>
      </c>
      <c r="P323">
        <v>40055487</v>
      </c>
    </row>
    <row r="324" spans="1:16">
      <c r="A324" t="s">
        <v>29</v>
      </c>
      <c r="B324">
        <v>0</v>
      </c>
      <c r="G324" t="s">
        <v>3338</v>
      </c>
      <c r="I324" t="s">
        <v>3338</v>
      </c>
      <c r="N324" t="s">
        <v>3406</v>
      </c>
      <c r="O324" t="s">
        <v>3407</v>
      </c>
      <c r="P324">
        <v>40055487</v>
      </c>
    </row>
    <row r="325" spans="1:16">
      <c r="A325" t="s">
        <v>29</v>
      </c>
      <c r="B325">
        <v>1</v>
      </c>
      <c r="E325" t="s">
        <v>3406</v>
      </c>
      <c r="F325" t="s">
        <v>3407</v>
      </c>
      <c r="G325" t="s">
        <v>3408</v>
      </c>
      <c r="I325" t="s">
        <v>3338</v>
      </c>
      <c r="J325" t="s">
        <v>2421</v>
      </c>
      <c r="K325" t="s">
        <v>3354</v>
      </c>
      <c r="L325" t="s">
        <v>3369</v>
      </c>
      <c r="N325" t="s">
        <v>3409</v>
      </c>
      <c r="O325" t="s">
        <v>3410</v>
      </c>
      <c r="P325">
        <v>40055487</v>
      </c>
    </row>
    <row r="326" spans="1:16">
      <c r="A326" t="s">
        <v>29</v>
      </c>
      <c r="B326">
        <v>1</v>
      </c>
      <c r="E326" t="s">
        <v>3406</v>
      </c>
      <c r="F326" t="s">
        <v>3407</v>
      </c>
      <c r="G326" t="s">
        <v>3408</v>
      </c>
      <c r="I326" t="s">
        <v>3338</v>
      </c>
      <c r="L326" t="s">
        <v>193</v>
      </c>
      <c r="N326" t="s">
        <v>3411</v>
      </c>
      <c r="O326" t="s">
        <v>3412</v>
      </c>
      <c r="P326">
        <v>40055487</v>
      </c>
    </row>
    <row r="327" spans="1:16">
      <c r="A327" t="s">
        <v>29</v>
      </c>
      <c r="B327">
        <v>2</v>
      </c>
      <c r="E327" t="s">
        <v>3411</v>
      </c>
      <c r="F327" t="s">
        <v>3412</v>
      </c>
      <c r="G327" t="s">
        <v>3413</v>
      </c>
      <c r="I327" t="s">
        <v>3338</v>
      </c>
      <c r="L327" t="s">
        <v>3342</v>
      </c>
      <c r="N327" t="s">
        <v>3414</v>
      </c>
      <c r="O327" t="s">
        <v>3415</v>
      </c>
      <c r="P327">
        <v>40055487</v>
      </c>
    </row>
    <row r="328" spans="1:16">
      <c r="A328" t="s">
        <v>29</v>
      </c>
      <c r="B328">
        <v>2</v>
      </c>
      <c r="E328" t="s">
        <v>3411</v>
      </c>
      <c r="F328" t="s">
        <v>3412</v>
      </c>
      <c r="G328" t="s">
        <v>3413</v>
      </c>
      <c r="I328" t="s">
        <v>3338</v>
      </c>
      <c r="J328" t="s">
        <v>2232</v>
      </c>
      <c r="K328" t="s">
        <v>2233</v>
      </c>
      <c r="L328" t="s">
        <v>3342</v>
      </c>
      <c r="N328" t="s">
        <v>3416</v>
      </c>
      <c r="O328" t="s">
        <v>3417</v>
      </c>
      <c r="P328">
        <v>40055487</v>
      </c>
    </row>
    <row r="329" spans="1:16">
      <c r="A329" t="s">
        <v>29</v>
      </c>
      <c r="B329">
        <v>2</v>
      </c>
      <c r="E329" t="s">
        <v>3411</v>
      </c>
      <c r="F329" t="s">
        <v>3412</v>
      </c>
      <c r="G329" t="s">
        <v>3413</v>
      </c>
      <c r="I329" t="s">
        <v>3338</v>
      </c>
      <c r="J329" t="s">
        <v>2232</v>
      </c>
      <c r="K329" t="s">
        <v>2233</v>
      </c>
      <c r="L329" t="s">
        <v>3342</v>
      </c>
      <c r="N329" t="s">
        <v>3418</v>
      </c>
      <c r="O329" t="s">
        <v>3419</v>
      </c>
      <c r="P329">
        <v>40055487</v>
      </c>
    </row>
    <row r="330" spans="1:16">
      <c r="A330" t="s">
        <v>29</v>
      </c>
      <c r="B330">
        <v>2</v>
      </c>
      <c r="E330" t="s">
        <v>3411</v>
      </c>
      <c r="F330" t="s">
        <v>3412</v>
      </c>
      <c r="G330" t="s">
        <v>3413</v>
      </c>
      <c r="I330" t="s">
        <v>3338</v>
      </c>
      <c r="L330" t="s">
        <v>3342</v>
      </c>
      <c r="N330" t="s">
        <v>3420</v>
      </c>
      <c r="O330" t="s">
        <v>3421</v>
      </c>
      <c r="P330">
        <v>40055487</v>
      </c>
    </row>
    <row r="331" spans="1:16">
      <c r="A331" t="s">
        <v>29</v>
      </c>
      <c r="B331">
        <v>2</v>
      </c>
      <c r="E331" t="s">
        <v>3411</v>
      </c>
      <c r="F331" t="s">
        <v>3412</v>
      </c>
      <c r="G331" t="s">
        <v>3413</v>
      </c>
      <c r="I331" t="s">
        <v>3338</v>
      </c>
      <c r="J331" t="s">
        <v>2232</v>
      </c>
      <c r="K331" t="s">
        <v>2233</v>
      </c>
      <c r="L331" t="s">
        <v>3342</v>
      </c>
      <c r="N331" t="s">
        <v>3422</v>
      </c>
      <c r="O331" t="s">
        <v>3423</v>
      </c>
      <c r="P331">
        <v>40055487</v>
      </c>
    </row>
    <row r="332" spans="1:16">
      <c r="A332" t="s">
        <v>29</v>
      </c>
      <c r="B332">
        <v>0</v>
      </c>
      <c r="G332" t="s">
        <v>3338</v>
      </c>
      <c r="I332" t="s">
        <v>3338</v>
      </c>
      <c r="N332" t="s">
        <v>3424</v>
      </c>
      <c r="O332" t="s">
        <v>3425</v>
      </c>
      <c r="P332">
        <v>40055487</v>
      </c>
    </row>
    <row r="333" spans="1:16">
      <c r="A333" t="s">
        <v>29</v>
      </c>
      <c r="B333">
        <v>1</v>
      </c>
      <c r="E333" t="s">
        <v>3424</v>
      </c>
      <c r="F333" t="s">
        <v>3425</v>
      </c>
      <c r="G333" t="s">
        <v>3426</v>
      </c>
      <c r="I333" t="s">
        <v>3338</v>
      </c>
      <c r="J333" t="s">
        <v>2421</v>
      </c>
      <c r="K333" t="s">
        <v>3354</v>
      </c>
      <c r="L333" t="s">
        <v>3369</v>
      </c>
      <c r="N333" t="s">
        <v>3427</v>
      </c>
      <c r="O333" t="s">
        <v>3428</v>
      </c>
      <c r="P333">
        <v>40055487</v>
      </c>
    </row>
    <row r="334" spans="1:16">
      <c r="A334" t="s">
        <v>29</v>
      </c>
      <c r="B334">
        <v>1</v>
      </c>
      <c r="E334" t="s">
        <v>3424</v>
      </c>
      <c r="F334" t="s">
        <v>3425</v>
      </c>
      <c r="G334" t="s">
        <v>3426</v>
      </c>
      <c r="I334" t="s">
        <v>3338</v>
      </c>
      <c r="J334" t="s">
        <v>2421</v>
      </c>
      <c r="K334" t="s">
        <v>3354</v>
      </c>
      <c r="L334" t="s">
        <v>3369</v>
      </c>
      <c r="N334" t="s">
        <v>3429</v>
      </c>
      <c r="O334" t="s">
        <v>3430</v>
      </c>
      <c r="P334">
        <v>40055487</v>
      </c>
    </row>
    <row r="335" spans="1:16">
      <c r="A335" t="s">
        <v>29</v>
      </c>
      <c r="B335">
        <v>1</v>
      </c>
      <c r="E335" t="s">
        <v>3424</v>
      </c>
      <c r="F335" t="s">
        <v>3425</v>
      </c>
      <c r="G335" t="s">
        <v>3426</v>
      </c>
      <c r="I335" t="s">
        <v>3338</v>
      </c>
      <c r="J335" t="s">
        <v>2232</v>
      </c>
      <c r="K335" t="s">
        <v>2233</v>
      </c>
      <c r="L335" t="s">
        <v>3342</v>
      </c>
      <c r="N335" t="s">
        <v>3431</v>
      </c>
      <c r="O335" t="s">
        <v>3432</v>
      </c>
      <c r="P335">
        <v>40055487</v>
      </c>
    </row>
    <row r="336" spans="1:16">
      <c r="A336" t="s">
        <v>29</v>
      </c>
      <c r="B336">
        <v>0</v>
      </c>
      <c r="G336" t="s">
        <v>3338</v>
      </c>
      <c r="I336" t="s">
        <v>3338</v>
      </c>
      <c r="N336" t="s">
        <v>3433</v>
      </c>
      <c r="O336" t="s">
        <v>3434</v>
      </c>
      <c r="P336">
        <v>40055487</v>
      </c>
    </row>
    <row r="337" spans="1:16">
      <c r="A337" t="s">
        <v>29</v>
      </c>
      <c r="B337">
        <v>1</v>
      </c>
      <c r="E337" t="s">
        <v>3433</v>
      </c>
      <c r="F337" t="s">
        <v>3434</v>
      </c>
      <c r="G337" t="s">
        <v>3435</v>
      </c>
      <c r="I337" t="s">
        <v>3338</v>
      </c>
      <c r="J337" t="s">
        <v>2232</v>
      </c>
      <c r="K337" t="s">
        <v>2233</v>
      </c>
      <c r="L337" t="s">
        <v>3342</v>
      </c>
      <c r="N337" t="s">
        <v>3436</v>
      </c>
      <c r="O337" t="s">
        <v>3437</v>
      </c>
      <c r="P337">
        <v>40055487</v>
      </c>
    </row>
    <row r="338" spans="1:16">
      <c r="A338" t="s">
        <v>29</v>
      </c>
      <c r="B338">
        <v>1</v>
      </c>
      <c r="E338" t="s">
        <v>3433</v>
      </c>
      <c r="F338" t="s">
        <v>3434</v>
      </c>
      <c r="G338" t="s">
        <v>3435</v>
      </c>
      <c r="I338" t="s">
        <v>3338</v>
      </c>
      <c r="J338" t="s">
        <v>2232</v>
      </c>
      <c r="K338" t="s">
        <v>2233</v>
      </c>
      <c r="L338" t="s">
        <v>3342</v>
      </c>
      <c r="N338" t="s">
        <v>3438</v>
      </c>
      <c r="O338" t="s">
        <v>3439</v>
      </c>
      <c r="P338">
        <v>40055487</v>
      </c>
    </row>
    <row r="339" spans="1:16">
      <c r="A339" t="s">
        <v>29</v>
      </c>
      <c r="B339">
        <v>1</v>
      </c>
      <c r="E339" t="s">
        <v>3433</v>
      </c>
      <c r="F339" t="s">
        <v>3434</v>
      </c>
      <c r="G339" t="s">
        <v>3435</v>
      </c>
      <c r="I339" t="s">
        <v>3338</v>
      </c>
      <c r="J339" t="s">
        <v>2232</v>
      </c>
      <c r="K339" t="s">
        <v>2233</v>
      </c>
      <c r="L339" t="s">
        <v>3342</v>
      </c>
      <c r="N339" t="s">
        <v>3440</v>
      </c>
      <c r="O339" t="s">
        <v>3441</v>
      </c>
      <c r="P339">
        <v>40055487</v>
      </c>
    </row>
    <row r="340" spans="1:16">
      <c r="A340" t="s">
        <v>29</v>
      </c>
      <c r="B340">
        <v>1</v>
      </c>
      <c r="E340" t="s">
        <v>3433</v>
      </c>
      <c r="F340" t="s">
        <v>3434</v>
      </c>
      <c r="G340" t="s">
        <v>3435</v>
      </c>
      <c r="I340" t="s">
        <v>3338</v>
      </c>
      <c r="J340" t="s">
        <v>2232</v>
      </c>
      <c r="K340" t="s">
        <v>2233</v>
      </c>
      <c r="L340" t="s">
        <v>3342</v>
      </c>
      <c r="N340" t="s">
        <v>3442</v>
      </c>
      <c r="O340" t="s">
        <v>3443</v>
      </c>
      <c r="P340">
        <v>40055487</v>
      </c>
    </row>
    <row r="341" spans="1:16">
      <c r="A341" t="s">
        <v>29</v>
      </c>
      <c r="B341">
        <v>1</v>
      </c>
      <c r="E341" t="s">
        <v>3433</v>
      </c>
      <c r="F341" t="s">
        <v>3434</v>
      </c>
      <c r="G341" t="s">
        <v>3435</v>
      </c>
      <c r="I341" t="s">
        <v>3338</v>
      </c>
      <c r="J341" t="s">
        <v>2232</v>
      </c>
      <c r="K341" t="s">
        <v>2233</v>
      </c>
      <c r="L341" t="s">
        <v>3342</v>
      </c>
      <c r="N341" t="s">
        <v>3444</v>
      </c>
      <c r="O341" t="s">
        <v>3445</v>
      </c>
      <c r="P341">
        <v>40055487</v>
      </c>
    </row>
    <row r="342" spans="1:16">
      <c r="A342" t="s">
        <v>29</v>
      </c>
      <c r="B342">
        <v>1</v>
      </c>
      <c r="E342" t="s">
        <v>3433</v>
      </c>
      <c r="F342" t="s">
        <v>3434</v>
      </c>
      <c r="G342" t="s">
        <v>3435</v>
      </c>
      <c r="I342" t="s">
        <v>3338</v>
      </c>
      <c r="J342" t="s">
        <v>2232</v>
      </c>
      <c r="K342" t="s">
        <v>2233</v>
      </c>
      <c r="L342" t="s">
        <v>3342</v>
      </c>
      <c r="N342" t="s">
        <v>3446</v>
      </c>
      <c r="O342" t="s">
        <v>3447</v>
      </c>
      <c r="P342">
        <v>40055487</v>
      </c>
    </row>
    <row r="343" spans="1:16">
      <c r="A343" t="s">
        <v>29</v>
      </c>
      <c r="B343">
        <v>0</v>
      </c>
      <c r="G343" t="s">
        <v>3338</v>
      </c>
      <c r="I343" t="s">
        <v>3338</v>
      </c>
      <c r="N343" t="s">
        <v>3448</v>
      </c>
      <c r="O343" t="s">
        <v>3449</v>
      </c>
      <c r="P343">
        <v>40055487</v>
      </c>
    </row>
    <row r="344" spans="1:16">
      <c r="A344" t="s">
        <v>29</v>
      </c>
      <c r="B344">
        <v>1</v>
      </c>
      <c r="E344" t="s">
        <v>3448</v>
      </c>
      <c r="F344" t="s">
        <v>3449</v>
      </c>
      <c r="G344" t="s">
        <v>3450</v>
      </c>
      <c r="I344" t="s">
        <v>3338</v>
      </c>
      <c r="J344" t="s">
        <v>2421</v>
      </c>
      <c r="K344" t="s">
        <v>3354</v>
      </c>
      <c r="L344" t="s">
        <v>3451</v>
      </c>
      <c r="N344" t="s">
        <v>3452</v>
      </c>
      <c r="O344" t="s">
        <v>3453</v>
      </c>
      <c r="P344">
        <v>40055487</v>
      </c>
    </row>
    <row r="345" spans="1:16">
      <c r="A345" t="s">
        <v>30</v>
      </c>
      <c r="B345">
        <v>0</v>
      </c>
      <c r="G345" t="s">
        <v>3338</v>
      </c>
      <c r="I345" t="s">
        <v>3338</v>
      </c>
      <c r="N345" t="s">
        <v>3339</v>
      </c>
      <c r="O345" t="s">
        <v>3340</v>
      </c>
      <c r="P345">
        <v>39345655</v>
      </c>
    </row>
    <row r="346" spans="1:16">
      <c r="A346" t="s">
        <v>30</v>
      </c>
      <c r="B346">
        <v>1</v>
      </c>
      <c r="E346" t="s">
        <v>3339</v>
      </c>
      <c r="F346" t="s">
        <v>3340</v>
      </c>
      <c r="G346" t="s">
        <v>3341</v>
      </c>
      <c r="I346" t="s">
        <v>3338</v>
      </c>
      <c r="J346" t="s">
        <v>2232</v>
      </c>
      <c r="K346" t="s">
        <v>2233</v>
      </c>
      <c r="L346" t="s">
        <v>3342</v>
      </c>
      <c r="N346" t="s">
        <v>3343</v>
      </c>
      <c r="O346" t="s">
        <v>3344</v>
      </c>
      <c r="P346">
        <v>39345655</v>
      </c>
    </row>
    <row r="347" spans="1:16">
      <c r="A347" t="s">
        <v>30</v>
      </c>
      <c r="B347">
        <v>1</v>
      </c>
      <c r="E347" t="s">
        <v>3339</v>
      </c>
      <c r="F347" t="s">
        <v>3340</v>
      </c>
      <c r="G347" t="s">
        <v>3341</v>
      </c>
      <c r="I347" t="s">
        <v>3338</v>
      </c>
      <c r="J347" t="s">
        <v>2232</v>
      </c>
      <c r="K347" t="s">
        <v>2233</v>
      </c>
      <c r="L347" t="s">
        <v>3342</v>
      </c>
      <c r="N347" t="s">
        <v>3345</v>
      </c>
      <c r="O347" t="s">
        <v>3346</v>
      </c>
      <c r="P347">
        <v>39345655</v>
      </c>
    </row>
    <row r="348" spans="1:16">
      <c r="A348" t="s">
        <v>30</v>
      </c>
      <c r="B348">
        <v>0</v>
      </c>
      <c r="G348" t="s">
        <v>3338</v>
      </c>
      <c r="I348" t="s">
        <v>3338</v>
      </c>
      <c r="N348" t="s">
        <v>3347</v>
      </c>
      <c r="O348" t="s">
        <v>3344</v>
      </c>
      <c r="P348">
        <v>39345655</v>
      </c>
    </row>
    <row r="349" spans="1:16">
      <c r="A349" t="s">
        <v>30</v>
      </c>
      <c r="B349">
        <v>1</v>
      </c>
      <c r="E349" t="s">
        <v>3347</v>
      </c>
      <c r="F349" t="s">
        <v>3344</v>
      </c>
      <c r="G349" t="s">
        <v>3348</v>
      </c>
      <c r="I349" t="s">
        <v>3338</v>
      </c>
      <c r="J349" t="s">
        <v>2232</v>
      </c>
      <c r="K349" t="s">
        <v>2233</v>
      </c>
      <c r="L349" t="s">
        <v>3342</v>
      </c>
      <c r="N349" t="s">
        <v>3349</v>
      </c>
      <c r="O349" t="s">
        <v>3350</v>
      </c>
      <c r="P349">
        <v>39345655</v>
      </c>
    </row>
    <row r="350" spans="1:16">
      <c r="A350" t="s">
        <v>30</v>
      </c>
      <c r="B350">
        <v>1</v>
      </c>
      <c r="E350" t="s">
        <v>3347</v>
      </c>
      <c r="F350" t="s">
        <v>3344</v>
      </c>
      <c r="G350" t="s">
        <v>3348</v>
      </c>
      <c r="I350" t="s">
        <v>3338</v>
      </c>
      <c r="L350" t="s">
        <v>193</v>
      </c>
      <c r="N350" t="s">
        <v>3351</v>
      </c>
      <c r="O350" t="s">
        <v>3352</v>
      </c>
      <c r="P350">
        <v>39345655</v>
      </c>
    </row>
    <row r="351" spans="1:16">
      <c r="A351" t="s">
        <v>30</v>
      </c>
      <c r="B351">
        <v>2</v>
      </c>
      <c r="E351" t="s">
        <v>3351</v>
      </c>
      <c r="F351" t="s">
        <v>3352</v>
      </c>
      <c r="G351" t="s">
        <v>3353</v>
      </c>
      <c r="I351" t="s">
        <v>3338</v>
      </c>
      <c r="J351" t="s">
        <v>2421</v>
      </c>
      <c r="K351" t="s">
        <v>3354</v>
      </c>
      <c r="L351" t="s">
        <v>3355</v>
      </c>
      <c r="N351" t="s">
        <v>3356</v>
      </c>
      <c r="O351" t="s">
        <v>3357</v>
      </c>
      <c r="P351">
        <v>39345655</v>
      </c>
    </row>
    <row r="352" spans="1:16">
      <c r="A352" t="s">
        <v>30</v>
      </c>
      <c r="B352">
        <v>2</v>
      </c>
      <c r="E352" t="s">
        <v>3351</v>
      </c>
      <c r="F352" t="s">
        <v>3352</v>
      </c>
      <c r="G352" t="s">
        <v>3353</v>
      </c>
      <c r="I352" t="s">
        <v>3338</v>
      </c>
      <c r="J352" t="s">
        <v>2421</v>
      </c>
      <c r="K352" t="s">
        <v>3354</v>
      </c>
      <c r="L352" t="s">
        <v>3355</v>
      </c>
      <c r="N352" t="s">
        <v>3358</v>
      </c>
      <c r="O352" t="s">
        <v>3359</v>
      </c>
      <c r="P352">
        <v>39345655</v>
      </c>
    </row>
    <row r="353" spans="1:16">
      <c r="A353" t="s">
        <v>30</v>
      </c>
      <c r="B353">
        <v>2</v>
      </c>
      <c r="E353" t="s">
        <v>3351</v>
      </c>
      <c r="F353" t="s">
        <v>3352</v>
      </c>
      <c r="G353" t="s">
        <v>3353</v>
      </c>
      <c r="I353" t="s">
        <v>3338</v>
      </c>
      <c r="J353" t="s">
        <v>2421</v>
      </c>
      <c r="K353" t="s">
        <v>3354</v>
      </c>
      <c r="L353" t="s">
        <v>3355</v>
      </c>
      <c r="N353" t="s">
        <v>3360</v>
      </c>
      <c r="O353" t="s">
        <v>3361</v>
      </c>
      <c r="P353">
        <v>39345655</v>
      </c>
    </row>
    <row r="354" spans="1:16">
      <c r="A354" t="s">
        <v>30</v>
      </c>
      <c r="B354">
        <v>1</v>
      </c>
      <c r="E354" t="s">
        <v>3347</v>
      </c>
      <c r="F354" t="s">
        <v>3344</v>
      </c>
      <c r="G354" t="s">
        <v>3348</v>
      </c>
      <c r="I354" t="s">
        <v>3338</v>
      </c>
      <c r="J354" t="s">
        <v>2236</v>
      </c>
      <c r="K354" t="s">
        <v>3362</v>
      </c>
      <c r="L354" t="s">
        <v>3363</v>
      </c>
      <c r="N354" t="s">
        <v>3364</v>
      </c>
      <c r="O354" t="s">
        <v>3365</v>
      </c>
      <c r="P354">
        <v>39345655</v>
      </c>
    </row>
    <row r="355" spans="1:16">
      <c r="A355" t="s">
        <v>30</v>
      </c>
      <c r="B355">
        <v>1</v>
      </c>
      <c r="E355" t="s">
        <v>3347</v>
      </c>
      <c r="F355" t="s">
        <v>3344</v>
      </c>
      <c r="G355" t="s">
        <v>3348</v>
      </c>
      <c r="I355" t="s">
        <v>3338</v>
      </c>
      <c r="L355" t="s">
        <v>193</v>
      </c>
      <c r="N355" t="s">
        <v>3366</v>
      </c>
      <c r="O355" t="s">
        <v>3367</v>
      </c>
      <c r="P355">
        <v>39345655</v>
      </c>
    </row>
    <row r="356" spans="1:16">
      <c r="A356" t="s">
        <v>30</v>
      </c>
      <c r="B356">
        <v>2</v>
      </c>
      <c r="E356" t="s">
        <v>3366</v>
      </c>
      <c r="F356" t="s">
        <v>3367</v>
      </c>
      <c r="G356" t="s">
        <v>3368</v>
      </c>
      <c r="I356" t="s">
        <v>3338</v>
      </c>
      <c r="J356" t="s">
        <v>2421</v>
      </c>
      <c r="K356" t="s">
        <v>3354</v>
      </c>
      <c r="L356" t="s">
        <v>3369</v>
      </c>
      <c r="N356" t="s">
        <v>3370</v>
      </c>
      <c r="O356" t="s">
        <v>3359</v>
      </c>
      <c r="P356">
        <v>39345655</v>
      </c>
    </row>
    <row r="357" spans="1:16">
      <c r="A357" t="s">
        <v>30</v>
      </c>
      <c r="B357">
        <v>2</v>
      </c>
      <c r="E357" t="s">
        <v>3366</v>
      </c>
      <c r="F357" t="s">
        <v>3367</v>
      </c>
      <c r="G357" t="s">
        <v>3368</v>
      </c>
      <c r="I357" t="s">
        <v>3338</v>
      </c>
      <c r="J357" t="s">
        <v>2421</v>
      </c>
      <c r="K357" t="s">
        <v>3354</v>
      </c>
      <c r="L357" t="s">
        <v>3369</v>
      </c>
      <c r="N357" t="s">
        <v>3371</v>
      </c>
      <c r="O357" t="s">
        <v>3372</v>
      </c>
      <c r="P357">
        <v>39345655</v>
      </c>
    </row>
    <row r="358" spans="1:16">
      <c r="A358" t="s">
        <v>30</v>
      </c>
      <c r="B358">
        <v>2</v>
      </c>
      <c r="E358" t="s">
        <v>3366</v>
      </c>
      <c r="F358" t="s">
        <v>3367</v>
      </c>
      <c r="G358" t="s">
        <v>3368</v>
      </c>
      <c r="I358" t="s">
        <v>3338</v>
      </c>
      <c r="J358" t="s">
        <v>2421</v>
      </c>
      <c r="K358" t="s">
        <v>3354</v>
      </c>
      <c r="L358" t="s">
        <v>3369</v>
      </c>
      <c r="N358" t="s">
        <v>3373</v>
      </c>
      <c r="O358" t="s">
        <v>3374</v>
      </c>
      <c r="P358">
        <v>39345655</v>
      </c>
    </row>
    <row r="359" spans="1:16">
      <c r="A359" t="s">
        <v>30</v>
      </c>
      <c r="B359">
        <v>2</v>
      </c>
      <c r="E359" t="s">
        <v>3366</v>
      </c>
      <c r="F359" t="s">
        <v>3367</v>
      </c>
      <c r="G359" t="s">
        <v>3368</v>
      </c>
      <c r="I359" t="s">
        <v>3338</v>
      </c>
      <c r="J359" t="s">
        <v>2236</v>
      </c>
      <c r="K359" t="s">
        <v>3362</v>
      </c>
      <c r="L359" t="s">
        <v>3363</v>
      </c>
      <c r="N359" t="s">
        <v>3375</v>
      </c>
      <c r="O359" t="s">
        <v>3376</v>
      </c>
      <c r="P359">
        <v>39345655</v>
      </c>
    </row>
    <row r="360" spans="1:16">
      <c r="A360" t="s">
        <v>30</v>
      </c>
      <c r="B360">
        <v>0</v>
      </c>
      <c r="G360" t="s">
        <v>3338</v>
      </c>
      <c r="I360" t="s">
        <v>3338</v>
      </c>
      <c r="N360" t="s">
        <v>3377</v>
      </c>
      <c r="O360" t="s">
        <v>3346</v>
      </c>
      <c r="P360">
        <v>39345655</v>
      </c>
    </row>
    <row r="361" spans="1:16">
      <c r="A361" t="s">
        <v>30</v>
      </c>
      <c r="B361">
        <v>1</v>
      </c>
      <c r="E361" t="s">
        <v>3377</v>
      </c>
      <c r="F361" t="s">
        <v>3346</v>
      </c>
      <c r="G361" t="s">
        <v>3378</v>
      </c>
      <c r="I361" t="s">
        <v>3338</v>
      </c>
      <c r="L361" t="s">
        <v>193</v>
      </c>
      <c r="N361" t="s">
        <v>3379</v>
      </c>
      <c r="O361" t="s">
        <v>3380</v>
      </c>
      <c r="P361">
        <v>39345655</v>
      </c>
    </row>
    <row r="362" spans="1:16">
      <c r="A362" t="s">
        <v>30</v>
      </c>
      <c r="B362">
        <v>2</v>
      </c>
      <c r="E362" t="s">
        <v>3379</v>
      </c>
      <c r="F362" t="s">
        <v>3380</v>
      </c>
      <c r="G362" t="s">
        <v>3381</v>
      </c>
      <c r="I362" t="s">
        <v>3338</v>
      </c>
      <c r="J362" t="s">
        <v>2421</v>
      </c>
      <c r="K362" t="s">
        <v>3354</v>
      </c>
      <c r="L362" t="s">
        <v>3369</v>
      </c>
      <c r="N362" t="s">
        <v>3382</v>
      </c>
      <c r="O362" t="s">
        <v>3352</v>
      </c>
      <c r="P362">
        <v>39345655</v>
      </c>
    </row>
    <row r="363" spans="1:16">
      <c r="A363" t="s">
        <v>30</v>
      </c>
      <c r="B363">
        <v>2</v>
      </c>
      <c r="E363" t="s">
        <v>3379</v>
      </c>
      <c r="F363" t="s">
        <v>3380</v>
      </c>
      <c r="G363" t="s">
        <v>3381</v>
      </c>
      <c r="I363" t="s">
        <v>3338</v>
      </c>
      <c r="L363" t="s">
        <v>3383</v>
      </c>
      <c r="N363" t="s">
        <v>3384</v>
      </c>
      <c r="O363" t="s">
        <v>3385</v>
      </c>
      <c r="P363">
        <v>39345655</v>
      </c>
    </row>
    <row r="364" spans="1:16">
      <c r="A364" t="s">
        <v>30</v>
      </c>
      <c r="B364">
        <v>2</v>
      </c>
      <c r="E364" t="s">
        <v>3379</v>
      </c>
      <c r="F364" t="s">
        <v>3380</v>
      </c>
      <c r="G364" t="s">
        <v>3381</v>
      </c>
      <c r="I364" t="s">
        <v>3338</v>
      </c>
      <c r="J364" t="s">
        <v>2232</v>
      </c>
      <c r="K364" t="s">
        <v>2233</v>
      </c>
      <c r="L364" t="s">
        <v>3342</v>
      </c>
      <c r="N364" t="s">
        <v>3386</v>
      </c>
      <c r="O364" t="s">
        <v>3350</v>
      </c>
      <c r="P364">
        <v>39345655</v>
      </c>
    </row>
    <row r="365" spans="1:16">
      <c r="A365" t="s">
        <v>30</v>
      </c>
      <c r="B365">
        <v>0</v>
      </c>
      <c r="G365" t="s">
        <v>3338</v>
      </c>
      <c r="I365" t="s">
        <v>3338</v>
      </c>
      <c r="N365" t="s">
        <v>3395</v>
      </c>
      <c r="O365" t="s">
        <v>3396</v>
      </c>
      <c r="P365">
        <v>39345655</v>
      </c>
    </row>
    <row r="366" spans="1:16">
      <c r="A366" t="s">
        <v>30</v>
      </c>
      <c r="B366">
        <v>1</v>
      </c>
      <c r="E366" t="s">
        <v>3395</v>
      </c>
      <c r="F366" t="s">
        <v>3396</v>
      </c>
      <c r="G366" t="s">
        <v>3397</v>
      </c>
      <c r="I366" t="s">
        <v>3338</v>
      </c>
      <c r="L366" t="s">
        <v>3342</v>
      </c>
      <c r="N366" t="s">
        <v>3398</v>
      </c>
      <c r="O366" t="s">
        <v>3399</v>
      </c>
      <c r="P366">
        <v>39345655</v>
      </c>
    </row>
    <row r="367" spans="1:16">
      <c r="A367" t="s">
        <v>30</v>
      </c>
      <c r="B367">
        <v>1</v>
      </c>
      <c r="E367" t="s">
        <v>3395</v>
      </c>
      <c r="F367" t="s">
        <v>3396</v>
      </c>
      <c r="G367" t="s">
        <v>3397</v>
      </c>
      <c r="I367" t="s">
        <v>3338</v>
      </c>
      <c r="J367" t="s">
        <v>2232</v>
      </c>
      <c r="K367" t="s">
        <v>2233</v>
      </c>
      <c r="L367" t="s">
        <v>3342</v>
      </c>
      <c r="N367" t="s">
        <v>3400</v>
      </c>
      <c r="O367" t="s">
        <v>3401</v>
      </c>
      <c r="P367">
        <v>39345655</v>
      </c>
    </row>
    <row r="368" spans="1:16">
      <c r="A368" t="s">
        <v>30</v>
      </c>
      <c r="B368">
        <v>1</v>
      </c>
      <c r="E368" t="s">
        <v>3395</v>
      </c>
      <c r="F368" t="s">
        <v>3396</v>
      </c>
      <c r="G368" t="s">
        <v>3397</v>
      </c>
      <c r="I368" t="s">
        <v>3338</v>
      </c>
      <c r="L368" t="s">
        <v>3342</v>
      </c>
      <c r="N368" t="s">
        <v>3402</v>
      </c>
      <c r="O368" t="s">
        <v>3403</v>
      </c>
      <c r="P368">
        <v>39345655</v>
      </c>
    </row>
    <row r="369" spans="1:16">
      <c r="A369" t="s">
        <v>30</v>
      </c>
      <c r="B369">
        <v>1</v>
      </c>
      <c r="E369" t="s">
        <v>3395</v>
      </c>
      <c r="F369" t="s">
        <v>3396</v>
      </c>
      <c r="G369" t="s">
        <v>3397</v>
      </c>
      <c r="I369" t="s">
        <v>3338</v>
      </c>
      <c r="J369" t="s">
        <v>2232</v>
      </c>
      <c r="K369" t="s">
        <v>2233</v>
      </c>
      <c r="L369" t="s">
        <v>3342</v>
      </c>
      <c r="N369" t="s">
        <v>3404</v>
      </c>
      <c r="O369" t="s">
        <v>3405</v>
      </c>
      <c r="P369">
        <v>39345655</v>
      </c>
    </row>
    <row r="370" spans="1:16">
      <c r="A370" t="s">
        <v>30</v>
      </c>
      <c r="B370">
        <v>0</v>
      </c>
      <c r="G370" t="s">
        <v>3338</v>
      </c>
      <c r="I370" t="s">
        <v>3338</v>
      </c>
      <c r="N370" t="s">
        <v>3406</v>
      </c>
      <c r="O370" t="s">
        <v>3407</v>
      </c>
      <c r="P370">
        <v>39345655</v>
      </c>
    </row>
    <row r="371" spans="1:16">
      <c r="A371" t="s">
        <v>30</v>
      </c>
      <c r="B371">
        <v>1</v>
      </c>
      <c r="E371" t="s">
        <v>3406</v>
      </c>
      <c r="F371" t="s">
        <v>3407</v>
      </c>
      <c r="G371" t="s">
        <v>3408</v>
      </c>
      <c r="I371" t="s">
        <v>3338</v>
      </c>
      <c r="J371" t="s">
        <v>2421</v>
      </c>
      <c r="K371" t="s">
        <v>3354</v>
      </c>
      <c r="L371" t="s">
        <v>3369</v>
      </c>
      <c r="N371" t="s">
        <v>3409</v>
      </c>
      <c r="O371" t="s">
        <v>3410</v>
      </c>
      <c r="P371">
        <v>39345655</v>
      </c>
    </row>
    <row r="372" spans="1:16">
      <c r="A372" t="s">
        <v>30</v>
      </c>
      <c r="B372">
        <v>1</v>
      </c>
      <c r="E372" t="s">
        <v>3406</v>
      </c>
      <c r="F372" t="s">
        <v>3407</v>
      </c>
      <c r="G372" t="s">
        <v>3408</v>
      </c>
      <c r="I372" t="s">
        <v>3338</v>
      </c>
      <c r="L372" t="s">
        <v>193</v>
      </c>
      <c r="N372" t="s">
        <v>3411</v>
      </c>
      <c r="O372" t="s">
        <v>3412</v>
      </c>
      <c r="P372">
        <v>39345655</v>
      </c>
    </row>
    <row r="373" spans="1:16">
      <c r="A373" t="s">
        <v>30</v>
      </c>
      <c r="B373">
        <v>2</v>
      </c>
      <c r="E373" t="s">
        <v>3411</v>
      </c>
      <c r="F373" t="s">
        <v>3412</v>
      </c>
      <c r="G373" t="s">
        <v>3413</v>
      </c>
      <c r="I373" t="s">
        <v>3338</v>
      </c>
      <c r="L373" t="s">
        <v>3342</v>
      </c>
      <c r="N373" t="s">
        <v>3414</v>
      </c>
      <c r="O373" t="s">
        <v>3415</v>
      </c>
      <c r="P373">
        <v>39345655</v>
      </c>
    </row>
    <row r="374" spans="1:16">
      <c r="A374" t="s">
        <v>30</v>
      </c>
      <c r="B374">
        <v>2</v>
      </c>
      <c r="E374" t="s">
        <v>3411</v>
      </c>
      <c r="F374" t="s">
        <v>3412</v>
      </c>
      <c r="G374" t="s">
        <v>3413</v>
      </c>
      <c r="I374" t="s">
        <v>3338</v>
      </c>
      <c r="J374" t="s">
        <v>2232</v>
      </c>
      <c r="K374" t="s">
        <v>2233</v>
      </c>
      <c r="L374" t="s">
        <v>3342</v>
      </c>
      <c r="N374" t="s">
        <v>3416</v>
      </c>
      <c r="O374" t="s">
        <v>3417</v>
      </c>
      <c r="P374">
        <v>39345655</v>
      </c>
    </row>
    <row r="375" spans="1:16">
      <c r="A375" t="s">
        <v>30</v>
      </c>
      <c r="B375">
        <v>2</v>
      </c>
      <c r="E375" t="s">
        <v>3411</v>
      </c>
      <c r="F375" t="s">
        <v>3412</v>
      </c>
      <c r="G375" t="s">
        <v>3413</v>
      </c>
      <c r="I375" t="s">
        <v>3338</v>
      </c>
      <c r="J375" t="s">
        <v>2232</v>
      </c>
      <c r="K375" t="s">
        <v>2233</v>
      </c>
      <c r="L375" t="s">
        <v>3342</v>
      </c>
      <c r="N375" t="s">
        <v>3418</v>
      </c>
      <c r="O375" t="s">
        <v>3419</v>
      </c>
      <c r="P375">
        <v>39345655</v>
      </c>
    </row>
    <row r="376" spans="1:16">
      <c r="A376" t="s">
        <v>30</v>
      </c>
      <c r="B376">
        <v>2</v>
      </c>
      <c r="E376" t="s">
        <v>3411</v>
      </c>
      <c r="F376" t="s">
        <v>3412</v>
      </c>
      <c r="G376" t="s">
        <v>3413</v>
      </c>
      <c r="I376" t="s">
        <v>3338</v>
      </c>
      <c r="L376" t="s">
        <v>3342</v>
      </c>
      <c r="N376" t="s">
        <v>3420</v>
      </c>
      <c r="O376" t="s">
        <v>3421</v>
      </c>
      <c r="P376">
        <v>39345655</v>
      </c>
    </row>
    <row r="377" spans="1:16">
      <c r="A377" t="s">
        <v>30</v>
      </c>
      <c r="B377">
        <v>2</v>
      </c>
      <c r="E377" t="s">
        <v>3411</v>
      </c>
      <c r="F377" t="s">
        <v>3412</v>
      </c>
      <c r="G377" t="s">
        <v>3413</v>
      </c>
      <c r="I377" t="s">
        <v>3338</v>
      </c>
      <c r="J377" t="s">
        <v>2232</v>
      </c>
      <c r="K377" t="s">
        <v>2233</v>
      </c>
      <c r="L377" t="s">
        <v>3342</v>
      </c>
      <c r="N377" t="s">
        <v>3422</v>
      </c>
      <c r="O377" t="s">
        <v>3423</v>
      </c>
      <c r="P377">
        <v>39345655</v>
      </c>
    </row>
    <row r="378" spans="1:16">
      <c r="A378" t="s">
        <v>30</v>
      </c>
      <c r="B378">
        <v>0</v>
      </c>
      <c r="G378" t="s">
        <v>3338</v>
      </c>
      <c r="I378" t="s">
        <v>3338</v>
      </c>
      <c r="N378" t="s">
        <v>3424</v>
      </c>
      <c r="O378" t="s">
        <v>3425</v>
      </c>
      <c r="P378">
        <v>39345655</v>
      </c>
    </row>
    <row r="379" spans="1:16">
      <c r="A379" t="s">
        <v>30</v>
      </c>
      <c r="B379">
        <v>1</v>
      </c>
      <c r="E379" t="s">
        <v>3424</v>
      </c>
      <c r="F379" t="s">
        <v>3425</v>
      </c>
      <c r="G379" t="s">
        <v>3426</v>
      </c>
      <c r="I379" t="s">
        <v>3338</v>
      </c>
      <c r="J379" t="s">
        <v>2421</v>
      </c>
      <c r="K379" t="s">
        <v>3354</v>
      </c>
      <c r="L379" t="s">
        <v>3369</v>
      </c>
      <c r="N379" t="s">
        <v>3427</v>
      </c>
      <c r="O379" t="s">
        <v>3428</v>
      </c>
      <c r="P379">
        <v>39345655</v>
      </c>
    </row>
    <row r="380" spans="1:16">
      <c r="A380" t="s">
        <v>30</v>
      </c>
      <c r="B380">
        <v>1</v>
      </c>
      <c r="E380" t="s">
        <v>3424</v>
      </c>
      <c r="F380" t="s">
        <v>3425</v>
      </c>
      <c r="G380" t="s">
        <v>3426</v>
      </c>
      <c r="I380" t="s">
        <v>3338</v>
      </c>
      <c r="J380" t="s">
        <v>2421</v>
      </c>
      <c r="K380" t="s">
        <v>3354</v>
      </c>
      <c r="L380" t="s">
        <v>3369</v>
      </c>
      <c r="N380" t="s">
        <v>3429</v>
      </c>
      <c r="O380" t="s">
        <v>3430</v>
      </c>
      <c r="P380">
        <v>39345655</v>
      </c>
    </row>
    <row r="381" spans="1:16">
      <c r="A381" t="s">
        <v>30</v>
      </c>
      <c r="B381">
        <v>1</v>
      </c>
      <c r="E381" t="s">
        <v>3424</v>
      </c>
      <c r="F381" t="s">
        <v>3425</v>
      </c>
      <c r="G381" t="s">
        <v>3426</v>
      </c>
      <c r="I381" t="s">
        <v>3338</v>
      </c>
      <c r="J381" t="s">
        <v>2232</v>
      </c>
      <c r="K381" t="s">
        <v>2233</v>
      </c>
      <c r="L381" t="s">
        <v>3342</v>
      </c>
      <c r="N381" t="s">
        <v>3431</v>
      </c>
      <c r="O381" t="s">
        <v>3432</v>
      </c>
      <c r="P381">
        <v>39345655</v>
      </c>
    </row>
    <row r="382" spans="1:16">
      <c r="A382" t="s">
        <v>30</v>
      </c>
      <c r="B382">
        <v>0</v>
      </c>
      <c r="G382" t="s">
        <v>3338</v>
      </c>
      <c r="I382" t="s">
        <v>3338</v>
      </c>
      <c r="N382" t="s">
        <v>3433</v>
      </c>
      <c r="O382" t="s">
        <v>3434</v>
      </c>
      <c r="P382">
        <v>39345655</v>
      </c>
    </row>
    <row r="383" spans="1:16">
      <c r="A383" t="s">
        <v>30</v>
      </c>
      <c r="B383">
        <v>1</v>
      </c>
      <c r="E383" t="s">
        <v>3433</v>
      </c>
      <c r="F383" t="s">
        <v>3434</v>
      </c>
      <c r="G383" t="s">
        <v>3435</v>
      </c>
      <c r="I383" t="s">
        <v>3338</v>
      </c>
      <c r="J383" t="s">
        <v>2232</v>
      </c>
      <c r="K383" t="s">
        <v>2233</v>
      </c>
      <c r="L383" t="s">
        <v>3342</v>
      </c>
      <c r="N383" t="s">
        <v>3436</v>
      </c>
      <c r="O383" t="s">
        <v>3437</v>
      </c>
      <c r="P383">
        <v>39345655</v>
      </c>
    </row>
    <row r="384" spans="1:16">
      <c r="A384" t="s">
        <v>30</v>
      </c>
      <c r="B384">
        <v>1</v>
      </c>
      <c r="E384" t="s">
        <v>3433</v>
      </c>
      <c r="F384" t="s">
        <v>3434</v>
      </c>
      <c r="G384" t="s">
        <v>3435</v>
      </c>
      <c r="I384" t="s">
        <v>3338</v>
      </c>
      <c r="J384" t="s">
        <v>2232</v>
      </c>
      <c r="K384" t="s">
        <v>2233</v>
      </c>
      <c r="L384" t="s">
        <v>3342</v>
      </c>
      <c r="N384" t="s">
        <v>3438</v>
      </c>
      <c r="O384" t="s">
        <v>3439</v>
      </c>
      <c r="P384">
        <v>39345655</v>
      </c>
    </row>
    <row r="385" spans="1:16">
      <c r="A385" t="s">
        <v>30</v>
      </c>
      <c r="B385">
        <v>1</v>
      </c>
      <c r="E385" t="s">
        <v>3433</v>
      </c>
      <c r="F385" t="s">
        <v>3434</v>
      </c>
      <c r="G385" t="s">
        <v>3435</v>
      </c>
      <c r="I385" t="s">
        <v>3338</v>
      </c>
      <c r="J385" t="s">
        <v>2232</v>
      </c>
      <c r="K385" t="s">
        <v>2233</v>
      </c>
      <c r="L385" t="s">
        <v>3342</v>
      </c>
      <c r="N385" t="s">
        <v>3440</v>
      </c>
      <c r="O385" t="s">
        <v>3441</v>
      </c>
      <c r="P385">
        <v>39345655</v>
      </c>
    </row>
    <row r="386" spans="1:16">
      <c r="A386" t="s">
        <v>30</v>
      </c>
      <c r="B386">
        <v>1</v>
      </c>
      <c r="E386" t="s">
        <v>3433</v>
      </c>
      <c r="F386" t="s">
        <v>3434</v>
      </c>
      <c r="G386" t="s">
        <v>3435</v>
      </c>
      <c r="I386" t="s">
        <v>3338</v>
      </c>
      <c r="J386" t="s">
        <v>2232</v>
      </c>
      <c r="K386" t="s">
        <v>2233</v>
      </c>
      <c r="L386" t="s">
        <v>3342</v>
      </c>
      <c r="N386" t="s">
        <v>3442</v>
      </c>
      <c r="O386" t="s">
        <v>3443</v>
      </c>
      <c r="P386">
        <v>39345655</v>
      </c>
    </row>
    <row r="387" spans="1:16">
      <c r="A387" t="s">
        <v>30</v>
      </c>
      <c r="B387">
        <v>1</v>
      </c>
      <c r="E387" t="s">
        <v>3433</v>
      </c>
      <c r="F387" t="s">
        <v>3434</v>
      </c>
      <c r="G387" t="s">
        <v>3435</v>
      </c>
      <c r="I387" t="s">
        <v>3338</v>
      </c>
      <c r="J387" t="s">
        <v>2232</v>
      </c>
      <c r="K387" t="s">
        <v>2233</v>
      </c>
      <c r="L387" t="s">
        <v>3342</v>
      </c>
      <c r="N387" t="s">
        <v>3444</v>
      </c>
      <c r="O387" t="s">
        <v>3445</v>
      </c>
      <c r="P387">
        <v>39345655</v>
      </c>
    </row>
    <row r="388" spans="1:16">
      <c r="A388" t="s">
        <v>30</v>
      </c>
      <c r="B388">
        <v>1</v>
      </c>
      <c r="E388" t="s">
        <v>3433</v>
      </c>
      <c r="F388" t="s">
        <v>3434</v>
      </c>
      <c r="G388" t="s">
        <v>3435</v>
      </c>
      <c r="I388" t="s">
        <v>3338</v>
      </c>
      <c r="J388" t="s">
        <v>2232</v>
      </c>
      <c r="K388" t="s">
        <v>2233</v>
      </c>
      <c r="L388" t="s">
        <v>3342</v>
      </c>
      <c r="N388" t="s">
        <v>3446</v>
      </c>
      <c r="O388" t="s">
        <v>3447</v>
      </c>
      <c r="P388">
        <v>39345655</v>
      </c>
    </row>
    <row r="389" spans="1:16">
      <c r="A389" t="s">
        <v>30</v>
      </c>
      <c r="B389">
        <v>0</v>
      </c>
      <c r="G389" t="s">
        <v>3338</v>
      </c>
      <c r="I389" t="s">
        <v>3338</v>
      </c>
      <c r="N389" t="s">
        <v>3448</v>
      </c>
      <c r="O389" t="s">
        <v>3449</v>
      </c>
      <c r="P389">
        <v>39345655</v>
      </c>
    </row>
    <row r="390" spans="1:16">
      <c r="A390" t="s">
        <v>30</v>
      </c>
      <c r="B390">
        <v>1</v>
      </c>
      <c r="E390" t="s">
        <v>3448</v>
      </c>
      <c r="F390" t="s">
        <v>3449</v>
      </c>
      <c r="G390" t="s">
        <v>3450</v>
      </c>
      <c r="I390" t="s">
        <v>3338</v>
      </c>
      <c r="J390" t="s">
        <v>2421</v>
      </c>
      <c r="K390" t="s">
        <v>3354</v>
      </c>
      <c r="L390" t="s">
        <v>3451</v>
      </c>
      <c r="N390" t="s">
        <v>3452</v>
      </c>
      <c r="O390" t="s">
        <v>3453</v>
      </c>
      <c r="P390">
        <v>39345655</v>
      </c>
    </row>
    <row r="391" spans="1:16">
      <c r="A391" t="s">
        <v>31</v>
      </c>
      <c r="B391">
        <v>0</v>
      </c>
      <c r="G391" t="s">
        <v>3338</v>
      </c>
      <c r="I391" t="s">
        <v>3338</v>
      </c>
      <c r="N391" t="s">
        <v>3339</v>
      </c>
      <c r="O391" t="s">
        <v>3340</v>
      </c>
      <c r="P391">
        <v>40952759</v>
      </c>
    </row>
    <row r="392" spans="1:16">
      <c r="A392" t="s">
        <v>31</v>
      </c>
      <c r="B392">
        <v>1</v>
      </c>
      <c r="E392" t="s">
        <v>3339</v>
      </c>
      <c r="F392" t="s">
        <v>3340</v>
      </c>
      <c r="G392" t="s">
        <v>3341</v>
      </c>
      <c r="I392" t="s">
        <v>3338</v>
      </c>
      <c r="J392" t="s">
        <v>2232</v>
      </c>
      <c r="K392" t="s">
        <v>2233</v>
      </c>
      <c r="L392" t="s">
        <v>3342</v>
      </c>
      <c r="N392" t="s">
        <v>3343</v>
      </c>
      <c r="O392" t="s">
        <v>3344</v>
      </c>
      <c r="P392">
        <v>40952759</v>
      </c>
    </row>
    <row r="393" spans="1:16">
      <c r="A393" t="s">
        <v>31</v>
      </c>
      <c r="B393">
        <v>1</v>
      </c>
      <c r="E393" t="s">
        <v>3339</v>
      </c>
      <c r="F393" t="s">
        <v>3340</v>
      </c>
      <c r="G393" t="s">
        <v>3341</v>
      </c>
      <c r="I393" t="s">
        <v>3338</v>
      </c>
      <c r="J393" t="s">
        <v>2232</v>
      </c>
      <c r="K393" t="s">
        <v>2233</v>
      </c>
      <c r="L393" t="s">
        <v>3342</v>
      </c>
      <c r="N393" t="s">
        <v>3345</v>
      </c>
      <c r="O393" t="s">
        <v>3346</v>
      </c>
      <c r="P393">
        <v>40952759</v>
      </c>
    </row>
    <row r="394" spans="1:16">
      <c r="A394" t="s">
        <v>31</v>
      </c>
      <c r="B394">
        <v>0</v>
      </c>
      <c r="G394" t="s">
        <v>3338</v>
      </c>
      <c r="I394" t="s">
        <v>3338</v>
      </c>
      <c r="N394" t="s">
        <v>3347</v>
      </c>
      <c r="O394" t="s">
        <v>3344</v>
      </c>
      <c r="P394">
        <v>40952759</v>
      </c>
    </row>
    <row r="395" spans="1:16">
      <c r="A395" t="s">
        <v>31</v>
      </c>
      <c r="B395">
        <v>1</v>
      </c>
      <c r="E395" t="s">
        <v>3347</v>
      </c>
      <c r="F395" t="s">
        <v>3344</v>
      </c>
      <c r="G395" t="s">
        <v>3348</v>
      </c>
      <c r="I395" t="s">
        <v>3338</v>
      </c>
      <c r="J395" t="s">
        <v>2232</v>
      </c>
      <c r="K395" t="s">
        <v>2233</v>
      </c>
      <c r="L395" t="s">
        <v>3342</v>
      </c>
      <c r="N395" t="s">
        <v>3349</v>
      </c>
      <c r="O395" t="s">
        <v>3350</v>
      </c>
      <c r="P395">
        <v>40952759</v>
      </c>
    </row>
    <row r="396" spans="1:16">
      <c r="A396" t="s">
        <v>31</v>
      </c>
      <c r="B396">
        <v>1</v>
      </c>
      <c r="E396" t="s">
        <v>3347</v>
      </c>
      <c r="F396" t="s">
        <v>3344</v>
      </c>
      <c r="G396" t="s">
        <v>3348</v>
      </c>
      <c r="I396" t="s">
        <v>3338</v>
      </c>
      <c r="L396" t="s">
        <v>193</v>
      </c>
      <c r="N396" t="s">
        <v>3351</v>
      </c>
      <c r="O396" t="s">
        <v>3352</v>
      </c>
      <c r="P396">
        <v>40952759</v>
      </c>
    </row>
    <row r="397" spans="1:16">
      <c r="A397" t="s">
        <v>31</v>
      </c>
      <c r="B397">
        <v>2</v>
      </c>
      <c r="E397" t="s">
        <v>3351</v>
      </c>
      <c r="F397" t="s">
        <v>3352</v>
      </c>
      <c r="G397" t="s">
        <v>3353</v>
      </c>
      <c r="I397" t="s">
        <v>3338</v>
      </c>
      <c r="J397" t="s">
        <v>2421</v>
      </c>
      <c r="K397" t="s">
        <v>3354</v>
      </c>
      <c r="L397" t="s">
        <v>3355</v>
      </c>
      <c r="N397" t="s">
        <v>3356</v>
      </c>
      <c r="O397" t="s">
        <v>3357</v>
      </c>
      <c r="P397">
        <v>40952759</v>
      </c>
    </row>
    <row r="398" spans="1:16">
      <c r="A398" t="s">
        <v>31</v>
      </c>
      <c r="B398">
        <v>2</v>
      </c>
      <c r="E398" t="s">
        <v>3351</v>
      </c>
      <c r="F398" t="s">
        <v>3352</v>
      </c>
      <c r="G398" t="s">
        <v>3353</v>
      </c>
      <c r="I398" t="s">
        <v>3338</v>
      </c>
      <c r="J398" t="s">
        <v>2421</v>
      </c>
      <c r="K398" t="s">
        <v>3354</v>
      </c>
      <c r="L398" t="s">
        <v>3355</v>
      </c>
      <c r="N398" t="s">
        <v>3358</v>
      </c>
      <c r="O398" t="s">
        <v>3359</v>
      </c>
      <c r="P398">
        <v>40952759</v>
      </c>
    </row>
    <row r="399" spans="1:16">
      <c r="A399" t="s">
        <v>31</v>
      </c>
      <c r="B399">
        <v>2</v>
      </c>
      <c r="E399" t="s">
        <v>3351</v>
      </c>
      <c r="F399" t="s">
        <v>3352</v>
      </c>
      <c r="G399" t="s">
        <v>3353</v>
      </c>
      <c r="I399" t="s">
        <v>3338</v>
      </c>
      <c r="J399" t="s">
        <v>2421</v>
      </c>
      <c r="K399" t="s">
        <v>3354</v>
      </c>
      <c r="L399" t="s">
        <v>3355</v>
      </c>
      <c r="N399" t="s">
        <v>3360</v>
      </c>
      <c r="O399" t="s">
        <v>3361</v>
      </c>
      <c r="P399">
        <v>40952759</v>
      </c>
    </row>
    <row r="400" spans="1:16">
      <c r="A400" t="s">
        <v>31</v>
      </c>
      <c r="B400">
        <v>1</v>
      </c>
      <c r="E400" t="s">
        <v>3347</v>
      </c>
      <c r="F400" t="s">
        <v>3344</v>
      </c>
      <c r="G400" t="s">
        <v>3348</v>
      </c>
      <c r="I400" t="s">
        <v>3338</v>
      </c>
      <c r="J400" t="s">
        <v>2236</v>
      </c>
      <c r="K400" t="s">
        <v>3362</v>
      </c>
      <c r="L400" t="s">
        <v>3363</v>
      </c>
      <c r="N400" t="s">
        <v>3364</v>
      </c>
      <c r="O400" t="s">
        <v>3365</v>
      </c>
      <c r="P400">
        <v>40952759</v>
      </c>
    </row>
    <row r="401" spans="1:16">
      <c r="A401" t="s">
        <v>31</v>
      </c>
      <c r="B401">
        <v>1</v>
      </c>
      <c r="E401" t="s">
        <v>3347</v>
      </c>
      <c r="F401" t="s">
        <v>3344</v>
      </c>
      <c r="G401" t="s">
        <v>3348</v>
      </c>
      <c r="I401" t="s">
        <v>3338</v>
      </c>
      <c r="L401" t="s">
        <v>193</v>
      </c>
      <c r="N401" t="s">
        <v>3366</v>
      </c>
      <c r="O401" t="s">
        <v>3367</v>
      </c>
      <c r="P401">
        <v>40952759</v>
      </c>
    </row>
    <row r="402" spans="1:16">
      <c r="A402" t="s">
        <v>31</v>
      </c>
      <c r="B402">
        <v>2</v>
      </c>
      <c r="E402" t="s">
        <v>3366</v>
      </c>
      <c r="F402" t="s">
        <v>3367</v>
      </c>
      <c r="G402" t="s">
        <v>3368</v>
      </c>
      <c r="I402" t="s">
        <v>3338</v>
      </c>
      <c r="J402" t="s">
        <v>2421</v>
      </c>
      <c r="K402" t="s">
        <v>3354</v>
      </c>
      <c r="L402" t="s">
        <v>3369</v>
      </c>
      <c r="N402" t="s">
        <v>3370</v>
      </c>
      <c r="O402" t="s">
        <v>3359</v>
      </c>
      <c r="P402">
        <v>40952759</v>
      </c>
    </row>
    <row r="403" spans="1:16">
      <c r="A403" t="s">
        <v>31</v>
      </c>
      <c r="B403">
        <v>2</v>
      </c>
      <c r="E403" t="s">
        <v>3366</v>
      </c>
      <c r="F403" t="s">
        <v>3367</v>
      </c>
      <c r="G403" t="s">
        <v>3368</v>
      </c>
      <c r="I403" t="s">
        <v>3338</v>
      </c>
      <c r="J403" t="s">
        <v>2421</v>
      </c>
      <c r="K403" t="s">
        <v>3354</v>
      </c>
      <c r="L403" t="s">
        <v>3369</v>
      </c>
      <c r="N403" t="s">
        <v>3371</v>
      </c>
      <c r="O403" t="s">
        <v>3372</v>
      </c>
      <c r="P403">
        <v>40952759</v>
      </c>
    </row>
    <row r="404" spans="1:16">
      <c r="A404" t="s">
        <v>31</v>
      </c>
      <c r="B404">
        <v>2</v>
      </c>
      <c r="E404" t="s">
        <v>3366</v>
      </c>
      <c r="F404" t="s">
        <v>3367</v>
      </c>
      <c r="G404" t="s">
        <v>3368</v>
      </c>
      <c r="I404" t="s">
        <v>3338</v>
      </c>
      <c r="J404" t="s">
        <v>2421</v>
      </c>
      <c r="K404" t="s">
        <v>3354</v>
      </c>
      <c r="L404" t="s">
        <v>3369</v>
      </c>
      <c r="N404" t="s">
        <v>3373</v>
      </c>
      <c r="O404" t="s">
        <v>3374</v>
      </c>
      <c r="P404">
        <v>40952759</v>
      </c>
    </row>
    <row r="405" spans="1:16">
      <c r="A405" t="s">
        <v>31</v>
      </c>
      <c r="B405">
        <v>2</v>
      </c>
      <c r="E405" t="s">
        <v>3366</v>
      </c>
      <c r="F405" t="s">
        <v>3367</v>
      </c>
      <c r="G405" t="s">
        <v>3368</v>
      </c>
      <c r="I405" t="s">
        <v>3338</v>
      </c>
      <c r="J405" t="s">
        <v>2236</v>
      </c>
      <c r="K405" t="s">
        <v>3362</v>
      </c>
      <c r="L405" t="s">
        <v>3363</v>
      </c>
      <c r="N405" t="s">
        <v>3375</v>
      </c>
      <c r="O405" t="s">
        <v>3376</v>
      </c>
      <c r="P405">
        <v>40952759</v>
      </c>
    </row>
    <row r="406" spans="1:16">
      <c r="A406" t="s">
        <v>31</v>
      </c>
      <c r="B406">
        <v>0</v>
      </c>
      <c r="G406" t="s">
        <v>3338</v>
      </c>
      <c r="I406" t="s">
        <v>3338</v>
      </c>
      <c r="N406" t="s">
        <v>3377</v>
      </c>
      <c r="O406" t="s">
        <v>3346</v>
      </c>
      <c r="P406">
        <v>40952759</v>
      </c>
    </row>
    <row r="407" spans="1:16">
      <c r="A407" t="s">
        <v>31</v>
      </c>
      <c r="B407">
        <v>1</v>
      </c>
      <c r="E407" t="s">
        <v>3377</v>
      </c>
      <c r="F407" t="s">
        <v>3346</v>
      </c>
      <c r="G407" t="s">
        <v>3378</v>
      </c>
      <c r="I407" t="s">
        <v>3338</v>
      </c>
      <c r="L407" t="s">
        <v>193</v>
      </c>
      <c r="N407" t="s">
        <v>3379</v>
      </c>
      <c r="O407" t="s">
        <v>3380</v>
      </c>
      <c r="P407">
        <v>40952759</v>
      </c>
    </row>
    <row r="408" spans="1:16">
      <c r="A408" t="s">
        <v>31</v>
      </c>
      <c r="B408">
        <v>2</v>
      </c>
      <c r="E408" t="s">
        <v>3379</v>
      </c>
      <c r="F408" t="s">
        <v>3380</v>
      </c>
      <c r="G408" t="s">
        <v>3381</v>
      </c>
      <c r="I408" t="s">
        <v>3338</v>
      </c>
      <c r="J408" t="s">
        <v>2421</v>
      </c>
      <c r="K408" t="s">
        <v>3354</v>
      </c>
      <c r="L408" t="s">
        <v>3369</v>
      </c>
      <c r="N408" t="s">
        <v>3382</v>
      </c>
      <c r="O408" t="s">
        <v>3352</v>
      </c>
      <c r="P408">
        <v>40952759</v>
      </c>
    </row>
    <row r="409" spans="1:16">
      <c r="A409" t="s">
        <v>31</v>
      </c>
      <c r="B409">
        <v>2</v>
      </c>
      <c r="E409" t="s">
        <v>3379</v>
      </c>
      <c r="F409" t="s">
        <v>3380</v>
      </c>
      <c r="G409" t="s">
        <v>3381</v>
      </c>
      <c r="I409" t="s">
        <v>3338</v>
      </c>
      <c r="L409" t="s">
        <v>3383</v>
      </c>
      <c r="N409" t="s">
        <v>3384</v>
      </c>
      <c r="O409" t="s">
        <v>3385</v>
      </c>
      <c r="P409">
        <v>40952759</v>
      </c>
    </row>
    <row r="410" spans="1:16">
      <c r="A410" t="s">
        <v>31</v>
      </c>
      <c r="B410">
        <v>2</v>
      </c>
      <c r="E410" t="s">
        <v>3379</v>
      </c>
      <c r="F410" t="s">
        <v>3380</v>
      </c>
      <c r="G410" t="s">
        <v>3381</v>
      </c>
      <c r="I410" t="s">
        <v>3338</v>
      </c>
      <c r="J410" t="s">
        <v>2232</v>
      </c>
      <c r="K410" t="s">
        <v>2233</v>
      </c>
      <c r="L410" t="s">
        <v>3342</v>
      </c>
      <c r="N410" t="s">
        <v>3386</v>
      </c>
      <c r="O410" t="s">
        <v>3350</v>
      </c>
      <c r="P410">
        <v>40952759</v>
      </c>
    </row>
    <row r="411" spans="1:16">
      <c r="A411" t="s">
        <v>31</v>
      </c>
      <c r="B411">
        <v>1</v>
      </c>
      <c r="E411" t="s">
        <v>3377</v>
      </c>
      <c r="F411" t="s">
        <v>3346</v>
      </c>
      <c r="G411" t="s">
        <v>3378</v>
      </c>
      <c r="I411" t="s">
        <v>3338</v>
      </c>
      <c r="L411" t="s">
        <v>193</v>
      </c>
      <c r="N411" t="s">
        <v>3387</v>
      </c>
      <c r="O411" t="s">
        <v>3388</v>
      </c>
      <c r="P411">
        <v>40952759</v>
      </c>
    </row>
    <row r="412" spans="1:16">
      <c r="A412" t="s">
        <v>31</v>
      </c>
      <c r="B412">
        <v>2</v>
      </c>
      <c r="E412" t="s">
        <v>3387</v>
      </c>
      <c r="F412" t="s">
        <v>3388</v>
      </c>
      <c r="G412" t="s">
        <v>3389</v>
      </c>
      <c r="I412" t="s">
        <v>3338</v>
      </c>
      <c r="L412" t="s">
        <v>3369</v>
      </c>
      <c r="N412" t="s">
        <v>3390</v>
      </c>
      <c r="O412" t="s">
        <v>3352</v>
      </c>
      <c r="P412">
        <v>40952759</v>
      </c>
    </row>
    <row r="413" spans="1:16">
      <c r="A413" t="s">
        <v>31</v>
      </c>
      <c r="B413">
        <v>2</v>
      </c>
      <c r="E413" t="s">
        <v>3387</v>
      </c>
      <c r="F413" t="s">
        <v>3388</v>
      </c>
      <c r="G413" t="s">
        <v>3389</v>
      </c>
      <c r="I413" t="s">
        <v>3338</v>
      </c>
      <c r="L413" t="s">
        <v>3342</v>
      </c>
      <c r="N413" t="s">
        <v>3391</v>
      </c>
      <c r="O413" t="s">
        <v>3392</v>
      </c>
      <c r="P413">
        <v>40952759</v>
      </c>
    </row>
    <row r="414" spans="1:16">
      <c r="A414" t="s">
        <v>31</v>
      </c>
      <c r="B414">
        <v>2</v>
      </c>
      <c r="E414" t="s">
        <v>3387</v>
      </c>
      <c r="F414" t="s">
        <v>3388</v>
      </c>
      <c r="G414" t="s">
        <v>3389</v>
      </c>
      <c r="I414" t="s">
        <v>3338</v>
      </c>
      <c r="L414" t="s">
        <v>3383</v>
      </c>
      <c r="N414" t="s">
        <v>3393</v>
      </c>
      <c r="O414" t="s">
        <v>3385</v>
      </c>
      <c r="P414">
        <v>40952759</v>
      </c>
    </row>
    <row r="415" spans="1:16">
      <c r="A415" t="s">
        <v>31</v>
      </c>
      <c r="B415">
        <v>2</v>
      </c>
      <c r="E415" t="s">
        <v>3387</v>
      </c>
      <c r="F415" t="s">
        <v>3388</v>
      </c>
      <c r="G415" t="s">
        <v>3389</v>
      </c>
      <c r="I415" t="s">
        <v>3338</v>
      </c>
      <c r="L415" t="s">
        <v>3342</v>
      </c>
      <c r="N415" t="s">
        <v>3394</v>
      </c>
      <c r="O415" t="s">
        <v>3350</v>
      </c>
      <c r="P415">
        <v>40952759</v>
      </c>
    </row>
    <row r="416" spans="1:16">
      <c r="A416" t="s">
        <v>31</v>
      </c>
      <c r="B416">
        <v>0</v>
      </c>
      <c r="G416" t="s">
        <v>3338</v>
      </c>
      <c r="I416" t="s">
        <v>3338</v>
      </c>
      <c r="N416" t="s">
        <v>3395</v>
      </c>
      <c r="O416" t="s">
        <v>3396</v>
      </c>
      <c r="P416">
        <v>40952759</v>
      </c>
    </row>
    <row r="417" spans="1:16">
      <c r="A417" t="s">
        <v>31</v>
      </c>
      <c r="B417">
        <v>1</v>
      </c>
      <c r="E417" t="s">
        <v>3395</v>
      </c>
      <c r="F417" t="s">
        <v>3396</v>
      </c>
      <c r="G417" t="s">
        <v>3397</v>
      </c>
      <c r="I417" t="s">
        <v>3338</v>
      </c>
      <c r="L417" t="s">
        <v>3342</v>
      </c>
      <c r="N417" t="s">
        <v>3398</v>
      </c>
      <c r="O417" t="s">
        <v>3399</v>
      </c>
      <c r="P417">
        <v>40952759</v>
      </c>
    </row>
    <row r="418" spans="1:16">
      <c r="A418" t="s">
        <v>31</v>
      </c>
      <c r="B418">
        <v>1</v>
      </c>
      <c r="E418" t="s">
        <v>3395</v>
      </c>
      <c r="F418" t="s">
        <v>3396</v>
      </c>
      <c r="G418" t="s">
        <v>3397</v>
      </c>
      <c r="I418" t="s">
        <v>3338</v>
      </c>
      <c r="J418" t="s">
        <v>2232</v>
      </c>
      <c r="K418" t="s">
        <v>2233</v>
      </c>
      <c r="L418" t="s">
        <v>3342</v>
      </c>
      <c r="N418" t="s">
        <v>3400</v>
      </c>
      <c r="O418" t="s">
        <v>3401</v>
      </c>
      <c r="P418">
        <v>40952759</v>
      </c>
    </row>
    <row r="419" spans="1:16">
      <c r="A419" t="s">
        <v>31</v>
      </c>
      <c r="B419">
        <v>1</v>
      </c>
      <c r="E419" t="s">
        <v>3395</v>
      </c>
      <c r="F419" t="s">
        <v>3396</v>
      </c>
      <c r="G419" t="s">
        <v>3397</v>
      </c>
      <c r="I419" t="s">
        <v>3338</v>
      </c>
      <c r="L419" t="s">
        <v>3342</v>
      </c>
      <c r="N419" t="s">
        <v>3402</v>
      </c>
      <c r="O419" t="s">
        <v>3403</v>
      </c>
      <c r="P419">
        <v>40952759</v>
      </c>
    </row>
    <row r="420" spans="1:16">
      <c r="A420" t="s">
        <v>31</v>
      </c>
      <c r="B420">
        <v>1</v>
      </c>
      <c r="E420" t="s">
        <v>3395</v>
      </c>
      <c r="F420" t="s">
        <v>3396</v>
      </c>
      <c r="G420" t="s">
        <v>3397</v>
      </c>
      <c r="I420" t="s">
        <v>3338</v>
      </c>
      <c r="L420" t="s">
        <v>3342</v>
      </c>
      <c r="N420" t="s">
        <v>3404</v>
      </c>
      <c r="O420" t="s">
        <v>3405</v>
      </c>
      <c r="P420">
        <v>40952759</v>
      </c>
    </row>
    <row r="421" spans="1:16">
      <c r="A421" t="s">
        <v>31</v>
      </c>
      <c r="B421">
        <v>0</v>
      </c>
      <c r="G421" t="s">
        <v>3338</v>
      </c>
      <c r="I421" t="s">
        <v>3338</v>
      </c>
      <c r="N421" t="s">
        <v>3406</v>
      </c>
      <c r="O421" t="s">
        <v>3407</v>
      </c>
      <c r="P421">
        <v>40952759</v>
      </c>
    </row>
    <row r="422" spans="1:16">
      <c r="A422" t="s">
        <v>31</v>
      </c>
      <c r="B422">
        <v>1</v>
      </c>
      <c r="E422" t="s">
        <v>3406</v>
      </c>
      <c r="F422" t="s">
        <v>3407</v>
      </c>
      <c r="G422" t="s">
        <v>3408</v>
      </c>
      <c r="I422" t="s">
        <v>3338</v>
      </c>
      <c r="J422" t="s">
        <v>2421</v>
      </c>
      <c r="K422" t="s">
        <v>3354</v>
      </c>
      <c r="L422" t="s">
        <v>3369</v>
      </c>
      <c r="N422" t="s">
        <v>3409</v>
      </c>
      <c r="O422" t="s">
        <v>3410</v>
      </c>
      <c r="P422">
        <v>40952759</v>
      </c>
    </row>
    <row r="423" spans="1:16">
      <c r="A423" t="s">
        <v>31</v>
      </c>
      <c r="B423">
        <v>1</v>
      </c>
      <c r="E423" t="s">
        <v>3406</v>
      </c>
      <c r="F423" t="s">
        <v>3407</v>
      </c>
      <c r="G423" t="s">
        <v>3408</v>
      </c>
      <c r="I423" t="s">
        <v>3338</v>
      </c>
      <c r="L423" t="s">
        <v>193</v>
      </c>
      <c r="N423" t="s">
        <v>3411</v>
      </c>
      <c r="O423" t="s">
        <v>3412</v>
      </c>
      <c r="P423">
        <v>40952759</v>
      </c>
    </row>
    <row r="424" spans="1:16">
      <c r="A424" t="s">
        <v>31</v>
      </c>
      <c r="B424">
        <v>2</v>
      </c>
      <c r="E424" t="s">
        <v>3411</v>
      </c>
      <c r="F424" t="s">
        <v>3412</v>
      </c>
      <c r="G424" t="s">
        <v>3413</v>
      </c>
      <c r="I424" t="s">
        <v>3338</v>
      </c>
      <c r="J424" t="s">
        <v>2232</v>
      </c>
      <c r="K424" t="s">
        <v>2233</v>
      </c>
      <c r="L424" t="s">
        <v>3342</v>
      </c>
      <c r="N424" t="s">
        <v>3414</v>
      </c>
      <c r="O424" t="s">
        <v>3415</v>
      </c>
      <c r="P424">
        <v>40952759</v>
      </c>
    </row>
    <row r="425" spans="1:16">
      <c r="A425" t="s">
        <v>31</v>
      </c>
      <c r="B425">
        <v>2</v>
      </c>
      <c r="E425" t="s">
        <v>3411</v>
      </c>
      <c r="F425" t="s">
        <v>3412</v>
      </c>
      <c r="G425" t="s">
        <v>3413</v>
      </c>
      <c r="I425" t="s">
        <v>3338</v>
      </c>
      <c r="J425" t="s">
        <v>2232</v>
      </c>
      <c r="K425" t="s">
        <v>2233</v>
      </c>
      <c r="L425" t="s">
        <v>3342</v>
      </c>
      <c r="N425" t="s">
        <v>3416</v>
      </c>
      <c r="O425" t="s">
        <v>3417</v>
      </c>
      <c r="P425">
        <v>40952759</v>
      </c>
    </row>
    <row r="426" spans="1:16">
      <c r="A426" t="s">
        <v>31</v>
      </c>
      <c r="B426">
        <v>2</v>
      </c>
      <c r="E426" t="s">
        <v>3411</v>
      </c>
      <c r="F426" t="s">
        <v>3412</v>
      </c>
      <c r="G426" t="s">
        <v>3413</v>
      </c>
      <c r="I426" t="s">
        <v>3338</v>
      </c>
      <c r="J426" t="s">
        <v>2232</v>
      </c>
      <c r="K426" t="s">
        <v>2233</v>
      </c>
      <c r="L426" t="s">
        <v>3342</v>
      </c>
      <c r="N426" t="s">
        <v>3418</v>
      </c>
      <c r="O426" t="s">
        <v>3419</v>
      </c>
      <c r="P426">
        <v>40952759</v>
      </c>
    </row>
    <row r="427" spans="1:16">
      <c r="A427" t="s">
        <v>31</v>
      </c>
      <c r="B427">
        <v>2</v>
      </c>
      <c r="E427" t="s">
        <v>3411</v>
      </c>
      <c r="F427" t="s">
        <v>3412</v>
      </c>
      <c r="G427" t="s">
        <v>3413</v>
      </c>
      <c r="I427" t="s">
        <v>3338</v>
      </c>
      <c r="J427" t="s">
        <v>2232</v>
      </c>
      <c r="K427" t="s">
        <v>2233</v>
      </c>
      <c r="L427" t="s">
        <v>3342</v>
      </c>
      <c r="N427" t="s">
        <v>3420</v>
      </c>
      <c r="O427" t="s">
        <v>3421</v>
      </c>
      <c r="P427">
        <v>40952759</v>
      </c>
    </row>
    <row r="428" spans="1:16">
      <c r="A428" t="s">
        <v>31</v>
      </c>
      <c r="B428">
        <v>2</v>
      </c>
      <c r="E428" t="s">
        <v>3411</v>
      </c>
      <c r="F428" t="s">
        <v>3412</v>
      </c>
      <c r="G428" t="s">
        <v>3413</v>
      </c>
      <c r="I428" t="s">
        <v>3338</v>
      </c>
      <c r="J428" t="s">
        <v>2232</v>
      </c>
      <c r="K428" t="s">
        <v>2233</v>
      </c>
      <c r="L428" t="s">
        <v>3342</v>
      </c>
      <c r="N428" t="s">
        <v>3422</v>
      </c>
      <c r="O428" t="s">
        <v>3423</v>
      </c>
      <c r="P428">
        <v>40952759</v>
      </c>
    </row>
    <row r="429" spans="1:16">
      <c r="A429" t="s">
        <v>31</v>
      </c>
      <c r="B429">
        <v>0</v>
      </c>
      <c r="G429" t="s">
        <v>3338</v>
      </c>
      <c r="I429" t="s">
        <v>3338</v>
      </c>
      <c r="N429" t="s">
        <v>3424</v>
      </c>
      <c r="O429" t="s">
        <v>3425</v>
      </c>
      <c r="P429">
        <v>40952759</v>
      </c>
    </row>
    <row r="430" spans="1:16">
      <c r="A430" t="s">
        <v>31</v>
      </c>
      <c r="B430">
        <v>1</v>
      </c>
      <c r="E430" t="s">
        <v>3424</v>
      </c>
      <c r="F430" t="s">
        <v>3425</v>
      </c>
      <c r="G430" t="s">
        <v>3426</v>
      </c>
      <c r="I430" t="s">
        <v>3338</v>
      </c>
      <c r="J430" t="s">
        <v>2421</v>
      </c>
      <c r="K430" t="s">
        <v>3354</v>
      </c>
      <c r="L430" t="s">
        <v>3369</v>
      </c>
      <c r="N430" t="s">
        <v>3427</v>
      </c>
      <c r="O430" t="s">
        <v>3428</v>
      </c>
      <c r="P430">
        <v>40952759</v>
      </c>
    </row>
    <row r="431" spans="1:16">
      <c r="A431" t="s">
        <v>31</v>
      </c>
      <c r="B431">
        <v>1</v>
      </c>
      <c r="E431" t="s">
        <v>3424</v>
      </c>
      <c r="F431" t="s">
        <v>3425</v>
      </c>
      <c r="G431" t="s">
        <v>3426</v>
      </c>
      <c r="I431" t="s">
        <v>3338</v>
      </c>
      <c r="J431" t="s">
        <v>2421</v>
      </c>
      <c r="K431" t="s">
        <v>3354</v>
      </c>
      <c r="L431" t="s">
        <v>3369</v>
      </c>
      <c r="N431" t="s">
        <v>3429</v>
      </c>
      <c r="O431" t="s">
        <v>3430</v>
      </c>
      <c r="P431">
        <v>40952759</v>
      </c>
    </row>
    <row r="432" spans="1:16">
      <c r="A432" t="s">
        <v>31</v>
      </c>
      <c r="B432">
        <v>1</v>
      </c>
      <c r="E432" t="s">
        <v>3424</v>
      </c>
      <c r="F432" t="s">
        <v>3425</v>
      </c>
      <c r="G432" t="s">
        <v>3426</v>
      </c>
      <c r="I432" t="s">
        <v>3338</v>
      </c>
      <c r="J432" t="s">
        <v>2232</v>
      </c>
      <c r="K432" t="s">
        <v>2233</v>
      </c>
      <c r="L432" t="s">
        <v>3342</v>
      </c>
      <c r="N432" t="s">
        <v>3431</v>
      </c>
      <c r="O432" t="s">
        <v>3432</v>
      </c>
      <c r="P432">
        <v>40952759</v>
      </c>
    </row>
    <row r="433" spans="1:16">
      <c r="A433" t="s">
        <v>31</v>
      </c>
      <c r="B433">
        <v>0</v>
      </c>
      <c r="G433" t="s">
        <v>3338</v>
      </c>
      <c r="I433" t="s">
        <v>3338</v>
      </c>
      <c r="N433" t="s">
        <v>3433</v>
      </c>
      <c r="O433" t="s">
        <v>3434</v>
      </c>
      <c r="P433">
        <v>40952759</v>
      </c>
    </row>
    <row r="434" spans="1:16">
      <c r="A434" t="s">
        <v>31</v>
      </c>
      <c r="B434">
        <v>1</v>
      </c>
      <c r="E434" t="s">
        <v>3433</v>
      </c>
      <c r="F434" t="s">
        <v>3434</v>
      </c>
      <c r="G434" t="s">
        <v>3435</v>
      </c>
      <c r="I434" t="s">
        <v>3338</v>
      </c>
      <c r="J434" t="s">
        <v>2232</v>
      </c>
      <c r="K434" t="s">
        <v>2233</v>
      </c>
      <c r="L434" t="s">
        <v>3342</v>
      </c>
      <c r="N434" t="s">
        <v>3436</v>
      </c>
      <c r="O434" t="s">
        <v>3437</v>
      </c>
      <c r="P434">
        <v>40952759</v>
      </c>
    </row>
    <row r="435" spans="1:16">
      <c r="A435" t="s">
        <v>31</v>
      </c>
      <c r="B435">
        <v>1</v>
      </c>
      <c r="E435" t="s">
        <v>3433</v>
      </c>
      <c r="F435" t="s">
        <v>3434</v>
      </c>
      <c r="G435" t="s">
        <v>3435</v>
      </c>
      <c r="I435" t="s">
        <v>3338</v>
      </c>
      <c r="J435" t="s">
        <v>2232</v>
      </c>
      <c r="K435" t="s">
        <v>2233</v>
      </c>
      <c r="L435" t="s">
        <v>3342</v>
      </c>
      <c r="N435" t="s">
        <v>3438</v>
      </c>
      <c r="O435" t="s">
        <v>3439</v>
      </c>
      <c r="P435">
        <v>40952759</v>
      </c>
    </row>
    <row r="436" spans="1:16">
      <c r="A436" t="s">
        <v>31</v>
      </c>
      <c r="B436">
        <v>1</v>
      </c>
      <c r="E436" t="s">
        <v>3433</v>
      </c>
      <c r="F436" t="s">
        <v>3434</v>
      </c>
      <c r="G436" t="s">
        <v>3435</v>
      </c>
      <c r="I436" t="s">
        <v>3338</v>
      </c>
      <c r="J436" t="s">
        <v>2232</v>
      </c>
      <c r="K436" t="s">
        <v>2233</v>
      </c>
      <c r="L436" t="s">
        <v>3342</v>
      </c>
      <c r="N436" t="s">
        <v>3440</v>
      </c>
      <c r="O436" t="s">
        <v>3441</v>
      </c>
      <c r="P436">
        <v>40952759</v>
      </c>
    </row>
    <row r="437" spans="1:16">
      <c r="A437" t="s">
        <v>31</v>
      </c>
      <c r="B437">
        <v>1</v>
      </c>
      <c r="E437" t="s">
        <v>3433</v>
      </c>
      <c r="F437" t="s">
        <v>3434</v>
      </c>
      <c r="G437" t="s">
        <v>3435</v>
      </c>
      <c r="I437" t="s">
        <v>3338</v>
      </c>
      <c r="J437" t="s">
        <v>2232</v>
      </c>
      <c r="K437" t="s">
        <v>2233</v>
      </c>
      <c r="L437" t="s">
        <v>3342</v>
      </c>
      <c r="N437" t="s">
        <v>3442</v>
      </c>
      <c r="O437" t="s">
        <v>3443</v>
      </c>
      <c r="P437">
        <v>40952759</v>
      </c>
    </row>
    <row r="438" spans="1:16">
      <c r="A438" t="s">
        <v>31</v>
      </c>
      <c r="B438">
        <v>1</v>
      </c>
      <c r="E438" t="s">
        <v>3433</v>
      </c>
      <c r="F438" t="s">
        <v>3434</v>
      </c>
      <c r="G438" t="s">
        <v>3435</v>
      </c>
      <c r="I438" t="s">
        <v>3338</v>
      </c>
      <c r="J438" t="s">
        <v>2232</v>
      </c>
      <c r="K438" t="s">
        <v>2233</v>
      </c>
      <c r="L438" t="s">
        <v>3342</v>
      </c>
      <c r="N438" t="s">
        <v>3444</v>
      </c>
      <c r="O438" t="s">
        <v>3445</v>
      </c>
      <c r="P438">
        <v>40952759</v>
      </c>
    </row>
    <row r="439" spans="1:16">
      <c r="A439" t="s">
        <v>31</v>
      </c>
      <c r="B439">
        <v>1</v>
      </c>
      <c r="E439" t="s">
        <v>3433</v>
      </c>
      <c r="F439" t="s">
        <v>3434</v>
      </c>
      <c r="G439" t="s">
        <v>3435</v>
      </c>
      <c r="I439" t="s">
        <v>3338</v>
      </c>
      <c r="J439" t="s">
        <v>2232</v>
      </c>
      <c r="K439" t="s">
        <v>2233</v>
      </c>
      <c r="L439" t="s">
        <v>3342</v>
      </c>
      <c r="N439" t="s">
        <v>3446</v>
      </c>
      <c r="O439" t="s">
        <v>3447</v>
      </c>
      <c r="P439">
        <v>40952759</v>
      </c>
    </row>
    <row r="440" spans="1:16">
      <c r="A440" t="s">
        <v>31</v>
      </c>
      <c r="B440">
        <v>0</v>
      </c>
      <c r="G440" t="s">
        <v>3338</v>
      </c>
      <c r="I440" t="s">
        <v>3338</v>
      </c>
      <c r="N440" t="s">
        <v>3448</v>
      </c>
      <c r="O440" t="s">
        <v>3449</v>
      </c>
      <c r="P440">
        <v>40952759</v>
      </c>
    </row>
    <row r="441" spans="1:16">
      <c r="A441" t="s">
        <v>31</v>
      </c>
      <c r="B441">
        <v>1</v>
      </c>
      <c r="E441" t="s">
        <v>3448</v>
      </c>
      <c r="F441" t="s">
        <v>3449</v>
      </c>
      <c r="G441" t="s">
        <v>3450</v>
      </c>
      <c r="I441" t="s">
        <v>3338</v>
      </c>
      <c r="J441" t="s">
        <v>2421</v>
      </c>
      <c r="K441" t="s">
        <v>3354</v>
      </c>
      <c r="L441" t="s">
        <v>3451</v>
      </c>
      <c r="N441" t="s">
        <v>3452</v>
      </c>
      <c r="O441" t="s">
        <v>3453</v>
      </c>
      <c r="P441">
        <v>40952759</v>
      </c>
    </row>
    <row r="442" spans="1:16">
      <c r="A442" t="s">
        <v>33</v>
      </c>
      <c r="B442">
        <v>0</v>
      </c>
      <c r="G442" t="s">
        <v>3338</v>
      </c>
      <c r="I442" t="s">
        <v>3338</v>
      </c>
      <c r="N442" t="s">
        <v>3339</v>
      </c>
      <c r="O442" t="s">
        <v>3340</v>
      </c>
      <c r="P442">
        <v>41370416</v>
      </c>
    </row>
    <row r="443" spans="1:16">
      <c r="A443" t="s">
        <v>33</v>
      </c>
      <c r="B443">
        <v>1</v>
      </c>
      <c r="E443" t="s">
        <v>3339</v>
      </c>
      <c r="F443" t="s">
        <v>3340</v>
      </c>
      <c r="G443" t="s">
        <v>3341</v>
      </c>
      <c r="I443" t="s">
        <v>3338</v>
      </c>
      <c r="J443" t="s">
        <v>2232</v>
      </c>
      <c r="K443" t="s">
        <v>2233</v>
      </c>
      <c r="L443" t="s">
        <v>3342</v>
      </c>
      <c r="N443" t="s">
        <v>3343</v>
      </c>
      <c r="O443" t="s">
        <v>3344</v>
      </c>
      <c r="P443">
        <v>41370416</v>
      </c>
    </row>
    <row r="444" spans="1:16">
      <c r="A444" t="s">
        <v>33</v>
      </c>
      <c r="B444">
        <v>1</v>
      </c>
      <c r="E444" t="s">
        <v>3339</v>
      </c>
      <c r="F444" t="s">
        <v>3340</v>
      </c>
      <c r="G444" t="s">
        <v>3341</v>
      </c>
      <c r="I444" t="s">
        <v>3338</v>
      </c>
      <c r="J444" t="s">
        <v>2232</v>
      </c>
      <c r="K444" t="s">
        <v>2233</v>
      </c>
      <c r="L444" t="s">
        <v>3342</v>
      </c>
      <c r="N444" t="s">
        <v>3345</v>
      </c>
      <c r="O444" t="s">
        <v>3346</v>
      </c>
      <c r="P444">
        <v>41370416</v>
      </c>
    </row>
    <row r="445" spans="1:16">
      <c r="A445" t="s">
        <v>33</v>
      </c>
      <c r="B445">
        <v>0</v>
      </c>
      <c r="G445" t="s">
        <v>3338</v>
      </c>
      <c r="I445" t="s">
        <v>3338</v>
      </c>
      <c r="N445" t="s">
        <v>3347</v>
      </c>
      <c r="O445" t="s">
        <v>3344</v>
      </c>
      <c r="P445">
        <v>41370416</v>
      </c>
    </row>
    <row r="446" spans="1:16">
      <c r="A446" t="s">
        <v>33</v>
      </c>
      <c r="B446">
        <v>1</v>
      </c>
      <c r="E446" t="s">
        <v>3347</v>
      </c>
      <c r="F446" t="s">
        <v>3344</v>
      </c>
      <c r="G446" t="s">
        <v>3348</v>
      </c>
      <c r="I446" t="s">
        <v>3338</v>
      </c>
      <c r="J446" t="s">
        <v>2232</v>
      </c>
      <c r="K446" t="s">
        <v>2233</v>
      </c>
      <c r="L446" t="s">
        <v>3342</v>
      </c>
      <c r="N446" t="s">
        <v>3349</v>
      </c>
      <c r="O446" t="s">
        <v>3350</v>
      </c>
      <c r="P446">
        <v>41370416</v>
      </c>
    </row>
    <row r="447" spans="1:16">
      <c r="A447" t="s">
        <v>33</v>
      </c>
      <c r="B447">
        <v>1</v>
      </c>
      <c r="E447" t="s">
        <v>3347</v>
      </c>
      <c r="F447" t="s">
        <v>3344</v>
      </c>
      <c r="G447" t="s">
        <v>3348</v>
      </c>
      <c r="I447" t="s">
        <v>3338</v>
      </c>
      <c r="L447" t="s">
        <v>193</v>
      </c>
      <c r="N447" t="s">
        <v>3351</v>
      </c>
      <c r="O447" t="s">
        <v>3352</v>
      </c>
      <c r="P447">
        <v>41370416</v>
      </c>
    </row>
    <row r="448" spans="1:16">
      <c r="A448" t="s">
        <v>33</v>
      </c>
      <c r="B448">
        <v>2</v>
      </c>
      <c r="E448" t="s">
        <v>3351</v>
      </c>
      <c r="F448" t="s">
        <v>3352</v>
      </c>
      <c r="G448" t="s">
        <v>3353</v>
      </c>
      <c r="I448" t="s">
        <v>3338</v>
      </c>
      <c r="J448" t="s">
        <v>2421</v>
      </c>
      <c r="K448" t="s">
        <v>3354</v>
      </c>
      <c r="L448" t="s">
        <v>3355</v>
      </c>
      <c r="N448" t="s">
        <v>3356</v>
      </c>
      <c r="O448" t="s">
        <v>3357</v>
      </c>
      <c r="P448">
        <v>41370416</v>
      </c>
    </row>
    <row r="449" spans="1:16">
      <c r="A449" t="s">
        <v>33</v>
      </c>
      <c r="B449">
        <v>2</v>
      </c>
      <c r="E449" t="s">
        <v>3351</v>
      </c>
      <c r="F449" t="s">
        <v>3352</v>
      </c>
      <c r="G449" t="s">
        <v>3353</v>
      </c>
      <c r="I449" t="s">
        <v>3338</v>
      </c>
      <c r="J449" t="s">
        <v>2421</v>
      </c>
      <c r="K449" t="s">
        <v>3354</v>
      </c>
      <c r="L449" t="s">
        <v>3355</v>
      </c>
      <c r="N449" t="s">
        <v>3358</v>
      </c>
      <c r="O449" t="s">
        <v>3359</v>
      </c>
      <c r="P449">
        <v>41370416</v>
      </c>
    </row>
    <row r="450" spans="1:16">
      <c r="A450" t="s">
        <v>33</v>
      </c>
      <c r="B450">
        <v>2</v>
      </c>
      <c r="E450" t="s">
        <v>3351</v>
      </c>
      <c r="F450" t="s">
        <v>3352</v>
      </c>
      <c r="G450" t="s">
        <v>3353</v>
      </c>
      <c r="I450" t="s">
        <v>3338</v>
      </c>
      <c r="J450" t="s">
        <v>2421</v>
      </c>
      <c r="K450" t="s">
        <v>3354</v>
      </c>
      <c r="L450" t="s">
        <v>3355</v>
      </c>
      <c r="N450" t="s">
        <v>3360</v>
      </c>
      <c r="O450" t="s">
        <v>3361</v>
      </c>
      <c r="P450">
        <v>41370416</v>
      </c>
    </row>
    <row r="451" spans="1:16">
      <c r="A451" t="s">
        <v>33</v>
      </c>
      <c r="B451">
        <v>1</v>
      </c>
      <c r="E451" t="s">
        <v>3347</v>
      </c>
      <c r="F451" t="s">
        <v>3344</v>
      </c>
      <c r="G451" t="s">
        <v>3348</v>
      </c>
      <c r="I451" t="s">
        <v>3338</v>
      </c>
      <c r="J451" t="s">
        <v>2236</v>
      </c>
      <c r="K451" t="s">
        <v>3362</v>
      </c>
      <c r="L451" t="s">
        <v>3363</v>
      </c>
      <c r="N451" t="s">
        <v>3364</v>
      </c>
      <c r="O451" t="s">
        <v>3365</v>
      </c>
      <c r="P451">
        <v>41370416</v>
      </c>
    </row>
    <row r="452" spans="1:16">
      <c r="A452" t="s">
        <v>33</v>
      </c>
      <c r="B452">
        <v>1</v>
      </c>
      <c r="E452" t="s">
        <v>3347</v>
      </c>
      <c r="F452" t="s">
        <v>3344</v>
      </c>
      <c r="G452" t="s">
        <v>3348</v>
      </c>
      <c r="I452" t="s">
        <v>3338</v>
      </c>
      <c r="L452" t="s">
        <v>193</v>
      </c>
      <c r="N452" t="s">
        <v>3366</v>
      </c>
      <c r="O452" t="s">
        <v>3367</v>
      </c>
      <c r="P452">
        <v>41370416</v>
      </c>
    </row>
    <row r="453" spans="1:16">
      <c r="A453" t="s">
        <v>33</v>
      </c>
      <c r="B453">
        <v>2</v>
      </c>
      <c r="E453" t="s">
        <v>3366</v>
      </c>
      <c r="F453" t="s">
        <v>3367</v>
      </c>
      <c r="G453" t="s">
        <v>3368</v>
      </c>
      <c r="I453" t="s">
        <v>3338</v>
      </c>
      <c r="J453" t="s">
        <v>2421</v>
      </c>
      <c r="K453" t="s">
        <v>3354</v>
      </c>
      <c r="L453" t="s">
        <v>3369</v>
      </c>
      <c r="N453" t="s">
        <v>3370</v>
      </c>
      <c r="O453" t="s">
        <v>3359</v>
      </c>
      <c r="P453">
        <v>41370416</v>
      </c>
    </row>
    <row r="454" spans="1:16">
      <c r="A454" t="s">
        <v>33</v>
      </c>
      <c r="B454">
        <v>2</v>
      </c>
      <c r="E454" t="s">
        <v>3366</v>
      </c>
      <c r="F454" t="s">
        <v>3367</v>
      </c>
      <c r="G454" t="s">
        <v>3368</v>
      </c>
      <c r="I454" t="s">
        <v>3338</v>
      </c>
      <c r="J454" t="s">
        <v>2421</v>
      </c>
      <c r="K454" t="s">
        <v>3354</v>
      </c>
      <c r="L454" t="s">
        <v>3369</v>
      </c>
      <c r="N454" t="s">
        <v>3371</v>
      </c>
      <c r="O454" t="s">
        <v>3372</v>
      </c>
      <c r="P454">
        <v>41370416</v>
      </c>
    </row>
    <row r="455" spans="1:16">
      <c r="A455" t="s">
        <v>33</v>
      </c>
      <c r="B455">
        <v>2</v>
      </c>
      <c r="E455" t="s">
        <v>3366</v>
      </c>
      <c r="F455" t="s">
        <v>3367</v>
      </c>
      <c r="G455" t="s">
        <v>3368</v>
      </c>
      <c r="I455" t="s">
        <v>3338</v>
      </c>
      <c r="J455" t="s">
        <v>2421</v>
      </c>
      <c r="K455" t="s">
        <v>3354</v>
      </c>
      <c r="L455" t="s">
        <v>3369</v>
      </c>
      <c r="N455" t="s">
        <v>3373</v>
      </c>
      <c r="O455" t="s">
        <v>3374</v>
      </c>
      <c r="P455">
        <v>41370416</v>
      </c>
    </row>
    <row r="456" spans="1:16">
      <c r="A456" t="s">
        <v>33</v>
      </c>
      <c r="B456">
        <v>2</v>
      </c>
      <c r="E456" t="s">
        <v>3366</v>
      </c>
      <c r="F456" t="s">
        <v>3367</v>
      </c>
      <c r="G456" t="s">
        <v>3368</v>
      </c>
      <c r="I456" t="s">
        <v>3338</v>
      </c>
      <c r="J456" t="s">
        <v>2236</v>
      </c>
      <c r="K456" t="s">
        <v>3362</v>
      </c>
      <c r="L456" t="s">
        <v>3363</v>
      </c>
      <c r="N456" t="s">
        <v>3375</v>
      </c>
      <c r="O456" t="s">
        <v>3376</v>
      </c>
      <c r="P456">
        <v>41370416</v>
      </c>
    </row>
    <row r="457" spans="1:16">
      <c r="A457" t="s">
        <v>33</v>
      </c>
      <c r="B457">
        <v>1</v>
      </c>
      <c r="E457" t="s">
        <v>3347</v>
      </c>
      <c r="F457" t="s">
        <v>3344</v>
      </c>
      <c r="G457" t="s">
        <v>3348</v>
      </c>
      <c r="I457" t="s">
        <v>3338</v>
      </c>
      <c r="J457" t="s">
        <v>2232</v>
      </c>
      <c r="K457" t="s">
        <v>2233</v>
      </c>
      <c r="L457" t="s">
        <v>3342</v>
      </c>
      <c r="N457" t="s">
        <v>3454</v>
      </c>
      <c r="O457" t="s">
        <v>3455</v>
      </c>
      <c r="P457">
        <v>41370416</v>
      </c>
    </row>
    <row r="458" spans="1:16">
      <c r="A458" t="s">
        <v>33</v>
      </c>
      <c r="B458">
        <v>0</v>
      </c>
      <c r="G458" t="s">
        <v>3338</v>
      </c>
      <c r="I458" t="s">
        <v>3338</v>
      </c>
      <c r="N458" t="s">
        <v>3377</v>
      </c>
      <c r="O458" t="s">
        <v>3346</v>
      </c>
      <c r="P458">
        <v>41370416</v>
      </c>
    </row>
    <row r="459" spans="1:16">
      <c r="A459" t="s">
        <v>33</v>
      </c>
      <c r="B459">
        <v>1</v>
      </c>
      <c r="E459" t="s">
        <v>3377</v>
      </c>
      <c r="F459" t="s">
        <v>3346</v>
      </c>
      <c r="G459" t="s">
        <v>3378</v>
      </c>
      <c r="I459" t="s">
        <v>3338</v>
      </c>
      <c r="L459" t="s">
        <v>193</v>
      </c>
      <c r="N459" t="s">
        <v>3379</v>
      </c>
      <c r="O459" t="s">
        <v>3380</v>
      </c>
      <c r="P459">
        <v>41370416</v>
      </c>
    </row>
    <row r="460" spans="1:16">
      <c r="A460" t="s">
        <v>33</v>
      </c>
      <c r="B460">
        <v>2</v>
      </c>
      <c r="E460" t="s">
        <v>3379</v>
      </c>
      <c r="F460" t="s">
        <v>3380</v>
      </c>
      <c r="G460" t="s">
        <v>3381</v>
      </c>
      <c r="I460" t="s">
        <v>3338</v>
      </c>
      <c r="J460" t="s">
        <v>2421</v>
      </c>
      <c r="K460" t="s">
        <v>3354</v>
      </c>
      <c r="L460" t="s">
        <v>3369</v>
      </c>
      <c r="N460" t="s">
        <v>3382</v>
      </c>
      <c r="O460" t="s">
        <v>3352</v>
      </c>
      <c r="P460">
        <v>41370416</v>
      </c>
    </row>
    <row r="461" spans="1:16">
      <c r="A461" t="s">
        <v>33</v>
      </c>
      <c r="B461">
        <v>2</v>
      </c>
      <c r="E461" t="s">
        <v>3379</v>
      </c>
      <c r="F461" t="s">
        <v>3380</v>
      </c>
      <c r="G461" t="s">
        <v>3381</v>
      </c>
      <c r="I461" t="s">
        <v>3338</v>
      </c>
      <c r="L461" t="s">
        <v>3383</v>
      </c>
      <c r="N461" t="s">
        <v>3384</v>
      </c>
      <c r="O461" t="s">
        <v>3385</v>
      </c>
      <c r="P461">
        <v>41370416</v>
      </c>
    </row>
    <row r="462" spans="1:16">
      <c r="A462" t="s">
        <v>33</v>
      </c>
      <c r="B462">
        <v>2</v>
      </c>
      <c r="E462" t="s">
        <v>3379</v>
      </c>
      <c r="F462" t="s">
        <v>3380</v>
      </c>
      <c r="G462" t="s">
        <v>3381</v>
      </c>
      <c r="I462" t="s">
        <v>3338</v>
      </c>
      <c r="J462" t="s">
        <v>2232</v>
      </c>
      <c r="K462" t="s">
        <v>2233</v>
      </c>
      <c r="L462" t="s">
        <v>3342</v>
      </c>
      <c r="N462" t="s">
        <v>3386</v>
      </c>
      <c r="O462" t="s">
        <v>3350</v>
      </c>
      <c r="P462">
        <v>41370416</v>
      </c>
    </row>
    <row r="463" spans="1:16">
      <c r="A463" t="s">
        <v>33</v>
      </c>
      <c r="B463">
        <v>0</v>
      </c>
      <c r="G463" t="s">
        <v>3338</v>
      </c>
      <c r="I463" t="s">
        <v>3338</v>
      </c>
      <c r="N463" t="s">
        <v>3395</v>
      </c>
      <c r="O463" t="s">
        <v>3396</v>
      </c>
      <c r="P463">
        <v>41370416</v>
      </c>
    </row>
    <row r="464" spans="1:16">
      <c r="A464" t="s">
        <v>33</v>
      </c>
      <c r="B464">
        <v>1</v>
      </c>
      <c r="E464" t="s">
        <v>3395</v>
      </c>
      <c r="F464" t="s">
        <v>3396</v>
      </c>
      <c r="G464" t="s">
        <v>3397</v>
      </c>
      <c r="I464" t="s">
        <v>3338</v>
      </c>
      <c r="L464" t="s">
        <v>3342</v>
      </c>
      <c r="N464" t="s">
        <v>3398</v>
      </c>
      <c r="O464" t="s">
        <v>3399</v>
      </c>
      <c r="P464">
        <v>41370416</v>
      </c>
    </row>
    <row r="465" spans="1:16">
      <c r="A465" t="s">
        <v>33</v>
      </c>
      <c r="B465">
        <v>1</v>
      </c>
      <c r="E465" t="s">
        <v>3395</v>
      </c>
      <c r="F465" t="s">
        <v>3396</v>
      </c>
      <c r="G465" t="s">
        <v>3397</v>
      </c>
      <c r="I465" t="s">
        <v>3338</v>
      </c>
      <c r="J465" t="s">
        <v>2232</v>
      </c>
      <c r="K465" t="s">
        <v>2233</v>
      </c>
      <c r="L465" t="s">
        <v>3342</v>
      </c>
      <c r="N465" t="s">
        <v>3400</v>
      </c>
      <c r="O465" t="s">
        <v>3401</v>
      </c>
      <c r="P465">
        <v>41370416</v>
      </c>
    </row>
    <row r="466" spans="1:16">
      <c r="A466" t="s">
        <v>33</v>
      </c>
      <c r="B466">
        <v>1</v>
      </c>
      <c r="E466" t="s">
        <v>3395</v>
      </c>
      <c r="F466" t="s">
        <v>3396</v>
      </c>
      <c r="G466" t="s">
        <v>3397</v>
      </c>
      <c r="I466" t="s">
        <v>3338</v>
      </c>
      <c r="L466" t="s">
        <v>3342</v>
      </c>
      <c r="N466" t="s">
        <v>3402</v>
      </c>
      <c r="O466" t="s">
        <v>3403</v>
      </c>
      <c r="P466">
        <v>41370416</v>
      </c>
    </row>
    <row r="467" spans="1:16">
      <c r="A467" t="s">
        <v>33</v>
      </c>
      <c r="B467">
        <v>1</v>
      </c>
      <c r="E467" t="s">
        <v>3395</v>
      </c>
      <c r="F467" t="s">
        <v>3396</v>
      </c>
      <c r="G467" t="s">
        <v>3397</v>
      </c>
      <c r="I467" t="s">
        <v>3338</v>
      </c>
      <c r="J467" t="s">
        <v>2232</v>
      </c>
      <c r="K467" t="s">
        <v>2233</v>
      </c>
      <c r="L467" t="s">
        <v>3342</v>
      </c>
      <c r="N467" t="s">
        <v>3404</v>
      </c>
      <c r="O467" t="s">
        <v>3405</v>
      </c>
      <c r="P467">
        <v>41370416</v>
      </c>
    </row>
    <row r="468" spans="1:16">
      <c r="A468" t="s">
        <v>33</v>
      </c>
      <c r="B468">
        <v>0</v>
      </c>
      <c r="G468" t="s">
        <v>3338</v>
      </c>
      <c r="I468" t="s">
        <v>3338</v>
      </c>
      <c r="N468" t="s">
        <v>3406</v>
      </c>
      <c r="O468" t="s">
        <v>3407</v>
      </c>
      <c r="P468">
        <v>41370416</v>
      </c>
    </row>
    <row r="469" spans="1:16">
      <c r="A469" t="s">
        <v>33</v>
      </c>
      <c r="B469">
        <v>1</v>
      </c>
      <c r="E469" t="s">
        <v>3406</v>
      </c>
      <c r="F469" t="s">
        <v>3407</v>
      </c>
      <c r="G469" t="s">
        <v>3408</v>
      </c>
      <c r="I469" t="s">
        <v>3338</v>
      </c>
      <c r="J469" t="s">
        <v>2421</v>
      </c>
      <c r="K469" t="s">
        <v>3354</v>
      </c>
      <c r="L469" t="s">
        <v>3369</v>
      </c>
      <c r="N469" t="s">
        <v>3409</v>
      </c>
      <c r="O469" t="s">
        <v>3410</v>
      </c>
      <c r="P469">
        <v>41370416</v>
      </c>
    </row>
    <row r="470" spans="1:16">
      <c r="A470" t="s">
        <v>33</v>
      </c>
      <c r="B470">
        <v>1</v>
      </c>
      <c r="E470" t="s">
        <v>3406</v>
      </c>
      <c r="F470" t="s">
        <v>3407</v>
      </c>
      <c r="G470" t="s">
        <v>3408</v>
      </c>
      <c r="I470" t="s">
        <v>3338</v>
      </c>
      <c r="L470" t="s">
        <v>193</v>
      </c>
      <c r="N470" t="s">
        <v>3411</v>
      </c>
      <c r="O470" t="s">
        <v>3412</v>
      </c>
      <c r="P470">
        <v>41370416</v>
      </c>
    </row>
    <row r="471" spans="1:16">
      <c r="A471" t="s">
        <v>33</v>
      </c>
      <c r="B471">
        <v>2</v>
      </c>
      <c r="E471" t="s">
        <v>3411</v>
      </c>
      <c r="F471" t="s">
        <v>3412</v>
      </c>
      <c r="G471" t="s">
        <v>3413</v>
      </c>
      <c r="I471" t="s">
        <v>3338</v>
      </c>
      <c r="L471" t="s">
        <v>3342</v>
      </c>
      <c r="N471" t="s">
        <v>3414</v>
      </c>
      <c r="O471" t="s">
        <v>3415</v>
      </c>
      <c r="P471">
        <v>41370416</v>
      </c>
    </row>
    <row r="472" spans="1:16">
      <c r="A472" t="s">
        <v>33</v>
      </c>
      <c r="B472">
        <v>2</v>
      </c>
      <c r="E472" t="s">
        <v>3411</v>
      </c>
      <c r="F472" t="s">
        <v>3412</v>
      </c>
      <c r="G472" t="s">
        <v>3413</v>
      </c>
      <c r="I472" t="s">
        <v>3338</v>
      </c>
      <c r="J472" t="s">
        <v>2232</v>
      </c>
      <c r="K472" t="s">
        <v>2233</v>
      </c>
      <c r="L472" t="s">
        <v>3342</v>
      </c>
      <c r="N472" t="s">
        <v>3416</v>
      </c>
      <c r="O472" t="s">
        <v>3417</v>
      </c>
      <c r="P472">
        <v>41370416</v>
      </c>
    </row>
    <row r="473" spans="1:16">
      <c r="A473" t="s">
        <v>33</v>
      </c>
      <c r="B473">
        <v>2</v>
      </c>
      <c r="E473" t="s">
        <v>3411</v>
      </c>
      <c r="F473" t="s">
        <v>3412</v>
      </c>
      <c r="G473" t="s">
        <v>3413</v>
      </c>
      <c r="I473" t="s">
        <v>3338</v>
      </c>
      <c r="J473" t="s">
        <v>2232</v>
      </c>
      <c r="K473" t="s">
        <v>2233</v>
      </c>
      <c r="L473" t="s">
        <v>3342</v>
      </c>
      <c r="N473" t="s">
        <v>3418</v>
      </c>
      <c r="O473" t="s">
        <v>3419</v>
      </c>
      <c r="P473">
        <v>41370416</v>
      </c>
    </row>
    <row r="474" spans="1:16">
      <c r="A474" t="s">
        <v>33</v>
      </c>
      <c r="B474">
        <v>2</v>
      </c>
      <c r="E474" t="s">
        <v>3411</v>
      </c>
      <c r="F474" t="s">
        <v>3412</v>
      </c>
      <c r="G474" t="s">
        <v>3413</v>
      </c>
      <c r="I474" t="s">
        <v>3338</v>
      </c>
      <c r="L474" t="s">
        <v>3342</v>
      </c>
      <c r="N474" t="s">
        <v>3420</v>
      </c>
      <c r="O474" t="s">
        <v>3421</v>
      </c>
      <c r="P474">
        <v>41370416</v>
      </c>
    </row>
    <row r="475" spans="1:16">
      <c r="A475" t="s">
        <v>33</v>
      </c>
      <c r="B475">
        <v>2</v>
      </c>
      <c r="E475" t="s">
        <v>3411</v>
      </c>
      <c r="F475" t="s">
        <v>3412</v>
      </c>
      <c r="G475" t="s">
        <v>3413</v>
      </c>
      <c r="I475" t="s">
        <v>3338</v>
      </c>
      <c r="J475" t="s">
        <v>2232</v>
      </c>
      <c r="K475" t="s">
        <v>2233</v>
      </c>
      <c r="L475" t="s">
        <v>3342</v>
      </c>
      <c r="N475" t="s">
        <v>3422</v>
      </c>
      <c r="O475" t="s">
        <v>3423</v>
      </c>
      <c r="P475">
        <v>41370416</v>
      </c>
    </row>
    <row r="476" spans="1:16">
      <c r="A476" t="s">
        <v>33</v>
      </c>
      <c r="B476">
        <v>0</v>
      </c>
      <c r="G476" t="s">
        <v>3338</v>
      </c>
      <c r="I476" t="s">
        <v>3338</v>
      </c>
      <c r="N476" t="s">
        <v>3424</v>
      </c>
      <c r="O476" t="s">
        <v>3425</v>
      </c>
      <c r="P476">
        <v>41370416</v>
      </c>
    </row>
    <row r="477" spans="1:16">
      <c r="A477" t="s">
        <v>33</v>
      </c>
      <c r="B477">
        <v>1</v>
      </c>
      <c r="E477" t="s">
        <v>3424</v>
      </c>
      <c r="F477" t="s">
        <v>3425</v>
      </c>
      <c r="G477" t="s">
        <v>3426</v>
      </c>
      <c r="I477" t="s">
        <v>3338</v>
      </c>
      <c r="J477" t="s">
        <v>2421</v>
      </c>
      <c r="K477" t="s">
        <v>3354</v>
      </c>
      <c r="L477" t="s">
        <v>3369</v>
      </c>
      <c r="N477" t="s">
        <v>3427</v>
      </c>
      <c r="O477" t="s">
        <v>3428</v>
      </c>
      <c r="P477">
        <v>41370416</v>
      </c>
    </row>
    <row r="478" spans="1:16">
      <c r="A478" t="s">
        <v>33</v>
      </c>
      <c r="B478">
        <v>1</v>
      </c>
      <c r="E478" t="s">
        <v>3424</v>
      </c>
      <c r="F478" t="s">
        <v>3425</v>
      </c>
      <c r="G478" t="s">
        <v>3426</v>
      </c>
      <c r="I478" t="s">
        <v>3338</v>
      </c>
      <c r="J478" t="s">
        <v>2421</v>
      </c>
      <c r="K478" t="s">
        <v>3354</v>
      </c>
      <c r="L478" t="s">
        <v>3369</v>
      </c>
      <c r="N478" t="s">
        <v>3429</v>
      </c>
      <c r="O478" t="s">
        <v>3430</v>
      </c>
      <c r="P478">
        <v>41370416</v>
      </c>
    </row>
    <row r="479" spans="1:16">
      <c r="A479" t="s">
        <v>33</v>
      </c>
      <c r="B479">
        <v>1</v>
      </c>
      <c r="E479" t="s">
        <v>3424</v>
      </c>
      <c r="F479" t="s">
        <v>3425</v>
      </c>
      <c r="G479" t="s">
        <v>3426</v>
      </c>
      <c r="I479" t="s">
        <v>3338</v>
      </c>
      <c r="J479" t="s">
        <v>2232</v>
      </c>
      <c r="K479" t="s">
        <v>2233</v>
      </c>
      <c r="L479" t="s">
        <v>3342</v>
      </c>
      <c r="N479" t="s">
        <v>3431</v>
      </c>
      <c r="O479" t="s">
        <v>3432</v>
      </c>
      <c r="P479">
        <v>41370416</v>
      </c>
    </row>
    <row r="480" spans="1:16">
      <c r="A480" t="s">
        <v>33</v>
      </c>
      <c r="B480">
        <v>0</v>
      </c>
      <c r="G480" t="s">
        <v>3338</v>
      </c>
      <c r="I480" t="s">
        <v>3338</v>
      </c>
      <c r="N480" t="s">
        <v>3433</v>
      </c>
      <c r="O480" t="s">
        <v>3434</v>
      </c>
      <c r="P480">
        <v>41370416</v>
      </c>
    </row>
    <row r="481" spans="1:16">
      <c r="A481" t="s">
        <v>33</v>
      </c>
      <c r="B481">
        <v>1</v>
      </c>
      <c r="E481" t="s">
        <v>3433</v>
      </c>
      <c r="F481" t="s">
        <v>3434</v>
      </c>
      <c r="G481" t="s">
        <v>3435</v>
      </c>
      <c r="I481" t="s">
        <v>3338</v>
      </c>
      <c r="J481" t="s">
        <v>2232</v>
      </c>
      <c r="K481" t="s">
        <v>2233</v>
      </c>
      <c r="L481" t="s">
        <v>3342</v>
      </c>
      <c r="N481" t="s">
        <v>3436</v>
      </c>
      <c r="O481" t="s">
        <v>3437</v>
      </c>
      <c r="P481">
        <v>41370416</v>
      </c>
    </row>
    <row r="482" spans="1:16">
      <c r="A482" t="s">
        <v>33</v>
      </c>
      <c r="B482">
        <v>1</v>
      </c>
      <c r="E482" t="s">
        <v>3433</v>
      </c>
      <c r="F482" t="s">
        <v>3434</v>
      </c>
      <c r="G482" t="s">
        <v>3435</v>
      </c>
      <c r="I482" t="s">
        <v>3338</v>
      </c>
      <c r="J482" t="s">
        <v>2232</v>
      </c>
      <c r="K482" t="s">
        <v>2233</v>
      </c>
      <c r="L482" t="s">
        <v>3342</v>
      </c>
      <c r="N482" t="s">
        <v>3438</v>
      </c>
      <c r="O482" t="s">
        <v>3439</v>
      </c>
      <c r="P482">
        <v>41370416</v>
      </c>
    </row>
    <row r="483" spans="1:16">
      <c r="A483" t="s">
        <v>33</v>
      </c>
      <c r="B483">
        <v>1</v>
      </c>
      <c r="E483" t="s">
        <v>3433</v>
      </c>
      <c r="F483" t="s">
        <v>3434</v>
      </c>
      <c r="G483" t="s">
        <v>3435</v>
      </c>
      <c r="I483" t="s">
        <v>3338</v>
      </c>
      <c r="J483" t="s">
        <v>2232</v>
      </c>
      <c r="K483" t="s">
        <v>2233</v>
      </c>
      <c r="L483" t="s">
        <v>3342</v>
      </c>
      <c r="N483" t="s">
        <v>3440</v>
      </c>
      <c r="O483" t="s">
        <v>3441</v>
      </c>
      <c r="P483">
        <v>41370416</v>
      </c>
    </row>
    <row r="484" spans="1:16">
      <c r="A484" t="s">
        <v>33</v>
      </c>
      <c r="B484">
        <v>1</v>
      </c>
      <c r="E484" t="s">
        <v>3433</v>
      </c>
      <c r="F484" t="s">
        <v>3434</v>
      </c>
      <c r="G484" t="s">
        <v>3435</v>
      </c>
      <c r="I484" t="s">
        <v>3338</v>
      </c>
      <c r="J484" t="s">
        <v>2232</v>
      </c>
      <c r="K484" t="s">
        <v>2233</v>
      </c>
      <c r="L484" t="s">
        <v>3342</v>
      </c>
      <c r="N484" t="s">
        <v>3442</v>
      </c>
      <c r="O484" t="s">
        <v>3443</v>
      </c>
      <c r="P484">
        <v>41370416</v>
      </c>
    </row>
    <row r="485" spans="1:16">
      <c r="A485" t="s">
        <v>33</v>
      </c>
      <c r="B485">
        <v>1</v>
      </c>
      <c r="E485" t="s">
        <v>3433</v>
      </c>
      <c r="F485" t="s">
        <v>3434</v>
      </c>
      <c r="G485" t="s">
        <v>3435</v>
      </c>
      <c r="I485" t="s">
        <v>3338</v>
      </c>
      <c r="J485" t="s">
        <v>2232</v>
      </c>
      <c r="K485" t="s">
        <v>2233</v>
      </c>
      <c r="L485" t="s">
        <v>3342</v>
      </c>
      <c r="N485" t="s">
        <v>3444</v>
      </c>
      <c r="O485" t="s">
        <v>3445</v>
      </c>
      <c r="P485">
        <v>41370416</v>
      </c>
    </row>
    <row r="486" spans="1:16">
      <c r="A486" t="s">
        <v>33</v>
      </c>
      <c r="B486">
        <v>1</v>
      </c>
      <c r="E486" t="s">
        <v>3433</v>
      </c>
      <c r="F486" t="s">
        <v>3434</v>
      </c>
      <c r="G486" t="s">
        <v>3435</v>
      </c>
      <c r="I486" t="s">
        <v>3338</v>
      </c>
      <c r="J486" t="s">
        <v>2232</v>
      </c>
      <c r="K486" t="s">
        <v>2233</v>
      </c>
      <c r="L486" t="s">
        <v>3342</v>
      </c>
      <c r="N486" t="s">
        <v>3446</v>
      </c>
      <c r="O486" t="s">
        <v>3447</v>
      </c>
      <c r="P486">
        <v>41370416</v>
      </c>
    </row>
    <row r="487" spans="1:16">
      <c r="A487" t="s">
        <v>33</v>
      </c>
      <c r="B487">
        <v>0</v>
      </c>
      <c r="G487" t="s">
        <v>3338</v>
      </c>
      <c r="I487" t="s">
        <v>3338</v>
      </c>
      <c r="N487" t="s">
        <v>3448</v>
      </c>
      <c r="O487" t="s">
        <v>3449</v>
      </c>
      <c r="P487">
        <v>41370416</v>
      </c>
    </row>
    <row r="488" spans="1:16">
      <c r="A488" t="s">
        <v>33</v>
      </c>
      <c r="B488">
        <v>1</v>
      </c>
      <c r="E488" t="s">
        <v>3448</v>
      </c>
      <c r="F488" t="s">
        <v>3449</v>
      </c>
      <c r="G488" t="s">
        <v>3450</v>
      </c>
      <c r="I488" t="s">
        <v>3338</v>
      </c>
      <c r="J488" t="s">
        <v>2421</v>
      </c>
      <c r="K488" t="s">
        <v>3354</v>
      </c>
      <c r="L488" t="s">
        <v>3451</v>
      </c>
      <c r="N488" t="s">
        <v>3452</v>
      </c>
      <c r="O488" t="s">
        <v>3453</v>
      </c>
      <c r="P488">
        <v>41370416</v>
      </c>
    </row>
    <row r="489" spans="1:16">
      <c r="A489" t="s">
        <v>35</v>
      </c>
      <c r="B489">
        <v>0</v>
      </c>
      <c r="G489" t="s">
        <v>3338</v>
      </c>
      <c r="I489" t="s">
        <v>3338</v>
      </c>
      <c r="N489" t="s">
        <v>3339</v>
      </c>
      <c r="O489" t="s">
        <v>3340</v>
      </c>
      <c r="P489">
        <v>41398674</v>
      </c>
    </row>
    <row r="490" spans="1:16">
      <c r="A490" t="s">
        <v>35</v>
      </c>
      <c r="B490">
        <v>1</v>
      </c>
      <c r="E490" t="s">
        <v>3339</v>
      </c>
      <c r="F490" t="s">
        <v>3340</v>
      </c>
      <c r="G490" t="s">
        <v>3341</v>
      </c>
      <c r="I490" t="s">
        <v>3338</v>
      </c>
      <c r="J490" t="s">
        <v>2232</v>
      </c>
      <c r="K490" t="s">
        <v>2233</v>
      </c>
      <c r="L490" t="s">
        <v>3342</v>
      </c>
      <c r="N490" t="s">
        <v>3343</v>
      </c>
      <c r="O490" t="s">
        <v>3344</v>
      </c>
      <c r="P490">
        <v>41398674</v>
      </c>
    </row>
    <row r="491" spans="1:16">
      <c r="A491" t="s">
        <v>35</v>
      </c>
      <c r="B491">
        <v>1</v>
      </c>
      <c r="E491" t="s">
        <v>3339</v>
      </c>
      <c r="F491" t="s">
        <v>3340</v>
      </c>
      <c r="G491" t="s">
        <v>3341</v>
      </c>
      <c r="I491" t="s">
        <v>3338</v>
      </c>
      <c r="J491" t="s">
        <v>2232</v>
      </c>
      <c r="K491" t="s">
        <v>2233</v>
      </c>
      <c r="L491" t="s">
        <v>3342</v>
      </c>
      <c r="N491" t="s">
        <v>3345</v>
      </c>
      <c r="O491" t="s">
        <v>3346</v>
      </c>
      <c r="P491">
        <v>41398674</v>
      </c>
    </row>
    <row r="492" spans="1:16">
      <c r="A492" t="s">
        <v>35</v>
      </c>
      <c r="B492">
        <v>0</v>
      </c>
      <c r="G492" t="s">
        <v>3338</v>
      </c>
      <c r="I492" t="s">
        <v>3338</v>
      </c>
      <c r="N492" t="s">
        <v>3347</v>
      </c>
      <c r="O492" t="s">
        <v>3344</v>
      </c>
      <c r="P492">
        <v>41398674</v>
      </c>
    </row>
    <row r="493" spans="1:16">
      <c r="A493" t="s">
        <v>35</v>
      </c>
      <c r="B493">
        <v>1</v>
      </c>
      <c r="E493" t="s">
        <v>3347</v>
      </c>
      <c r="F493" t="s">
        <v>3344</v>
      </c>
      <c r="G493" t="s">
        <v>3348</v>
      </c>
      <c r="I493" t="s">
        <v>3338</v>
      </c>
      <c r="J493" t="s">
        <v>2232</v>
      </c>
      <c r="K493" t="s">
        <v>2233</v>
      </c>
      <c r="L493" t="s">
        <v>3342</v>
      </c>
      <c r="N493" t="s">
        <v>3349</v>
      </c>
      <c r="O493" t="s">
        <v>3350</v>
      </c>
      <c r="P493">
        <v>41398674</v>
      </c>
    </row>
    <row r="494" spans="1:16">
      <c r="A494" t="s">
        <v>35</v>
      </c>
      <c r="B494">
        <v>1</v>
      </c>
      <c r="E494" t="s">
        <v>3347</v>
      </c>
      <c r="F494" t="s">
        <v>3344</v>
      </c>
      <c r="G494" t="s">
        <v>3348</v>
      </c>
      <c r="I494" t="s">
        <v>3338</v>
      </c>
      <c r="L494" t="s">
        <v>193</v>
      </c>
      <c r="N494" t="s">
        <v>3351</v>
      </c>
      <c r="O494" t="s">
        <v>3352</v>
      </c>
      <c r="P494">
        <v>41398674</v>
      </c>
    </row>
    <row r="495" spans="1:16">
      <c r="A495" t="s">
        <v>35</v>
      </c>
      <c r="B495">
        <v>2</v>
      </c>
      <c r="E495" t="s">
        <v>3351</v>
      </c>
      <c r="F495" t="s">
        <v>3352</v>
      </c>
      <c r="G495" t="s">
        <v>3353</v>
      </c>
      <c r="I495" t="s">
        <v>3338</v>
      </c>
      <c r="J495" t="s">
        <v>2421</v>
      </c>
      <c r="K495" t="s">
        <v>3354</v>
      </c>
      <c r="L495" t="s">
        <v>3355</v>
      </c>
      <c r="N495" t="s">
        <v>3356</v>
      </c>
      <c r="O495" t="s">
        <v>3357</v>
      </c>
      <c r="P495">
        <v>41398674</v>
      </c>
    </row>
    <row r="496" spans="1:16">
      <c r="A496" t="s">
        <v>35</v>
      </c>
      <c r="B496">
        <v>2</v>
      </c>
      <c r="E496" t="s">
        <v>3351</v>
      </c>
      <c r="F496" t="s">
        <v>3352</v>
      </c>
      <c r="G496" t="s">
        <v>3353</v>
      </c>
      <c r="I496" t="s">
        <v>3338</v>
      </c>
      <c r="J496" t="s">
        <v>2421</v>
      </c>
      <c r="K496" t="s">
        <v>3354</v>
      </c>
      <c r="L496" t="s">
        <v>3355</v>
      </c>
      <c r="N496" t="s">
        <v>3358</v>
      </c>
      <c r="O496" t="s">
        <v>3359</v>
      </c>
      <c r="P496">
        <v>41398674</v>
      </c>
    </row>
    <row r="497" spans="1:16">
      <c r="A497" t="s">
        <v>35</v>
      </c>
      <c r="B497">
        <v>2</v>
      </c>
      <c r="E497" t="s">
        <v>3351</v>
      </c>
      <c r="F497" t="s">
        <v>3352</v>
      </c>
      <c r="G497" t="s">
        <v>3353</v>
      </c>
      <c r="I497" t="s">
        <v>3338</v>
      </c>
      <c r="J497" t="s">
        <v>2421</v>
      </c>
      <c r="K497" t="s">
        <v>3354</v>
      </c>
      <c r="L497" t="s">
        <v>3355</v>
      </c>
      <c r="N497" t="s">
        <v>3360</v>
      </c>
      <c r="O497" t="s">
        <v>3361</v>
      </c>
      <c r="P497">
        <v>41398674</v>
      </c>
    </row>
    <row r="498" spans="1:16">
      <c r="A498" t="s">
        <v>35</v>
      </c>
      <c r="B498">
        <v>1</v>
      </c>
      <c r="E498" t="s">
        <v>3347</v>
      </c>
      <c r="F498" t="s">
        <v>3344</v>
      </c>
      <c r="G498" t="s">
        <v>3348</v>
      </c>
      <c r="I498" t="s">
        <v>3338</v>
      </c>
      <c r="J498" t="s">
        <v>2236</v>
      </c>
      <c r="K498" t="s">
        <v>3362</v>
      </c>
      <c r="L498" t="s">
        <v>3363</v>
      </c>
      <c r="N498" t="s">
        <v>3364</v>
      </c>
      <c r="O498" t="s">
        <v>3365</v>
      </c>
      <c r="P498">
        <v>41398674</v>
      </c>
    </row>
    <row r="499" spans="1:16">
      <c r="A499" t="s">
        <v>35</v>
      </c>
      <c r="B499">
        <v>1</v>
      </c>
      <c r="E499" t="s">
        <v>3347</v>
      </c>
      <c r="F499" t="s">
        <v>3344</v>
      </c>
      <c r="G499" t="s">
        <v>3348</v>
      </c>
      <c r="I499" t="s">
        <v>3338</v>
      </c>
      <c r="L499" t="s">
        <v>193</v>
      </c>
      <c r="N499" t="s">
        <v>3366</v>
      </c>
      <c r="O499" t="s">
        <v>3367</v>
      </c>
      <c r="P499">
        <v>41398674</v>
      </c>
    </row>
    <row r="500" spans="1:16">
      <c r="A500" t="s">
        <v>35</v>
      </c>
      <c r="B500">
        <v>2</v>
      </c>
      <c r="E500" t="s">
        <v>3366</v>
      </c>
      <c r="F500" t="s">
        <v>3367</v>
      </c>
      <c r="G500" t="s">
        <v>3368</v>
      </c>
      <c r="I500" t="s">
        <v>3338</v>
      </c>
      <c r="J500" t="s">
        <v>2421</v>
      </c>
      <c r="K500" t="s">
        <v>3354</v>
      </c>
      <c r="L500" t="s">
        <v>3369</v>
      </c>
      <c r="N500" t="s">
        <v>3370</v>
      </c>
      <c r="O500" t="s">
        <v>3359</v>
      </c>
      <c r="P500">
        <v>41398674</v>
      </c>
    </row>
    <row r="501" spans="1:16">
      <c r="A501" t="s">
        <v>35</v>
      </c>
      <c r="B501">
        <v>2</v>
      </c>
      <c r="E501" t="s">
        <v>3366</v>
      </c>
      <c r="F501" t="s">
        <v>3367</v>
      </c>
      <c r="G501" t="s">
        <v>3368</v>
      </c>
      <c r="I501" t="s">
        <v>3338</v>
      </c>
      <c r="J501" t="s">
        <v>2421</v>
      </c>
      <c r="K501" t="s">
        <v>3354</v>
      </c>
      <c r="L501" t="s">
        <v>3369</v>
      </c>
      <c r="N501" t="s">
        <v>3371</v>
      </c>
      <c r="O501" t="s">
        <v>3372</v>
      </c>
      <c r="P501">
        <v>41398674</v>
      </c>
    </row>
    <row r="502" spans="1:16">
      <c r="A502" t="s">
        <v>35</v>
      </c>
      <c r="B502">
        <v>2</v>
      </c>
      <c r="E502" t="s">
        <v>3366</v>
      </c>
      <c r="F502" t="s">
        <v>3367</v>
      </c>
      <c r="G502" t="s">
        <v>3368</v>
      </c>
      <c r="I502" t="s">
        <v>3338</v>
      </c>
      <c r="J502" t="s">
        <v>2421</v>
      </c>
      <c r="K502" t="s">
        <v>3354</v>
      </c>
      <c r="L502" t="s">
        <v>3369</v>
      </c>
      <c r="N502" t="s">
        <v>3373</v>
      </c>
      <c r="O502" t="s">
        <v>3374</v>
      </c>
      <c r="P502">
        <v>41398674</v>
      </c>
    </row>
    <row r="503" spans="1:16">
      <c r="A503" t="s">
        <v>35</v>
      </c>
      <c r="B503">
        <v>2</v>
      </c>
      <c r="E503" t="s">
        <v>3366</v>
      </c>
      <c r="F503" t="s">
        <v>3367</v>
      </c>
      <c r="G503" t="s">
        <v>3368</v>
      </c>
      <c r="I503" t="s">
        <v>3338</v>
      </c>
      <c r="J503" t="s">
        <v>2236</v>
      </c>
      <c r="K503" t="s">
        <v>3362</v>
      </c>
      <c r="L503" t="s">
        <v>3363</v>
      </c>
      <c r="N503" t="s">
        <v>3375</v>
      </c>
      <c r="O503" t="s">
        <v>3376</v>
      </c>
      <c r="P503">
        <v>41398674</v>
      </c>
    </row>
    <row r="504" spans="1:16">
      <c r="A504" t="s">
        <v>35</v>
      </c>
      <c r="B504">
        <v>1</v>
      </c>
      <c r="E504" t="s">
        <v>3347</v>
      </c>
      <c r="F504" t="s">
        <v>3344</v>
      </c>
      <c r="G504" t="s">
        <v>3348</v>
      </c>
      <c r="I504" t="s">
        <v>3338</v>
      </c>
      <c r="J504" t="s">
        <v>2232</v>
      </c>
      <c r="K504" t="s">
        <v>2233</v>
      </c>
      <c r="L504" t="s">
        <v>3342</v>
      </c>
      <c r="N504" t="s">
        <v>3454</v>
      </c>
      <c r="O504" t="s">
        <v>3455</v>
      </c>
      <c r="P504">
        <v>41398674</v>
      </c>
    </row>
    <row r="505" spans="1:16">
      <c r="A505" t="s">
        <v>35</v>
      </c>
      <c r="B505">
        <v>0</v>
      </c>
      <c r="G505" t="s">
        <v>3338</v>
      </c>
      <c r="I505" t="s">
        <v>3338</v>
      </c>
      <c r="N505" t="s">
        <v>3377</v>
      </c>
      <c r="O505" t="s">
        <v>3346</v>
      </c>
      <c r="P505">
        <v>41398674</v>
      </c>
    </row>
    <row r="506" spans="1:16">
      <c r="A506" t="s">
        <v>35</v>
      </c>
      <c r="B506">
        <v>1</v>
      </c>
      <c r="E506" t="s">
        <v>3377</v>
      </c>
      <c r="F506" t="s">
        <v>3346</v>
      </c>
      <c r="G506" t="s">
        <v>3378</v>
      </c>
      <c r="I506" t="s">
        <v>3338</v>
      </c>
      <c r="L506" t="s">
        <v>193</v>
      </c>
      <c r="N506" t="s">
        <v>3379</v>
      </c>
      <c r="O506" t="s">
        <v>3380</v>
      </c>
      <c r="P506">
        <v>41398674</v>
      </c>
    </row>
    <row r="507" spans="1:16">
      <c r="A507" t="s">
        <v>35</v>
      </c>
      <c r="B507">
        <v>2</v>
      </c>
      <c r="E507" t="s">
        <v>3379</v>
      </c>
      <c r="F507" t="s">
        <v>3380</v>
      </c>
      <c r="G507" t="s">
        <v>3381</v>
      </c>
      <c r="I507" t="s">
        <v>3338</v>
      </c>
      <c r="J507" t="s">
        <v>2421</v>
      </c>
      <c r="K507" t="s">
        <v>3354</v>
      </c>
      <c r="L507" t="s">
        <v>3369</v>
      </c>
      <c r="N507" t="s">
        <v>3382</v>
      </c>
      <c r="O507" t="s">
        <v>3352</v>
      </c>
      <c r="P507">
        <v>41398674</v>
      </c>
    </row>
    <row r="508" spans="1:16">
      <c r="A508" t="s">
        <v>35</v>
      </c>
      <c r="B508">
        <v>2</v>
      </c>
      <c r="E508" t="s">
        <v>3379</v>
      </c>
      <c r="F508" t="s">
        <v>3380</v>
      </c>
      <c r="G508" t="s">
        <v>3381</v>
      </c>
      <c r="I508" t="s">
        <v>3338</v>
      </c>
      <c r="L508" t="s">
        <v>3383</v>
      </c>
      <c r="N508" t="s">
        <v>3384</v>
      </c>
      <c r="O508" t="s">
        <v>3385</v>
      </c>
      <c r="P508">
        <v>41398674</v>
      </c>
    </row>
    <row r="509" spans="1:16">
      <c r="A509" t="s">
        <v>35</v>
      </c>
      <c r="B509">
        <v>2</v>
      </c>
      <c r="E509" t="s">
        <v>3379</v>
      </c>
      <c r="F509" t="s">
        <v>3380</v>
      </c>
      <c r="G509" t="s">
        <v>3381</v>
      </c>
      <c r="I509" t="s">
        <v>3338</v>
      </c>
      <c r="J509" t="s">
        <v>2232</v>
      </c>
      <c r="K509" t="s">
        <v>2233</v>
      </c>
      <c r="L509" t="s">
        <v>3342</v>
      </c>
      <c r="N509" t="s">
        <v>3386</v>
      </c>
      <c r="O509" t="s">
        <v>3350</v>
      </c>
      <c r="P509">
        <v>41398674</v>
      </c>
    </row>
    <row r="510" spans="1:16">
      <c r="A510" t="s">
        <v>35</v>
      </c>
      <c r="B510">
        <v>1</v>
      </c>
      <c r="E510" t="s">
        <v>3377</v>
      </c>
      <c r="F510" t="s">
        <v>3346</v>
      </c>
      <c r="G510" t="s">
        <v>3378</v>
      </c>
      <c r="I510" t="s">
        <v>3338</v>
      </c>
      <c r="L510" t="s">
        <v>193</v>
      </c>
      <c r="N510" t="s">
        <v>3387</v>
      </c>
      <c r="O510" t="s">
        <v>3388</v>
      </c>
      <c r="P510">
        <v>41398674</v>
      </c>
    </row>
    <row r="511" spans="1:16">
      <c r="A511" t="s">
        <v>35</v>
      </c>
      <c r="B511">
        <v>2</v>
      </c>
      <c r="E511" t="s">
        <v>3387</v>
      </c>
      <c r="F511" t="s">
        <v>3388</v>
      </c>
      <c r="G511" t="s">
        <v>3389</v>
      </c>
      <c r="I511" t="s">
        <v>3338</v>
      </c>
      <c r="L511" t="s">
        <v>3369</v>
      </c>
      <c r="N511" t="s">
        <v>3390</v>
      </c>
      <c r="O511" t="s">
        <v>3352</v>
      </c>
      <c r="P511">
        <v>41398674</v>
      </c>
    </row>
    <row r="512" spans="1:16">
      <c r="A512" t="s">
        <v>35</v>
      </c>
      <c r="B512">
        <v>2</v>
      </c>
      <c r="E512" t="s">
        <v>3387</v>
      </c>
      <c r="F512" t="s">
        <v>3388</v>
      </c>
      <c r="G512" t="s">
        <v>3389</v>
      </c>
      <c r="I512" t="s">
        <v>3338</v>
      </c>
      <c r="L512" t="s">
        <v>3342</v>
      </c>
      <c r="N512" t="s">
        <v>3391</v>
      </c>
      <c r="O512" t="s">
        <v>3392</v>
      </c>
      <c r="P512">
        <v>41398674</v>
      </c>
    </row>
    <row r="513" spans="1:16">
      <c r="A513" t="s">
        <v>35</v>
      </c>
      <c r="B513">
        <v>2</v>
      </c>
      <c r="E513" t="s">
        <v>3387</v>
      </c>
      <c r="F513" t="s">
        <v>3388</v>
      </c>
      <c r="G513" t="s">
        <v>3389</v>
      </c>
      <c r="I513" t="s">
        <v>3338</v>
      </c>
      <c r="L513" t="s">
        <v>3383</v>
      </c>
      <c r="N513" t="s">
        <v>3393</v>
      </c>
      <c r="O513" t="s">
        <v>3385</v>
      </c>
      <c r="P513">
        <v>41398674</v>
      </c>
    </row>
    <row r="514" spans="1:16">
      <c r="A514" t="s">
        <v>35</v>
      </c>
      <c r="B514">
        <v>2</v>
      </c>
      <c r="E514" t="s">
        <v>3387</v>
      </c>
      <c r="F514" t="s">
        <v>3388</v>
      </c>
      <c r="G514" t="s">
        <v>3389</v>
      </c>
      <c r="I514" t="s">
        <v>3338</v>
      </c>
      <c r="L514" t="s">
        <v>3342</v>
      </c>
      <c r="N514" t="s">
        <v>3394</v>
      </c>
      <c r="O514" t="s">
        <v>3350</v>
      </c>
      <c r="P514">
        <v>41398674</v>
      </c>
    </row>
    <row r="515" spans="1:16">
      <c r="A515" t="s">
        <v>35</v>
      </c>
      <c r="B515">
        <v>0</v>
      </c>
      <c r="G515" t="s">
        <v>3338</v>
      </c>
      <c r="I515" t="s">
        <v>3338</v>
      </c>
      <c r="N515" t="s">
        <v>3395</v>
      </c>
      <c r="O515" t="s">
        <v>3396</v>
      </c>
      <c r="P515">
        <v>41398674</v>
      </c>
    </row>
    <row r="516" spans="1:16">
      <c r="A516" t="s">
        <v>35</v>
      </c>
      <c r="B516">
        <v>1</v>
      </c>
      <c r="E516" t="s">
        <v>3395</v>
      </c>
      <c r="F516" t="s">
        <v>3396</v>
      </c>
      <c r="G516" t="s">
        <v>3397</v>
      </c>
      <c r="I516" t="s">
        <v>3338</v>
      </c>
      <c r="L516" t="s">
        <v>3342</v>
      </c>
      <c r="N516" t="s">
        <v>3398</v>
      </c>
      <c r="O516" t="s">
        <v>3399</v>
      </c>
      <c r="P516">
        <v>41398674</v>
      </c>
    </row>
    <row r="517" spans="1:16">
      <c r="A517" t="s">
        <v>35</v>
      </c>
      <c r="B517">
        <v>1</v>
      </c>
      <c r="E517" t="s">
        <v>3395</v>
      </c>
      <c r="F517" t="s">
        <v>3396</v>
      </c>
      <c r="G517" t="s">
        <v>3397</v>
      </c>
      <c r="I517" t="s">
        <v>3338</v>
      </c>
      <c r="J517" t="s">
        <v>2232</v>
      </c>
      <c r="K517" t="s">
        <v>2233</v>
      </c>
      <c r="L517" t="s">
        <v>3342</v>
      </c>
      <c r="N517" t="s">
        <v>3400</v>
      </c>
      <c r="O517" t="s">
        <v>3401</v>
      </c>
      <c r="P517">
        <v>41398674</v>
      </c>
    </row>
    <row r="518" spans="1:16">
      <c r="A518" t="s">
        <v>35</v>
      </c>
      <c r="B518">
        <v>1</v>
      </c>
      <c r="E518" t="s">
        <v>3395</v>
      </c>
      <c r="F518" t="s">
        <v>3396</v>
      </c>
      <c r="G518" t="s">
        <v>3397</v>
      </c>
      <c r="I518" t="s">
        <v>3338</v>
      </c>
      <c r="L518" t="s">
        <v>3342</v>
      </c>
      <c r="N518" t="s">
        <v>3402</v>
      </c>
      <c r="O518" t="s">
        <v>3403</v>
      </c>
      <c r="P518">
        <v>41398674</v>
      </c>
    </row>
    <row r="519" spans="1:16">
      <c r="A519" t="s">
        <v>35</v>
      </c>
      <c r="B519">
        <v>1</v>
      </c>
      <c r="E519" t="s">
        <v>3395</v>
      </c>
      <c r="F519" t="s">
        <v>3396</v>
      </c>
      <c r="G519" t="s">
        <v>3397</v>
      </c>
      <c r="I519" t="s">
        <v>3338</v>
      </c>
      <c r="L519" t="s">
        <v>3342</v>
      </c>
      <c r="N519" t="s">
        <v>3404</v>
      </c>
      <c r="O519" t="s">
        <v>3405</v>
      </c>
      <c r="P519">
        <v>41398674</v>
      </c>
    </row>
    <row r="520" spans="1:16">
      <c r="A520" t="s">
        <v>35</v>
      </c>
      <c r="B520">
        <v>0</v>
      </c>
      <c r="G520" t="s">
        <v>3338</v>
      </c>
      <c r="I520" t="s">
        <v>3338</v>
      </c>
      <c r="N520" t="s">
        <v>3406</v>
      </c>
      <c r="O520" t="s">
        <v>3407</v>
      </c>
      <c r="P520">
        <v>41398674</v>
      </c>
    </row>
    <row r="521" spans="1:16">
      <c r="A521" t="s">
        <v>35</v>
      </c>
      <c r="B521">
        <v>1</v>
      </c>
      <c r="E521" t="s">
        <v>3406</v>
      </c>
      <c r="F521" t="s">
        <v>3407</v>
      </c>
      <c r="G521" t="s">
        <v>3408</v>
      </c>
      <c r="I521" t="s">
        <v>3338</v>
      </c>
      <c r="J521" t="s">
        <v>2421</v>
      </c>
      <c r="K521" t="s">
        <v>3354</v>
      </c>
      <c r="L521" t="s">
        <v>3369</v>
      </c>
      <c r="N521" t="s">
        <v>3409</v>
      </c>
      <c r="O521" t="s">
        <v>3410</v>
      </c>
      <c r="P521">
        <v>41398674</v>
      </c>
    </row>
    <row r="522" spans="1:16">
      <c r="A522" t="s">
        <v>35</v>
      </c>
      <c r="B522">
        <v>1</v>
      </c>
      <c r="E522" t="s">
        <v>3406</v>
      </c>
      <c r="F522" t="s">
        <v>3407</v>
      </c>
      <c r="G522" t="s">
        <v>3408</v>
      </c>
      <c r="I522" t="s">
        <v>3338</v>
      </c>
      <c r="L522" t="s">
        <v>193</v>
      </c>
      <c r="N522" t="s">
        <v>3411</v>
      </c>
      <c r="O522" t="s">
        <v>3412</v>
      </c>
      <c r="P522">
        <v>41398674</v>
      </c>
    </row>
    <row r="523" spans="1:16">
      <c r="A523" t="s">
        <v>35</v>
      </c>
      <c r="B523">
        <v>2</v>
      </c>
      <c r="E523" t="s">
        <v>3411</v>
      </c>
      <c r="F523" t="s">
        <v>3412</v>
      </c>
      <c r="G523" t="s">
        <v>3413</v>
      </c>
      <c r="I523" t="s">
        <v>3338</v>
      </c>
      <c r="L523" t="s">
        <v>3342</v>
      </c>
      <c r="N523" t="s">
        <v>3414</v>
      </c>
      <c r="O523" t="s">
        <v>3415</v>
      </c>
      <c r="P523">
        <v>41398674</v>
      </c>
    </row>
    <row r="524" spans="1:16">
      <c r="A524" t="s">
        <v>35</v>
      </c>
      <c r="B524">
        <v>2</v>
      </c>
      <c r="E524" t="s">
        <v>3411</v>
      </c>
      <c r="F524" t="s">
        <v>3412</v>
      </c>
      <c r="G524" t="s">
        <v>3413</v>
      </c>
      <c r="I524" t="s">
        <v>3338</v>
      </c>
      <c r="J524" t="s">
        <v>2232</v>
      </c>
      <c r="K524" t="s">
        <v>2233</v>
      </c>
      <c r="L524" t="s">
        <v>3342</v>
      </c>
      <c r="N524" t="s">
        <v>3416</v>
      </c>
      <c r="O524" t="s">
        <v>3417</v>
      </c>
      <c r="P524">
        <v>41398674</v>
      </c>
    </row>
    <row r="525" spans="1:16">
      <c r="A525" t="s">
        <v>35</v>
      </c>
      <c r="B525">
        <v>2</v>
      </c>
      <c r="E525" t="s">
        <v>3411</v>
      </c>
      <c r="F525" t="s">
        <v>3412</v>
      </c>
      <c r="G525" t="s">
        <v>3413</v>
      </c>
      <c r="I525" t="s">
        <v>3338</v>
      </c>
      <c r="J525" t="s">
        <v>2232</v>
      </c>
      <c r="K525" t="s">
        <v>2233</v>
      </c>
      <c r="L525" t="s">
        <v>3342</v>
      </c>
      <c r="N525" t="s">
        <v>3418</v>
      </c>
      <c r="O525" t="s">
        <v>3419</v>
      </c>
      <c r="P525">
        <v>41398674</v>
      </c>
    </row>
    <row r="526" spans="1:16">
      <c r="A526" t="s">
        <v>35</v>
      </c>
      <c r="B526">
        <v>2</v>
      </c>
      <c r="E526" t="s">
        <v>3411</v>
      </c>
      <c r="F526" t="s">
        <v>3412</v>
      </c>
      <c r="G526" t="s">
        <v>3413</v>
      </c>
      <c r="I526" t="s">
        <v>3338</v>
      </c>
      <c r="L526" t="s">
        <v>3342</v>
      </c>
      <c r="N526" t="s">
        <v>3420</v>
      </c>
      <c r="O526" t="s">
        <v>3421</v>
      </c>
      <c r="P526">
        <v>41398674</v>
      </c>
    </row>
    <row r="527" spans="1:16">
      <c r="A527" t="s">
        <v>35</v>
      </c>
      <c r="B527">
        <v>2</v>
      </c>
      <c r="E527" t="s">
        <v>3411</v>
      </c>
      <c r="F527" t="s">
        <v>3412</v>
      </c>
      <c r="G527" t="s">
        <v>3413</v>
      </c>
      <c r="I527" t="s">
        <v>3338</v>
      </c>
      <c r="J527" t="s">
        <v>2232</v>
      </c>
      <c r="K527" t="s">
        <v>2233</v>
      </c>
      <c r="L527" t="s">
        <v>3342</v>
      </c>
      <c r="N527" t="s">
        <v>3422</v>
      </c>
      <c r="O527" t="s">
        <v>3423</v>
      </c>
      <c r="P527">
        <v>41398674</v>
      </c>
    </row>
    <row r="528" spans="1:16">
      <c r="A528" t="s">
        <v>35</v>
      </c>
      <c r="B528">
        <v>0</v>
      </c>
      <c r="G528" t="s">
        <v>3338</v>
      </c>
      <c r="I528" t="s">
        <v>3338</v>
      </c>
      <c r="N528" t="s">
        <v>3424</v>
      </c>
      <c r="O528" t="s">
        <v>3425</v>
      </c>
      <c r="P528">
        <v>41398674</v>
      </c>
    </row>
    <row r="529" spans="1:16">
      <c r="A529" t="s">
        <v>35</v>
      </c>
      <c r="B529">
        <v>1</v>
      </c>
      <c r="E529" t="s">
        <v>3424</v>
      </c>
      <c r="F529" t="s">
        <v>3425</v>
      </c>
      <c r="G529" t="s">
        <v>3426</v>
      </c>
      <c r="I529" t="s">
        <v>3338</v>
      </c>
      <c r="J529" t="s">
        <v>2421</v>
      </c>
      <c r="K529" t="s">
        <v>3354</v>
      </c>
      <c r="L529" t="s">
        <v>3369</v>
      </c>
      <c r="N529" t="s">
        <v>3427</v>
      </c>
      <c r="O529" t="s">
        <v>3428</v>
      </c>
      <c r="P529">
        <v>41398674</v>
      </c>
    </row>
    <row r="530" spans="1:16">
      <c r="A530" t="s">
        <v>35</v>
      </c>
      <c r="B530">
        <v>1</v>
      </c>
      <c r="E530" t="s">
        <v>3424</v>
      </c>
      <c r="F530" t="s">
        <v>3425</v>
      </c>
      <c r="G530" t="s">
        <v>3426</v>
      </c>
      <c r="I530" t="s">
        <v>3338</v>
      </c>
      <c r="J530" t="s">
        <v>2421</v>
      </c>
      <c r="K530" t="s">
        <v>3354</v>
      </c>
      <c r="L530" t="s">
        <v>3369</v>
      </c>
      <c r="N530" t="s">
        <v>3429</v>
      </c>
      <c r="O530" t="s">
        <v>3430</v>
      </c>
      <c r="P530">
        <v>41398674</v>
      </c>
    </row>
    <row r="531" spans="1:16">
      <c r="A531" t="s">
        <v>35</v>
      </c>
      <c r="B531">
        <v>1</v>
      </c>
      <c r="E531" t="s">
        <v>3424</v>
      </c>
      <c r="F531" t="s">
        <v>3425</v>
      </c>
      <c r="G531" t="s">
        <v>3426</v>
      </c>
      <c r="I531" t="s">
        <v>3338</v>
      </c>
      <c r="J531" t="s">
        <v>2232</v>
      </c>
      <c r="K531" t="s">
        <v>2233</v>
      </c>
      <c r="L531" t="s">
        <v>3342</v>
      </c>
      <c r="N531" t="s">
        <v>3431</v>
      </c>
      <c r="O531" t="s">
        <v>3432</v>
      </c>
      <c r="P531">
        <v>41398674</v>
      </c>
    </row>
    <row r="532" spans="1:16">
      <c r="A532" t="s">
        <v>35</v>
      </c>
      <c r="B532">
        <v>0</v>
      </c>
      <c r="G532" t="s">
        <v>3338</v>
      </c>
      <c r="I532" t="s">
        <v>3338</v>
      </c>
      <c r="N532" t="s">
        <v>3433</v>
      </c>
      <c r="O532" t="s">
        <v>3434</v>
      </c>
      <c r="P532">
        <v>41398674</v>
      </c>
    </row>
    <row r="533" spans="1:16">
      <c r="A533" t="s">
        <v>35</v>
      </c>
      <c r="B533">
        <v>1</v>
      </c>
      <c r="E533" t="s">
        <v>3433</v>
      </c>
      <c r="F533" t="s">
        <v>3434</v>
      </c>
      <c r="G533" t="s">
        <v>3435</v>
      </c>
      <c r="I533" t="s">
        <v>3338</v>
      </c>
      <c r="J533" t="s">
        <v>2232</v>
      </c>
      <c r="K533" t="s">
        <v>2233</v>
      </c>
      <c r="L533" t="s">
        <v>3342</v>
      </c>
      <c r="N533" t="s">
        <v>3436</v>
      </c>
      <c r="O533" t="s">
        <v>3437</v>
      </c>
      <c r="P533">
        <v>41398674</v>
      </c>
    </row>
    <row r="534" spans="1:16">
      <c r="A534" t="s">
        <v>35</v>
      </c>
      <c r="B534">
        <v>1</v>
      </c>
      <c r="E534" t="s">
        <v>3433</v>
      </c>
      <c r="F534" t="s">
        <v>3434</v>
      </c>
      <c r="G534" t="s">
        <v>3435</v>
      </c>
      <c r="I534" t="s">
        <v>3338</v>
      </c>
      <c r="J534" t="s">
        <v>2232</v>
      </c>
      <c r="K534" t="s">
        <v>2233</v>
      </c>
      <c r="L534" t="s">
        <v>3342</v>
      </c>
      <c r="N534" t="s">
        <v>3438</v>
      </c>
      <c r="O534" t="s">
        <v>3439</v>
      </c>
      <c r="P534">
        <v>41398674</v>
      </c>
    </row>
    <row r="535" spans="1:16">
      <c r="A535" t="s">
        <v>35</v>
      </c>
      <c r="B535">
        <v>1</v>
      </c>
      <c r="E535" t="s">
        <v>3433</v>
      </c>
      <c r="F535" t="s">
        <v>3434</v>
      </c>
      <c r="G535" t="s">
        <v>3435</v>
      </c>
      <c r="I535" t="s">
        <v>3338</v>
      </c>
      <c r="J535" t="s">
        <v>2232</v>
      </c>
      <c r="K535" t="s">
        <v>2233</v>
      </c>
      <c r="L535" t="s">
        <v>3342</v>
      </c>
      <c r="N535" t="s">
        <v>3440</v>
      </c>
      <c r="O535" t="s">
        <v>3441</v>
      </c>
      <c r="P535">
        <v>41398674</v>
      </c>
    </row>
    <row r="536" spans="1:16">
      <c r="A536" t="s">
        <v>35</v>
      </c>
      <c r="B536">
        <v>1</v>
      </c>
      <c r="E536" t="s">
        <v>3433</v>
      </c>
      <c r="F536" t="s">
        <v>3434</v>
      </c>
      <c r="G536" t="s">
        <v>3435</v>
      </c>
      <c r="I536" t="s">
        <v>3338</v>
      </c>
      <c r="J536" t="s">
        <v>2232</v>
      </c>
      <c r="K536" t="s">
        <v>2233</v>
      </c>
      <c r="L536" t="s">
        <v>3342</v>
      </c>
      <c r="N536" t="s">
        <v>3442</v>
      </c>
      <c r="O536" t="s">
        <v>3443</v>
      </c>
      <c r="P536">
        <v>41398674</v>
      </c>
    </row>
    <row r="537" spans="1:16">
      <c r="A537" t="s">
        <v>35</v>
      </c>
      <c r="B537">
        <v>1</v>
      </c>
      <c r="E537" t="s">
        <v>3433</v>
      </c>
      <c r="F537" t="s">
        <v>3434</v>
      </c>
      <c r="G537" t="s">
        <v>3435</v>
      </c>
      <c r="I537" t="s">
        <v>3338</v>
      </c>
      <c r="J537" t="s">
        <v>2232</v>
      </c>
      <c r="K537" t="s">
        <v>2233</v>
      </c>
      <c r="L537" t="s">
        <v>3342</v>
      </c>
      <c r="N537" t="s">
        <v>3444</v>
      </c>
      <c r="O537" t="s">
        <v>3445</v>
      </c>
      <c r="P537">
        <v>41398674</v>
      </c>
    </row>
    <row r="538" spans="1:16">
      <c r="A538" t="s">
        <v>35</v>
      </c>
      <c r="B538">
        <v>1</v>
      </c>
      <c r="E538" t="s">
        <v>3433</v>
      </c>
      <c r="F538" t="s">
        <v>3434</v>
      </c>
      <c r="G538" t="s">
        <v>3435</v>
      </c>
      <c r="I538" t="s">
        <v>3338</v>
      </c>
      <c r="J538" t="s">
        <v>2232</v>
      </c>
      <c r="K538" t="s">
        <v>2233</v>
      </c>
      <c r="L538" t="s">
        <v>3342</v>
      </c>
      <c r="N538" t="s">
        <v>3446</v>
      </c>
      <c r="O538" t="s">
        <v>3447</v>
      </c>
      <c r="P538">
        <v>41398674</v>
      </c>
    </row>
    <row r="539" spans="1:16">
      <c r="A539" t="s">
        <v>35</v>
      </c>
      <c r="B539">
        <v>0</v>
      </c>
      <c r="G539" t="s">
        <v>3338</v>
      </c>
      <c r="I539" t="s">
        <v>3338</v>
      </c>
      <c r="N539" t="s">
        <v>3448</v>
      </c>
      <c r="O539" t="s">
        <v>3449</v>
      </c>
      <c r="P539">
        <v>41398674</v>
      </c>
    </row>
    <row r="540" spans="1:16">
      <c r="A540" t="s">
        <v>35</v>
      </c>
      <c r="B540">
        <v>1</v>
      </c>
      <c r="E540" t="s">
        <v>3448</v>
      </c>
      <c r="F540" t="s">
        <v>3449</v>
      </c>
      <c r="G540" t="s">
        <v>3450</v>
      </c>
      <c r="I540" t="s">
        <v>3338</v>
      </c>
      <c r="J540" t="s">
        <v>2421</v>
      </c>
      <c r="K540" t="s">
        <v>3354</v>
      </c>
      <c r="L540" t="s">
        <v>3451</v>
      </c>
      <c r="N540" t="s">
        <v>3452</v>
      </c>
      <c r="O540" t="s">
        <v>3453</v>
      </c>
      <c r="P540">
        <v>41398674</v>
      </c>
    </row>
    <row r="541" spans="1:16">
      <c r="A541" t="s">
        <v>35</v>
      </c>
      <c r="B541">
        <v>0</v>
      </c>
      <c r="G541" t="s">
        <v>3456</v>
      </c>
      <c r="I541" t="s">
        <v>3456</v>
      </c>
      <c r="M541" t="s">
        <v>3463</v>
      </c>
      <c r="N541" t="s">
        <v>3458</v>
      </c>
      <c r="O541" t="s">
        <v>3459</v>
      </c>
      <c r="P541">
        <v>41398674</v>
      </c>
    </row>
    <row r="542" spans="1:16">
      <c r="A542" t="s">
        <v>37</v>
      </c>
      <c r="B542">
        <v>0</v>
      </c>
      <c r="G542" t="s">
        <v>3338</v>
      </c>
      <c r="I542" t="s">
        <v>3338</v>
      </c>
      <c r="N542" t="s">
        <v>3339</v>
      </c>
      <c r="O542" t="s">
        <v>3340</v>
      </c>
      <c r="P542">
        <v>41130226</v>
      </c>
    </row>
    <row r="543" spans="1:16">
      <c r="A543" t="s">
        <v>37</v>
      </c>
      <c r="B543">
        <v>1</v>
      </c>
      <c r="E543" t="s">
        <v>3339</v>
      </c>
      <c r="F543" t="s">
        <v>3340</v>
      </c>
      <c r="G543" t="s">
        <v>3341</v>
      </c>
      <c r="I543" t="s">
        <v>3338</v>
      </c>
      <c r="J543" t="s">
        <v>2232</v>
      </c>
      <c r="K543" t="s">
        <v>2233</v>
      </c>
      <c r="L543" t="s">
        <v>3342</v>
      </c>
      <c r="N543" t="s">
        <v>3343</v>
      </c>
      <c r="O543" t="s">
        <v>3344</v>
      </c>
      <c r="P543">
        <v>41130226</v>
      </c>
    </row>
    <row r="544" spans="1:16">
      <c r="A544" t="s">
        <v>37</v>
      </c>
      <c r="B544">
        <v>1</v>
      </c>
      <c r="E544" t="s">
        <v>3339</v>
      </c>
      <c r="F544" t="s">
        <v>3340</v>
      </c>
      <c r="G544" t="s">
        <v>3341</v>
      </c>
      <c r="I544" t="s">
        <v>3338</v>
      </c>
      <c r="J544" t="s">
        <v>2232</v>
      </c>
      <c r="K544" t="s">
        <v>2233</v>
      </c>
      <c r="L544" t="s">
        <v>3342</v>
      </c>
      <c r="N544" t="s">
        <v>3345</v>
      </c>
      <c r="O544" t="s">
        <v>3346</v>
      </c>
      <c r="P544">
        <v>41130226</v>
      </c>
    </row>
    <row r="545" spans="1:16">
      <c r="A545" t="s">
        <v>37</v>
      </c>
      <c r="B545">
        <v>0</v>
      </c>
      <c r="G545" t="s">
        <v>3338</v>
      </c>
      <c r="I545" t="s">
        <v>3338</v>
      </c>
      <c r="N545" t="s">
        <v>3347</v>
      </c>
      <c r="O545" t="s">
        <v>3344</v>
      </c>
      <c r="P545">
        <v>41130226</v>
      </c>
    </row>
    <row r="546" spans="1:16">
      <c r="A546" t="s">
        <v>37</v>
      </c>
      <c r="B546">
        <v>1</v>
      </c>
      <c r="E546" t="s">
        <v>3347</v>
      </c>
      <c r="F546" t="s">
        <v>3344</v>
      </c>
      <c r="G546" t="s">
        <v>3348</v>
      </c>
      <c r="I546" t="s">
        <v>3338</v>
      </c>
      <c r="J546" t="s">
        <v>2232</v>
      </c>
      <c r="K546" t="s">
        <v>2233</v>
      </c>
      <c r="L546" t="s">
        <v>3342</v>
      </c>
      <c r="N546" t="s">
        <v>3349</v>
      </c>
      <c r="O546" t="s">
        <v>3350</v>
      </c>
      <c r="P546">
        <v>41130226</v>
      </c>
    </row>
    <row r="547" spans="1:16">
      <c r="A547" t="s">
        <v>37</v>
      </c>
      <c r="B547">
        <v>1</v>
      </c>
      <c r="E547" t="s">
        <v>3347</v>
      </c>
      <c r="F547" t="s">
        <v>3344</v>
      </c>
      <c r="G547" t="s">
        <v>3348</v>
      </c>
      <c r="I547" t="s">
        <v>3338</v>
      </c>
      <c r="L547" t="s">
        <v>193</v>
      </c>
      <c r="N547" t="s">
        <v>3351</v>
      </c>
      <c r="O547" t="s">
        <v>3352</v>
      </c>
      <c r="P547">
        <v>41130226</v>
      </c>
    </row>
    <row r="548" spans="1:16">
      <c r="A548" t="s">
        <v>37</v>
      </c>
      <c r="B548">
        <v>2</v>
      </c>
      <c r="E548" t="s">
        <v>3351</v>
      </c>
      <c r="F548" t="s">
        <v>3352</v>
      </c>
      <c r="G548" t="s">
        <v>3353</v>
      </c>
      <c r="I548" t="s">
        <v>3338</v>
      </c>
      <c r="J548" t="s">
        <v>2421</v>
      </c>
      <c r="K548" t="s">
        <v>3354</v>
      </c>
      <c r="L548" t="s">
        <v>3355</v>
      </c>
      <c r="N548" t="s">
        <v>3356</v>
      </c>
      <c r="O548" t="s">
        <v>3357</v>
      </c>
      <c r="P548">
        <v>41130226</v>
      </c>
    </row>
    <row r="549" spans="1:16">
      <c r="A549" t="s">
        <v>37</v>
      </c>
      <c r="B549">
        <v>2</v>
      </c>
      <c r="E549" t="s">
        <v>3351</v>
      </c>
      <c r="F549" t="s">
        <v>3352</v>
      </c>
      <c r="G549" t="s">
        <v>3353</v>
      </c>
      <c r="I549" t="s">
        <v>3338</v>
      </c>
      <c r="J549" t="s">
        <v>2421</v>
      </c>
      <c r="K549" t="s">
        <v>3354</v>
      </c>
      <c r="L549" t="s">
        <v>3355</v>
      </c>
      <c r="N549" t="s">
        <v>3358</v>
      </c>
      <c r="O549" t="s">
        <v>3359</v>
      </c>
      <c r="P549">
        <v>41130226</v>
      </c>
    </row>
    <row r="550" spans="1:16">
      <c r="A550" t="s">
        <v>37</v>
      </c>
      <c r="B550">
        <v>2</v>
      </c>
      <c r="E550" t="s">
        <v>3351</v>
      </c>
      <c r="F550" t="s">
        <v>3352</v>
      </c>
      <c r="G550" t="s">
        <v>3353</v>
      </c>
      <c r="I550" t="s">
        <v>3338</v>
      </c>
      <c r="J550" t="s">
        <v>2421</v>
      </c>
      <c r="K550" t="s">
        <v>3354</v>
      </c>
      <c r="L550" t="s">
        <v>3355</v>
      </c>
      <c r="N550" t="s">
        <v>3360</v>
      </c>
      <c r="O550" t="s">
        <v>3361</v>
      </c>
      <c r="P550">
        <v>41130226</v>
      </c>
    </row>
    <row r="551" spans="1:16">
      <c r="A551" t="s">
        <v>37</v>
      </c>
      <c r="B551">
        <v>1</v>
      </c>
      <c r="E551" t="s">
        <v>3347</v>
      </c>
      <c r="F551" t="s">
        <v>3344</v>
      </c>
      <c r="G551" t="s">
        <v>3348</v>
      </c>
      <c r="I551" t="s">
        <v>3338</v>
      </c>
      <c r="J551" t="s">
        <v>2236</v>
      </c>
      <c r="K551" t="s">
        <v>3362</v>
      </c>
      <c r="L551" t="s">
        <v>3363</v>
      </c>
      <c r="N551" t="s">
        <v>3364</v>
      </c>
      <c r="O551" t="s">
        <v>3365</v>
      </c>
      <c r="P551">
        <v>41130226</v>
      </c>
    </row>
    <row r="552" spans="1:16">
      <c r="A552" t="s">
        <v>37</v>
      </c>
      <c r="B552">
        <v>1</v>
      </c>
      <c r="E552" t="s">
        <v>3347</v>
      </c>
      <c r="F552" t="s">
        <v>3344</v>
      </c>
      <c r="G552" t="s">
        <v>3348</v>
      </c>
      <c r="I552" t="s">
        <v>3338</v>
      </c>
      <c r="L552" t="s">
        <v>193</v>
      </c>
      <c r="N552" t="s">
        <v>3366</v>
      </c>
      <c r="O552" t="s">
        <v>3367</v>
      </c>
      <c r="P552">
        <v>41130226</v>
      </c>
    </row>
    <row r="553" spans="1:16">
      <c r="A553" t="s">
        <v>37</v>
      </c>
      <c r="B553">
        <v>2</v>
      </c>
      <c r="E553" t="s">
        <v>3366</v>
      </c>
      <c r="F553" t="s">
        <v>3367</v>
      </c>
      <c r="G553" t="s">
        <v>3368</v>
      </c>
      <c r="I553" t="s">
        <v>3338</v>
      </c>
      <c r="J553" t="s">
        <v>2421</v>
      </c>
      <c r="K553" t="s">
        <v>3354</v>
      </c>
      <c r="L553" t="s">
        <v>3369</v>
      </c>
      <c r="N553" t="s">
        <v>3370</v>
      </c>
      <c r="O553" t="s">
        <v>3359</v>
      </c>
      <c r="P553">
        <v>41130226</v>
      </c>
    </row>
    <row r="554" spans="1:16">
      <c r="A554" t="s">
        <v>37</v>
      </c>
      <c r="B554">
        <v>2</v>
      </c>
      <c r="E554" t="s">
        <v>3366</v>
      </c>
      <c r="F554" t="s">
        <v>3367</v>
      </c>
      <c r="G554" t="s">
        <v>3368</v>
      </c>
      <c r="I554" t="s">
        <v>3338</v>
      </c>
      <c r="J554" t="s">
        <v>2421</v>
      </c>
      <c r="K554" t="s">
        <v>3354</v>
      </c>
      <c r="L554" t="s">
        <v>3369</v>
      </c>
      <c r="N554" t="s">
        <v>3371</v>
      </c>
      <c r="O554" t="s">
        <v>3372</v>
      </c>
      <c r="P554">
        <v>41130226</v>
      </c>
    </row>
    <row r="555" spans="1:16">
      <c r="A555" t="s">
        <v>37</v>
      </c>
      <c r="B555">
        <v>2</v>
      </c>
      <c r="E555" t="s">
        <v>3366</v>
      </c>
      <c r="F555" t="s">
        <v>3367</v>
      </c>
      <c r="G555" t="s">
        <v>3368</v>
      </c>
      <c r="I555" t="s">
        <v>3338</v>
      </c>
      <c r="J555" t="s">
        <v>2421</v>
      </c>
      <c r="K555" t="s">
        <v>3354</v>
      </c>
      <c r="L555" t="s">
        <v>3369</v>
      </c>
      <c r="N555" t="s">
        <v>3373</v>
      </c>
      <c r="O555" t="s">
        <v>3374</v>
      </c>
      <c r="P555">
        <v>41130226</v>
      </c>
    </row>
    <row r="556" spans="1:16">
      <c r="A556" t="s">
        <v>37</v>
      </c>
      <c r="B556">
        <v>2</v>
      </c>
      <c r="E556" t="s">
        <v>3366</v>
      </c>
      <c r="F556" t="s">
        <v>3367</v>
      </c>
      <c r="G556" t="s">
        <v>3368</v>
      </c>
      <c r="I556" t="s">
        <v>3338</v>
      </c>
      <c r="J556" t="s">
        <v>2236</v>
      </c>
      <c r="K556" t="s">
        <v>3362</v>
      </c>
      <c r="L556" t="s">
        <v>3363</v>
      </c>
      <c r="N556" t="s">
        <v>3375</v>
      </c>
      <c r="O556" t="s">
        <v>3376</v>
      </c>
      <c r="P556">
        <v>41130226</v>
      </c>
    </row>
    <row r="557" spans="1:16">
      <c r="A557" t="s">
        <v>37</v>
      </c>
      <c r="B557">
        <v>0</v>
      </c>
      <c r="G557" t="s">
        <v>3338</v>
      </c>
      <c r="I557" t="s">
        <v>3338</v>
      </c>
      <c r="N557" t="s">
        <v>3377</v>
      </c>
      <c r="O557" t="s">
        <v>3346</v>
      </c>
      <c r="P557">
        <v>41130226</v>
      </c>
    </row>
    <row r="558" spans="1:16">
      <c r="A558" t="s">
        <v>37</v>
      </c>
      <c r="B558">
        <v>1</v>
      </c>
      <c r="E558" t="s">
        <v>3377</v>
      </c>
      <c r="F558" t="s">
        <v>3346</v>
      </c>
      <c r="G558" t="s">
        <v>3378</v>
      </c>
      <c r="I558" t="s">
        <v>3338</v>
      </c>
      <c r="L558" t="s">
        <v>193</v>
      </c>
      <c r="N558" t="s">
        <v>3379</v>
      </c>
      <c r="O558" t="s">
        <v>3380</v>
      </c>
      <c r="P558">
        <v>41130226</v>
      </c>
    </row>
    <row r="559" spans="1:16">
      <c r="A559" t="s">
        <v>37</v>
      </c>
      <c r="B559">
        <v>2</v>
      </c>
      <c r="E559" t="s">
        <v>3379</v>
      </c>
      <c r="F559" t="s">
        <v>3380</v>
      </c>
      <c r="G559" t="s">
        <v>3381</v>
      </c>
      <c r="I559" t="s">
        <v>3338</v>
      </c>
      <c r="J559" t="s">
        <v>2421</v>
      </c>
      <c r="K559" t="s">
        <v>3354</v>
      </c>
      <c r="L559" t="s">
        <v>3369</v>
      </c>
      <c r="N559" t="s">
        <v>3382</v>
      </c>
      <c r="O559" t="s">
        <v>3352</v>
      </c>
      <c r="P559">
        <v>41130226</v>
      </c>
    </row>
    <row r="560" spans="1:16">
      <c r="A560" t="s">
        <v>37</v>
      </c>
      <c r="B560">
        <v>2</v>
      </c>
      <c r="E560" t="s">
        <v>3379</v>
      </c>
      <c r="F560" t="s">
        <v>3380</v>
      </c>
      <c r="G560" t="s">
        <v>3381</v>
      </c>
      <c r="I560" t="s">
        <v>3338</v>
      </c>
      <c r="L560" t="s">
        <v>3383</v>
      </c>
      <c r="N560" t="s">
        <v>3384</v>
      </c>
      <c r="O560" t="s">
        <v>3385</v>
      </c>
      <c r="P560">
        <v>41130226</v>
      </c>
    </row>
    <row r="561" spans="1:16">
      <c r="A561" t="s">
        <v>37</v>
      </c>
      <c r="B561">
        <v>2</v>
      </c>
      <c r="E561" t="s">
        <v>3379</v>
      </c>
      <c r="F561" t="s">
        <v>3380</v>
      </c>
      <c r="G561" t="s">
        <v>3381</v>
      </c>
      <c r="I561" t="s">
        <v>3338</v>
      </c>
      <c r="J561" t="s">
        <v>2232</v>
      </c>
      <c r="K561" t="s">
        <v>2233</v>
      </c>
      <c r="L561" t="s">
        <v>3342</v>
      </c>
      <c r="N561" t="s">
        <v>3386</v>
      </c>
      <c r="O561" t="s">
        <v>3350</v>
      </c>
      <c r="P561">
        <v>41130226</v>
      </c>
    </row>
    <row r="562" spans="1:16">
      <c r="A562" t="s">
        <v>37</v>
      </c>
      <c r="B562">
        <v>1</v>
      </c>
      <c r="E562" t="s">
        <v>3377</v>
      </c>
      <c r="F562" t="s">
        <v>3346</v>
      </c>
      <c r="G562" t="s">
        <v>3378</v>
      </c>
      <c r="I562" t="s">
        <v>3338</v>
      </c>
      <c r="L562" t="s">
        <v>193</v>
      </c>
      <c r="N562" t="s">
        <v>3387</v>
      </c>
      <c r="O562" t="s">
        <v>3388</v>
      </c>
      <c r="P562">
        <v>41130226</v>
      </c>
    </row>
    <row r="563" spans="1:16">
      <c r="A563" t="s">
        <v>37</v>
      </c>
      <c r="B563">
        <v>2</v>
      </c>
      <c r="E563" t="s">
        <v>3387</v>
      </c>
      <c r="F563" t="s">
        <v>3388</v>
      </c>
      <c r="G563" t="s">
        <v>3389</v>
      </c>
      <c r="I563" t="s">
        <v>3338</v>
      </c>
      <c r="L563" t="s">
        <v>3369</v>
      </c>
      <c r="N563" t="s">
        <v>3390</v>
      </c>
      <c r="O563" t="s">
        <v>3352</v>
      </c>
      <c r="P563">
        <v>41130226</v>
      </c>
    </row>
    <row r="564" spans="1:16">
      <c r="A564" t="s">
        <v>37</v>
      </c>
      <c r="B564">
        <v>2</v>
      </c>
      <c r="E564" t="s">
        <v>3387</v>
      </c>
      <c r="F564" t="s">
        <v>3388</v>
      </c>
      <c r="G564" t="s">
        <v>3389</v>
      </c>
      <c r="I564" t="s">
        <v>3338</v>
      </c>
      <c r="L564" t="s">
        <v>3342</v>
      </c>
      <c r="N564" t="s">
        <v>3391</v>
      </c>
      <c r="O564" t="s">
        <v>3392</v>
      </c>
      <c r="P564">
        <v>41130226</v>
      </c>
    </row>
    <row r="565" spans="1:16">
      <c r="A565" t="s">
        <v>37</v>
      </c>
      <c r="B565">
        <v>2</v>
      </c>
      <c r="E565" t="s">
        <v>3387</v>
      </c>
      <c r="F565" t="s">
        <v>3388</v>
      </c>
      <c r="G565" t="s">
        <v>3389</v>
      </c>
      <c r="I565" t="s">
        <v>3338</v>
      </c>
      <c r="L565" t="s">
        <v>3383</v>
      </c>
      <c r="N565" t="s">
        <v>3393</v>
      </c>
      <c r="O565" t="s">
        <v>3385</v>
      </c>
      <c r="P565">
        <v>41130226</v>
      </c>
    </row>
    <row r="566" spans="1:16">
      <c r="A566" t="s">
        <v>37</v>
      </c>
      <c r="B566">
        <v>2</v>
      </c>
      <c r="E566" t="s">
        <v>3387</v>
      </c>
      <c r="F566" t="s">
        <v>3388</v>
      </c>
      <c r="G566" t="s">
        <v>3389</v>
      </c>
      <c r="I566" t="s">
        <v>3338</v>
      </c>
      <c r="L566" t="s">
        <v>3342</v>
      </c>
      <c r="N566" t="s">
        <v>3394</v>
      </c>
      <c r="O566" t="s">
        <v>3350</v>
      </c>
      <c r="P566">
        <v>41130226</v>
      </c>
    </row>
    <row r="567" spans="1:16">
      <c r="A567" t="s">
        <v>37</v>
      </c>
      <c r="B567">
        <v>0</v>
      </c>
      <c r="G567" t="s">
        <v>3338</v>
      </c>
      <c r="I567" t="s">
        <v>3338</v>
      </c>
      <c r="N567" t="s">
        <v>3395</v>
      </c>
      <c r="O567" t="s">
        <v>3396</v>
      </c>
      <c r="P567">
        <v>41130226</v>
      </c>
    </row>
    <row r="568" spans="1:16">
      <c r="A568" t="s">
        <v>37</v>
      </c>
      <c r="B568">
        <v>1</v>
      </c>
      <c r="E568" t="s">
        <v>3395</v>
      </c>
      <c r="F568" t="s">
        <v>3396</v>
      </c>
      <c r="G568" t="s">
        <v>3397</v>
      </c>
      <c r="I568" t="s">
        <v>3338</v>
      </c>
      <c r="L568" t="s">
        <v>3342</v>
      </c>
      <c r="N568" t="s">
        <v>3398</v>
      </c>
      <c r="O568" t="s">
        <v>3399</v>
      </c>
      <c r="P568">
        <v>41130226</v>
      </c>
    </row>
    <row r="569" spans="1:16">
      <c r="A569" t="s">
        <v>37</v>
      </c>
      <c r="B569">
        <v>1</v>
      </c>
      <c r="E569" t="s">
        <v>3395</v>
      </c>
      <c r="F569" t="s">
        <v>3396</v>
      </c>
      <c r="G569" t="s">
        <v>3397</v>
      </c>
      <c r="I569" t="s">
        <v>3338</v>
      </c>
      <c r="J569" t="s">
        <v>2232</v>
      </c>
      <c r="K569" t="s">
        <v>2233</v>
      </c>
      <c r="L569" t="s">
        <v>3342</v>
      </c>
      <c r="N569" t="s">
        <v>3400</v>
      </c>
      <c r="O569" t="s">
        <v>3401</v>
      </c>
      <c r="P569">
        <v>41130226</v>
      </c>
    </row>
    <row r="570" spans="1:16">
      <c r="A570" t="s">
        <v>37</v>
      </c>
      <c r="B570">
        <v>1</v>
      </c>
      <c r="E570" t="s">
        <v>3395</v>
      </c>
      <c r="F570" t="s">
        <v>3396</v>
      </c>
      <c r="G570" t="s">
        <v>3397</v>
      </c>
      <c r="I570" t="s">
        <v>3338</v>
      </c>
      <c r="L570" t="s">
        <v>3342</v>
      </c>
      <c r="N570" t="s">
        <v>3402</v>
      </c>
      <c r="O570" t="s">
        <v>3403</v>
      </c>
      <c r="P570">
        <v>41130226</v>
      </c>
    </row>
    <row r="571" spans="1:16">
      <c r="A571" t="s">
        <v>37</v>
      </c>
      <c r="B571">
        <v>1</v>
      </c>
      <c r="E571" t="s">
        <v>3395</v>
      </c>
      <c r="F571" t="s">
        <v>3396</v>
      </c>
      <c r="G571" t="s">
        <v>3397</v>
      </c>
      <c r="I571" t="s">
        <v>3338</v>
      </c>
      <c r="J571" t="s">
        <v>2232</v>
      </c>
      <c r="K571" t="s">
        <v>2233</v>
      </c>
      <c r="L571" t="s">
        <v>3342</v>
      </c>
      <c r="N571" t="s">
        <v>3404</v>
      </c>
      <c r="O571" t="s">
        <v>3405</v>
      </c>
      <c r="P571">
        <v>41130226</v>
      </c>
    </row>
    <row r="572" spans="1:16">
      <c r="A572" t="s">
        <v>37</v>
      </c>
      <c r="B572">
        <v>0</v>
      </c>
      <c r="G572" t="s">
        <v>3338</v>
      </c>
      <c r="I572" t="s">
        <v>3338</v>
      </c>
      <c r="N572" t="s">
        <v>3406</v>
      </c>
      <c r="O572" t="s">
        <v>3407</v>
      </c>
      <c r="P572">
        <v>41130226</v>
      </c>
    </row>
    <row r="573" spans="1:16">
      <c r="A573" t="s">
        <v>37</v>
      </c>
      <c r="B573">
        <v>1</v>
      </c>
      <c r="E573" t="s">
        <v>3406</v>
      </c>
      <c r="F573" t="s">
        <v>3407</v>
      </c>
      <c r="G573" t="s">
        <v>3408</v>
      </c>
      <c r="I573" t="s">
        <v>3338</v>
      </c>
      <c r="J573" t="s">
        <v>2421</v>
      </c>
      <c r="K573" t="s">
        <v>3354</v>
      </c>
      <c r="L573" t="s">
        <v>3369</v>
      </c>
      <c r="N573" t="s">
        <v>3409</v>
      </c>
      <c r="O573" t="s">
        <v>3410</v>
      </c>
      <c r="P573">
        <v>41130226</v>
      </c>
    </row>
    <row r="574" spans="1:16">
      <c r="A574" t="s">
        <v>37</v>
      </c>
      <c r="B574">
        <v>1</v>
      </c>
      <c r="E574" t="s">
        <v>3406</v>
      </c>
      <c r="F574" t="s">
        <v>3407</v>
      </c>
      <c r="G574" t="s">
        <v>3408</v>
      </c>
      <c r="I574" t="s">
        <v>3338</v>
      </c>
      <c r="L574" t="s">
        <v>193</v>
      </c>
      <c r="N574" t="s">
        <v>3411</v>
      </c>
      <c r="O574" t="s">
        <v>3412</v>
      </c>
      <c r="P574">
        <v>41130226</v>
      </c>
    </row>
    <row r="575" spans="1:16">
      <c r="A575" t="s">
        <v>37</v>
      </c>
      <c r="B575">
        <v>2</v>
      </c>
      <c r="E575" t="s">
        <v>3411</v>
      </c>
      <c r="F575" t="s">
        <v>3412</v>
      </c>
      <c r="G575" t="s">
        <v>3413</v>
      </c>
      <c r="I575" t="s">
        <v>3338</v>
      </c>
      <c r="L575" t="s">
        <v>3342</v>
      </c>
      <c r="N575" t="s">
        <v>3414</v>
      </c>
      <c r="O575" t="s">
        <v>3415</v>
      </c>
      <c r="P575">
        <v>41130226</v>
      </c>
    </row>
    <row r="576" spans="1:16">
      <c r="A576" t="s">
        <v>37</v>
      </c>
      <c r="B576">
        <v>2</v>
      </c>
      <c r="E576" t="s">
        <v>3411</v>
      </c>
      <c r="F576" t="s">
        <v>3412</v>
      </c>
      <c r="G576" t="s">
        <v>3413</v>
      </c>
      <c r="I576" t="s">
        <v>3338</v>
      </c>
      <c r="J576" t="s">
        <v>2232</v>
      </c>
      <c r="K576" t="s">
        <v>2233</v>
      </c>
      <c r="L576" t="s">
        <v>3342</v>
      </c>
      <c r="N576" t="s">
        <v>3416</v>
      </c>
      <c r="O576" t="s">
        <v>3417</v>
      </c>
      <c r="P576">
        <v>41130226</v>
      </c>
    </row>
    <row r="577" spans="1:16">
      <c r="A577" t="s">
        <v>37</v>
      </c>
      <c r="B577">
        <v>2</v>
      </c>
      <c r="E577" t="s">
        <v>3411</v>
      </c>
      <c r="F577" t="s">
        <v>3412</v>
      </c>
      <c r="G577" t="s">
        <v>3413</v>
      </c>
      <c r="I577" t="s">
        <v>3338</v>
      </c>
      <c r="J577" t="s">
        <v>2232</v>
      </c>
      <c r="K577" t="s">
        <v>2233</v>
      </c>
      <c r="L577" t="s">
        <v>3342</v>
      </c>
      <c r="N577" t="s">
        <v>3418</v>
      </c>
      <c r="O577" t="s">
        <v>3419</v>
      </c>
      <c r="P577">
        <v>41130226</v>
      </c>
    </row>
    <row r="578" spans="1:16">
      <c r="A578" t="s">
        <v>37</v>
      </c>
      <c r="B578">
        <v>2</v>
      </c>
      <c r="E578" t="s">
        <v>3411</v>
      </c>
      <c r="F578" t="s">
        <v>3412</v>
      </c>
      <c r="G578" t="s">
        <v>3413</v>
      </c>
      <c r="I578" t="s">
        <v>3338</v>
      </c>
      <c r="L578" t="s">
        <v>3342</v>
      </c>
      <c r="N578" t="s">
        <v>3420</v>
      </c>
      <c r="O578" t="s">
        <v>3421</v>
      </c>
      <c r="P578">
        <v>41130226</v>
      </c>
    </row>
    <row r="579" spans="1:16">
      <c r="A579" t="s">
        <v>37</v>
      </c>
      <c r="B579">
        <v>2</v>
      </c>
      <c r="E579" t="s">
        <v>3411</v>
      </c>
      <c r="F579" t="s">
        <v>3412</v>
      </c>
      <c r="G579" t="s">
        <v>3413</v>
      </c>
      <c r="I579" t="s">
        <v>3338</v>
      </c>
      <c r="J579" t="s">
        <v>2232</v>
      </c>
      <c r="K579" t="s">
        <v>2233</v>
      </c>
      <c r="L579" t="s">
        <v>3342</v>
      </c>
      <c r="N579" t="s">
        <v>3422</v>
      </c>
      <c r="O579" t="s">
        <v>3423</v>
      </c>
      <c r="P579">
        <v>41130226</v>
      </c>
    </row>
    <row r="580" spans="1:16">
      <c r="A580" t="s">
        <v>37</v>
      </c>
      <c r="B580">
        <v>0</v>
      </c>
      <c r="G580" t="s">
        <v>3338</v>
      </c>
      <c r="I580" t="s">
        <v>3338</v>
      </c>
      <c r="N580" t="s">
        <v>3424</v>
      </c>
      <c r="O580" t="s">
        <v>3425</v>
      </c>
      <c r="P580">
        <v>41130226</v>
      </c>
    </row>
    <row r="581" spans="1:16">
      <c r="A581" t="s">
        <v>37</v>
      </c>
      <c r="B581">
        <v>1</v>
      </c>
      <c r="E581" t="s">
        <v>3424</v>
      </c>
      <c r="F581" t="s">
        <v>3425</v>
      </c>
      <c r="G581" t="s">
        <v>3426</v>
      </c>
      <c r="I581" t="s">
        <v>3338</v>
      </c>
      <c r="J581" t="s">
        <v>2421</v>
      </c>
      <c r="K581" t="s">
        <v>3354</v>
      </c>
      <c r="L581" t="s">
        <v>3369</v>
      </c>
      <c r="N581" t="s">
        <v>3427</v>
      </c>
      <c r="O581" t="s">
        <v>3428</v>
      </c>
      <c r="P581">
        <v>41130226</v>
      </c>
    </row>
    <row r="582" spans="1:16">
      <c r="A582" t="s">
        <v>37</v>
      </c>
      <c r="B582">
        <v>1</v>
      </c>
      <c r="E582" t="s">
        <v>3424</v>
      </c>
      <c r="F582" t="s">
        <v>3425</v>
      </c>
      <c r="G582" t="s">
        <v>3426</v>
      </c>
      <c r="I582" t="s">
        <v>3338</v>
      </c>
      <c r="J582" t="s">
        <v>2421</v>
      </c>
      <c r="K582" t="s">
        <v>3354</v>
      </c>
      <c r="L582" t="s">
        <v>3369</v>
      </c>
      <c r="N582" t="s">
        <v>3429</v>
      </c>
      <c r="O582" t="s">
        <v>3430</v>
      </c>
      <c r="P582">
        <v>41130226</v>
      </c>
    </row>
    <row r="583" spans="1:16">
      <c r="A583" t="s">
        <v>37</v>
      </c>
      <c r="B583">
        <v>1</v>
      </c>
      <c r="E583" t="s">
        <v>3424</v>
      </c>
      <c r="F583" t="s">
        <v>3425</v>
      </c>
      <c r="G583" t="s">
        <v>3426</v>
      </c>
      <c r="I583" t="s">
        <v>3338</v>
      </c>
      <c r="J583" t="s">
        <v>2232</v>
      </c>
      <c r="K583" t="s">
        <v>2233</v>
      </c>
      <c r="L583" t="s">
        <v>3342</v>
      </c>
      <c r="N583" t="s">
        <v>3431</v>
      </c>
      <c r="O583" t="s">
        <v>3432</v>
      </c>
      <c r="P583">
        <v>41130226</v>
      </c>
    </row>
    <row r="584" spans="1:16">
      <c r="A584" t="s">
        <v>37</v>
      </c>
      <c r="B584">
        <v>0</v>
      </c>
      <c r="G584" t="s">
        <v>3338</v>
      </c>
      <c r="I584" t="s">
        <v>3338</v>
      </c>
      <c r="N584" t="s">
        <v>3433</v>
      </c>
      <c r="O584" t="s">
        <v>3434</v>
      </c>
      <c r="P584">
        <v>41130226</v>
      </c>
    </row>
    <row r="585" spans="1:16">
      <c r="A585" t="s">
        <v>37</v>
      </c>
      <c r="B585">
        <v>1</v>
      </c>
      <c r="E585" t="s">
        <v>3433</v>
      </c>
      <c r="F585" t="s">
        <v>3434</v>
      </c>
      <c r="G585" t="s">
        <v>3435</v>
      </c>
      <c r="I585" t="s">
        <v>3338</v>
      </c>
      <c r="J585" t="s">
        <v>2232</v>
      </c>
      <c r="K585" t="s">
        <v>2233</v>
      </c>
      <c r="L585" t="s">
        <v>3342</v>
      </c>
      <c r="N585" t="s">
        <v>3436</v>
      </c>
      <c r="O585" t="s">
        <v>3437</v>
      </c>
      <c r="P585">
        <v>41130226</v>
      </c>
    </row>
    <row r="586" spans="1:16">
      <c r="A586" t="s">
        <v>37</v>
      </c>
      <c r="B586">
        <v>1</v>
      </c>
      <c r="E586" t="s">
        <v>3433</v>
      </c>
      <c r="F586" t="s">
        <v>3434</v>
      </c>
      <c r="G586" t="s">
        <v>3435</v>
      </c>
      <c r="I586" t="s">
        <v>3338</v>
      </c>
      <c r="J586" t="s">
        <v>2232</v>
      </c>
      <c r="K586" t="s">
        <v>2233</v>
      </c>
      <c r="L586" t="s">
        <v>3342</v>
      </c>
      <c r="N586" t="s">
        <v>3438</v>
      </c>
      <c r="O586" t="s">
        <v>3439</v>
      </c>
      <c r="P586">
        <v>41130226</v>
      </c>
    </row>
    <row r="587" spans="1:16">
      <c r="A587" t="s">
        <v>37</v>
      </c>
      <c r="B587">
        <v>1</v>
      </c>
      <c r="E587" t="s">
        <v>3433</v>
      </c>
      <c r="F587" t="s">
        <v>3434</v>
      </c>
      <c r="G587" t="s">
        <v>3435</v>
      </c>
      <c r="I587" t="s">
        <v>3338</v>
      </c>
      <c r="J587" t="s">
        <v>2232</v>
      </c>
      <c r="K587" t="s">
        <v>2233</v>
      </c>
      <c r="L587" t="s">
        <v>3342</v>
      </c>
      <c r="N587" t="s">
        <v>3440</v>
      </c>
      <c r="O587" t="s">
        <v>3441</v>
      </c>
      <c r="P587">
        <v>41130226</v>
      </c>
    </row>
    <row r="588" spans="1:16">
      <c r="A588" t="s">
        <v>37</v>
      </c>
      <c r="B588">
        <v>1</v>
      </c>
      <c r="E588" t="s">
        <v>3433</v>
      </c>
      <c r="F588" t="s">
        <v>3434</v>
      </c>
      <c r="G588" t="s">
        <v>3435</v>
      </c>
      <c r="I588" t="s">
        <v>3338</v>
      </c>
      <c r="J588" t="s">
        <v>2232</v>
      </c>
      <c r="K588" t="s">
        <v>2233</v>
      </c>
      <c r="L588" t="s">
        <v>3342</v>
      </c>
      <c r="N588" t="s">
        <v>3442</v>
      </c>
      <c r="O588" t="s">
        <v>3443</v>
      </c>
      <c r="P588">
        <v>41130226</v>
      </c>
    </row>
    <row r="589" spans="1:16">
      <c r="A589" t="s">
        <v>37</v>
      </c>
      <c r="B589">
        <v>1</v>
      </c>
      <c r="E589" t="s">
        <v>3433</v>
      </c>
      <c r="F589" t="s">
        <v>3434</v>
      </c>
      <c r="G589" t="s">
        <v>3435</v>
      </c>
      <c r="I589" t="s">
        <v>3338</v>
      </c>
      <c r="J589" t="s">
        <v>2232</v>
      </c>
      <c r="K589" t="s">
        <v>2233</v>
      </c>
      <c r="L589" t="s">
        <v>3342</v>
      </c>
      <c r="N589" t="s">
        <v>3444</v>
      </c>
      <c r="O589" t="s">
        <v>3445</v>
      </c>
      <c r="P589">
        <v>41130226</v>
      </c>
    </row>
    <row r="590" spans="1:16">
      <c r="A590" t="s">
        <v>37</v>
      </c>
      <c r="B590">
        <v>1</v>
      </c>
      <c r="E590" t="s">
        <v>3433</v>
      </c>
      <c r="F590" t="s">
        <v>3434</v>
      </c>
      <c r="G590" t="s">
        <v>3435</v>
      </c>
      <c r="I590" t="s">
        <v>3338</v>
      </c>
      <c r="J590" t="s">
        <v>2232</v>
      </c>
      <c r="K590" t="s">
        <v>2233</v>
      </c>
      <c r="L590" t="s">
        <v>3342</v>
      </c>
      <c r="N590" t="s">
        <v>3446</v>
      </c>
      <c r="O590" t="s">
        <v>3447</v>
      </c>
      <c r="P590">
        <v>41130226</v>
      </c>
    </row>
    <row r="591" spans="1:16">
      <c r="A591" t="s">
        <v>37</v>
      </c>
      <c r="B591">
        <v>0</v>
      </c>
      <c r="G591" t="s">
        <v>3338</v>
      </c>
      <c r="I591" t="s">
        <v>3338</v>
      </c>
      <c r="N591" t="s">
        <v>3448</v>
      </c>
      <c r="O591" t="s">
        <v>3449</v>
      </c>
      <c r="P591">
        <v>41130226</v>
      </c>
    </row>
    <row r="592" spans="1:16">
      <c r="A592" t="s">
        <v>37</v>
      </c>
      <c r="B592">
        <v>1</v>
      </c>
      <c r="E592" t="s">
        <v>3448</v>
      </c>
      <c r="F592" t="s">
        <v>3449</v>
      </c>
      <c r="G592" t="s">
        <v>3450</v>
      </c>
      <c r="I592" t="s">
        <v>3338</v>
      </c>
      <c r="J592" t="s">
        <v>2421</v>
      </c>
      <c r="K592" t="s">
        <v>3354</v>
      </c>
      <c r="L592" t="s">
        <v>3451</v>
      </c>
      <c r="N592" t="s">
        <v>3452</v>
      </c>
      <c r="O592" t="s">
        <v>3453</v>
      </c>
      <c r="P592">
        <v>41130226</v>
      </c>
    </row>
    <row r="593" spans="1:16">
      <c r="A593" t="s">
        <v>39</v>
      </c>
      <c r="B593">
        <v>0</v>
      </c>
      <c r="G593" t="s">
        <v>3338</v>
      </c>
      <c r="I593" t="s">
        <v>3338</v>
      </c>
      <c r="N593" t="s">
        <v>3339</v>
      </c>
      <c r="O593" t="s">
        <v>3340</v>
      </c>
      <c r="P593">
        <v>40988766</v>
      </c>
    </row>
    <row r="594" spans="1:16">
      <c r="A594" t="s">
        <v>39</v>
      </c>
      <c r="B594">
        <v>1</v>
      </c>
      <c r="E594" t="s">
        <v>3339</v>
      </c>
      <c r="F594" t="s">
        <v>3340</v>
      </c>
      <c r="G594" t="s">
        <v>3341</v>
      </c>
      <c r="I594" t="s">
        <v>3338</v>
      </c>
      <c r="J594" t="s">
        <v>2232</v>
      </c>
      <c r="K594" t="s">
        <v>2233</v>
      </c>
      <c r="L594" t="s">
        <v>3342</v>
      </c>
      <c r="N594" t="s">
        <v>3343</v>
      </c>
      <c r="O594" t="s">
        <v>3344</v>
      </c>
      <c r="P594">
        <v>40988766</v>
      </c>
    </row>
    <row r="595" spans="1:16">
      <c r="A595" t="s">
        <v>39</v>
      </c>
      <c r="B595">
        <v>1</v>
      </c>
      <c r="E595" t="s">
        <v>3339</v>
      </c>
      <c r="F595" t="s">
        <v>3340</v>
      </c>
      <c r="G595" t="s">
        <v>3341</v>
      </c>
      <c r="I595" t="s">
        <v>3338</v>
      </c>
      <c r="J595" t="s">
        <v>2232</v>
      </c>
      <c r="K595" t="s">
        <v>2233</v>
      </c>
      <c r="L595" t="s">
        <v>3342</v>
      </c>
      <c r="N595" t="s">
        <v>3345</v>
      </c>
      <c r="O595" t="s">
        <v>3346</v>
      </c>
      <c r="P595">
        <v>40988766</v>
      </c>
    </row>
    <row r="596" spans="1:16">
      <c r="A596" t="s">
        <v>39</v>
      </c>
      <c r="B596">
        <v>0</v>
      </c>
      <c r="G596" t="s">
        <v>3338</v>
      </c>
      <c r="I596" t="s">
        <v>3338</v>
      </c>
      <c r="N596" t="s">
        <v>3347</v>
      </c>
      <c r="O596" t="s">
        <v>3344</v>
      </c>
      <c r="P596">
        <v>40988766</v>
      </c>
    </row>
    <row r="597" spans="1:16">
      <c r="A597" t="s">
        <v>39</v>
      </c>
      <c r="B597">
        <v>1</v>
      </c>
      <c r="E597" t="s">
        <v>3347</v>
      </c>
      <c r="F597" t="s">
        <v>3344</v>
      </c>
      <c r="G597" t="s">
        <v>3348</v>
      </c>
      <c r="I597" t="s">
        <v>3338</v>
      </c>
      <c r="J597" t="s">
        <v>2232</v>
      </c>
      <c r="K597" t="s">
        <v>2233</v>
      </c>
      <c r="L597" t="s">
        <v>3342</v>
      </c>
      <c r="N597" t="s">
        <v>3349</v>
      </c>
      <c r="O597" t="s">
        <v>3350</v>
      </c>
      <c r="P597">
        <v>40988766</v>
      </c>
    </row>
    <row r="598" spans="1:16">
      <c r="A598" t="s">
        <v>39</v>
      </c>
      <c r="B598">
        <v>1</v>
      </c>
      <c r="E598" t="s">
        <v>3347</v>
      </c>
      <c r="F598" t="s">
        <v>3344</v>
      </c>
      <c r="G598" t="s">
        <v>3348</v>
      </c>
      <c r="I598" t="s">
        <v>3338</v>
      </c>
      <c r="L598" t="s">
        <v>193</v>
      </c>
      <c r="N598" t="s">
        <v>3351</v>
      </c>
      <c r="O598" t="s">
        <v>3352</v>
      </c>
      <c r="P598">
        <v>40988766</v>
      </c>
    </row>
    <row r="599" spans="1:16">
      <c r="A599" t="s">
        <v>39</v>
      </c>
      <c r="B599">
        <v>2</v>
      </c>
      <c r="E599" t="s">
        <v>3351</v>
      </c>
      <c r="F599" t="s">
        <v>3352</v>
      </c>
      <c r="G599" t="s">
        <v>3353</v>
      </c>
      <c r="I599" t="s">
        <v>3338</v>
      </c>
      <c r="J599" t="s">
        <v>2421</v>
      </c>
      <c r="K599" t="s">
        <v>3354</v>
      </c>
      <c r="L599" t="s">
        <v>3355</v>
      </c>
      <c r="N599" t="s">
        <v>3356</v>
      </c>
      <c r="O599" t="s">
        <v>3357</v>
      </c>
      <c r="P599">
        <v>40988766</v>
      </c>
    </row>
    <row r="600" spans="1:16">
      <c r="A600" t="s">
        <v>39</v>
      </c>
      <c r="B600">
        <v>2</v>
      </c>
      <c r="E600" t="s">
        <v>3351</v>
      </c>
      <c r="F600" t="s">
        <v>3352</v>
      </c>
      <c r="G600" t="s">
        <v>3353</v>
      </c>
      <c r="I600" t="s">
        <v>3338</v>
      </c>
      <c r="J600" t="s">
        <v>3468</v>
      </c>
      <c r="K600" t="s">
        <v>3469</v>
      </c>
      <c r="L600" t="s">
        <v>3355</v>
      </c>
      <c r="N600" t="s">
        <v>3358</v>
      </c>
      <c r="O600" t="s">
        <v>3359</v>
      </c>
      <c r="P600">
        <v>40988766</v>
      </c>
    </row>
    <row r="601" spans="1:16">
      <c r="A601" t="s">
        <v>39</v>
      </c>
      <c r="B601">
        <v>2</v>
      </c>
      <c r="E601" t="s">
        <v>3351</v>
      </c>
      <c r="F601" t="s">
        <v>3352</v>
      </c>
      <c r="G601" t="s">
        <v>3353</v>
      </c>
      <c r="I601" t="s">
        <v>3338</v>
      </c>
      <c r="J601" t="s">
        <v>3468</v>
      </c>
      <c r="K601" t="s">
        <v>3469</v>
      </c>
      <c r="L601" t="s">
        <v>3355</v>
      </c>
      <c r="N601" t="s">
        <v>3360</v>
      </c>
      <c r="O601" t="s">
        <v>3361</v>
      </c>
      <c r="P601">
        <v>40988766</v>
      </c>
    </row>
    <row r="602" spans="1:16">
      <c r="A602" t="s">
        <v>39</v>
      </c>
      <c r="B602">
        <v>1</v>
      </c>
      <c r="E602" t="s">
        <v>3347</v>
      </c>
      <c r="F602" t="s">
        <v>3344</v>
      </c>
      <c r="G602" t="s">
        <v>3348</v>
      </c>
      <c r="I602" t="s">
        <v>3338</v>
      </c>
      <c r="J602" t="s">
        <v>2236</v>
      </c>
      <c r="K602" t="s">
        <v>3362</v>
      </c>
      <c r="L602" t="s">
        <v>3363</v>
      </c>
      <c r="N602" t="s">
        <v>3364</v>
      </c>
      <c r="O602" t="s">
        <v>3365</v>
      </c>
      <c r="P602">
        <v>40988766</v>
      </c>
    </row>
    <row r="603" spans="1:16">
      <c r="A603" t="s">
        <v>39</v>
      </c>
      <c r="B603">
        <v>1</v>
      </c>
      <c r="E603" t="s">
        <v>3347</v>
      </c>
      <c r="F603" t="s">
        <v>3344</v>
      </c>
      <c r="G603" t="s">
        <v>3348</v>
      </c>
      <c r="I603" t="s">
        <v>3338</v>
      </c>
      <c r="L603" t="s">
        <v>193</v>
      </c>
      <c r="N603" t="s">
        <v>3366</v>
      </c>
      <c r="O603" t="s">
        <v>3367</v>
      </c>
      <c r="P603">
        <v>40988766</v>
      </c>
    </row>
    <row r="604" spans="1:16">
      <c r="A604" t="s">
        <v>39</v>
      </c>
      <c r="B604">
        <v>2</v>
      </c>
      <c r="E604" t="s">
        <v>3366</v>
      </c>
      <c r="F604" t="s">
        <v>3367</v>
      </c>
      <c r="G604" t="s">
        <v>3368</v>
      </c>
      <c r="I604" t="s">
        <v>3338</v>
      </c>
      <c r="J604" t="s">
        <v>2421</v>
      </c>
      <c r="K604" t="s">
        <v>3354</v>
      </c>
      <c r="L604" t="s">
        <v>3369</v>
      </c>
      <c r="N604" t="s">
        <v>3370</v>
      </c>
      <c r="O604" t="s">
        <v>3359</v>
      </c>
      <c r="P604">
        <v>40988766</v>
      </c>
    </row>
    <row r="605" spans="1:16">
      <c r="A605" t="s">
        <v>39</v>
      </c>
      <c r="B605">
        <v>2</v>
      </c>
      <c r="E605" t="s">
        <v>3366</v>
      </c>
      <c r="F605" t="s">
        <v>3367</v>
      </c>
      <c r="G605" t="s">
        <v>3368</v>
      </c>
      <c r="I605" t="s">
        <v>3338</v>
      </c>
      <c r="J605" t="s">
        <v>2421</v>
      </c>
      <c r="K605" t="s">
        <v>3354</v>
      </c>
      <c r="L605" t="s">
        <v>3369</v>
      </c>
      <c r="N605" t="s">
        <v>3371</v>
      </c>
      <c r="O605" t="s">
        <v>3372</v>
      </c>
      <c r="P605">
        <v>40988766</v>
      </c>
    </row>
    <row r="606" spans="1:16">
      <c r="A606" t="s">
        <v>39</v>
      </c>
      <c r="B606">
        <v>2</v>
      </c>
      <c r="E606" t="s">
        <v>3366</v>
      </c>
      <c r="F606" t="s">
        <v>3367</v>
      </c>
      <c r="G606" t="s">
        <v>3368</v>
      </c>
      <c r="I606" t="s">
        <v>3338</v>
      </c>
      <c r="J606" t="s">
        <v>2421</v>
      </c>
      <c r="K606" t="s">
        <v>3354</v>
      </c>
      <c r="L606" t="s">
        <v>3369</v>
      </c>
      <c r="N606" t="s">
        <v>3373</v>
      </c>
      <c r="O606" t="s">
        <v>3374</v>
      </c>
      <c r="P606">
        <v>40988766</v>
      </c>
    </row>
    <row r="607" spans="1:16">
      <c r="A607" t="s">
        <v>39</v>
      </c>
      <c r="B607">
        <v>2</v>
      </c>
      <c r="E607" t="s">
        <v>3366</v>
      </c>
      <c r="F607" t="s">
        <v>3367</v>
      </c>
      <c r="G607" t="s">
        <v>3368</v>
      </c>
      <c r="I607" t="s">
        <v>3338</v>
      </c>
      <c r="J607" t="s">
        <v>2236</v>
      </c>
      <c r="K607" t="s">
        <v>3362</v>
      </c>
      <c r="L607" t="s">
        <v>3363</v>
      </c>
      <c r="N607" t="s">
        <v>3375</v>
      </c>
      <c r="O607" t="s">
        <v>3376</v>
      </c>
      <c r="P607">
        <v>40988766</v>
      </c>
    </row>
    <row r="608" spans="1:16">
      <c r="A608" t="s">
        <v>39</v>
      </c>
      <c r="B608">
        <v>0</v>
      </c>
      <c r="G608" t="s">
        <v>3338</v>
      </c>
      <c r="I608" t="s">
        <v>3338</v>
      </c>
      <c r="N608" t="s">
        <v>3377</v>
      </c>
      <c r="O608" t="s">
        <v>3346</v>
      </c>
      <c r="P608">
        <v>40988766</v>
      </c>
    </row>
    <row r="609" spans="1:16">
      <c r="A609" t="s">
        <v>39</v>
      </c>
      <c r="B609">
        <v>1</v>
      </c>
      <c r="E609" t="s">
        <v>3377</v>
      </c>
      <c r="F609" t="s">
        <v>3346</v>
      </c>
      <c r="G609" t="s">
        <v>3378</v>
      </c>
      <c r="I609" t="s">
        <v>3338</v>
      </c>
      <c r="L609" t="s">
        <v>193</v>
      </c>
      <c r="N609" t="s">
        <v>3379</v>
      </c>
      <c r="O609" t="s">
        <v>3380</v>
      </c>
      <c r="P609">
        <v>40988766</v>
      </c>
    </row>
    <row r="610" spans="1:16">
      <c r="A610" t="s">
        <v>39</v>
      </c>
      <c r="B610">
        <v>2</v>
      </c>
      <c r="E610" t="s">
        <v>3379</v>
      </c>
      <c r="F610" t="s">
        <v>3380</v>
      </c>
      <c r="G610" t="s">
        <v>3381</v>
      </c>
      <c r="I610" t="s">
        <v>3338</v>
      </c>
      <c r="J610" t="s">
        <v>2421</v>
      </c>
      <c r="K610" t="s">
        <v>3354</v>
      </c>
      <c r="L610" t="s">
        <v>3369</v>
      </c>
      <c r="N610" t="s">
        <v>3382</v>
      </c>
      <c r="O610" t="s">
        <v>3352</v>
      </c>
      <c r="P610">
        <v>40988766</v>
      </c>
    </row>
    <row r="611" spans="1:16">
      <c r="A611" t="s">
        <v>39</v>
      </c>
      <c r="B611">
        <v>2</v>
      </c>
      <c r="E611" t="s">
        <v>3379</v>
      </c>
      <c r="F611" t="s">
        <v>3380</v>
      </c>
      <c r="G611" t="s">
        <v>3381</v>
      </c>
      <c r="I611" t="s">
        <v>3338</v>
      </c>
      <c r="J611" t="s">
        <v>2236</v>
      </c>
      <c r="K611" t="s">
        <v>3362</v>
      </c>
      <c r="L611" t="s">
        <v>3383</v>
      </c>
      <c r="N611" t="s">
        <v>3384</v>
      </c>
      <c r="O611" t="s">
        <v>3385</v>
      </c>
      <c r="P611">
        <v>40988766</v>
      </c>
    </row>
    <row r="612" spans="1:16">
      <c r="A612" t="s">
        <v>39</v>
      </c>
      <c r="B612">
        <v>2</v>
      </c>
      <c r="E612" t="s">
        <v>3379</v>
      </c>
      <c r="F612" t="s">
        <v>3380</v>
      </c>
      <c r="G612" t="s">
        <v>3381</v>
      </c>
      <c r="I612" t="s">
        <v>3338</v>
      </c>
      <c r="J612" t="s">
        <v>2232</v>
      </c>
      <c r="K612" t="s">
        <v>2233</v>
      </c>
      <c r="L612" t="s">
        <v>3342</v>
      </c>
      <c r="N612" t="s">
        <v>3386</v>
      </c>
      <c r="O612" t="s">
        <v>3350</v>
      </c>
      <c r="P612">
        <v>40988766</v>
      </c>
    </row>
    <row r="613" spans="1:16">
      <c r="A613" t="s">
        <v>39</v>
      </c>
      <c r="B613">
        <v>1</v>
      </c>
      <c r="E613" t="s">
        <v>3377</v>
      </c>
      <c r="F613" t="s">
        <v>3346</v>
      </c>
      <c r="G613" t="s">
        <v>3378</v>
      </c>
      <c r="I613" t="s">
        <v>3338</v>
      </c>
      <c r="L613" t="s">
        <v>193</v>
      </c>
      <c r="N613" t="s">
        <v>3387</v>
      </c>
      <c r="O613" t="s">
        <v>3388</v>
      </c>
      <c r="P613">
        <v>40988766</v>
      </c>
    </row>
    <row r="614" spans="1:16">
      <c r="A614" t="s">
        <v>39</v>
      </c>
      <c r="B614">
        <v>2</v>
      </c>
      <c r="E614" t="s">
        <v>3387</v>
      </c>
      <c r="F614" t="s">
        <v>3388</v>
      </c>
      <c r="G614" t="s">
        <v>3389</v>
      </c>
      <c r="I614" t="s">
        <v>3338</v>
      </c>
      <c r="L614" t="s">
        <v>3369</v>
      </c>
      <c r="N614" t="s">
        <v>3390</v>
      </c>
      <c r="O614" t="s">
        <v>3352</v>
      </c>
      <c r="P614">
        <v>40988766</v>
      </c>
    </row>
    <row r="615" spans="1:16">
      <c r="A615" t="s">
        <v>39</v>
      </c>
      <c r="B615">
        <v>2</v>
      </c>
      <c r="E615" t="s">
        <v>3387</v>
      </c>
      <c r="F615" t="s">
        <v>3388</v>
      </c>
      <c r="G615" t="s">
        <v>3389</v>
      </c>
      <c r="I615" t="s">
        <v>3338</v>
      </c>
      <c r="L615" t="s">
        <v>3342</v>
      </c>
      <c r="N615" t="s">
        <v>3391</v>
      </c>
      <c r="O615" t="s">
        <v>3392</v>
      </c>
      <c r="P615">
        <v>40988766</v>
      </c>
    </row>
    <row r="616" spans="1:16">
      <c r="A616" t="s">
        <v>39</v>
      </c>
      <c r="B616">
        <v>2</v>
      </c>
      <c r="E616" t="s">
        <v>3387</v>
      </c>
      <c r="F616" t="s">
        <v>3388</v>
      </c>
      <c r="G616" t="s">
        <v>3389</v>
      </c>
      <c r="I616" t="s">
        <v>3338</v>
      </c>
      <c r="L616" t="s">
        <v>3383</v>
      </c>
      <c r="N616" t="s">
        <v>3393</v>
      </c>
      <c r="O616" t="s">
        <v>3385</v>
      </c>
      <c r="P616">
        <v>40988766</v>
      </c>
    </row>
    <row r="617" spans="1:16">
      <c r="A617" t="s">
        <v>39</v>
      </c>
      <c r="B617">
        <v>2</v>
      </c>
      <c r="E617" t="s">
        <v>3387</v>
      </c>
      <c r="F617" t="s">
        <v>3388</v>
      </c>
      <c r="G617" t="s">
        <v>3389</v>
      </c>
      <c r="I617" t="s">
        <v>3338</v>
      </c>
      <c r="L617" t="s">
        <v>3342</v>
      </c>
      <c r="N617" t="s">
        <v>3394</v>
      </c>
      <c r="O617" t="s">
        <v>3350</v>
      </c>
      <c r="P617">
        <v>40988766</v>
      </c>
    </row>
    <row r="618" spans="1:16">
      <c r="A618" t="s">
        <v>39</v>
      </c>
      <c r="B618">
        <v>0</v>
      </c>
      <c r="G618" t="s">
        <v>3338</v>
      </c>
      <c r="I618" t="s">
        <v>3338</v>
      </c>
      <c r="N618" t="s">
        <v>3395</v>
      </c>
      <c r="O618" t="s">
        <v>3396</v>
      </c>
      <c r="P618">
        <v>40988766</v>
      </c>
    </row>
    <row r="619" spans="1:16">
      <c r="A619" t="s">
        <v>39</v>
      </c>
      <c r="B619">
        <v>1</v>
      </c>
      <c r="E619" t="s">
        <v>3395</v>
      </c>
      <c r="F619" t="s">
        <v>3396</v>
      </c>
      <c r="G619" t="s">
        <v>3397</v>
      </c>
      <c r="I619" t="s">
        <v>3338</v>
      </c>
      <c r="L619" t="s">
        <v>3342</v>
      </c>
      <c r="N619" t="s">
        <v>3398</v>
      </c>
      <c r="O619" t="s">
        <v>3399</v>
      </c>
      <c r="P619">
        <v>40988766</v>
      </c>
    </row>
    <row r="620" spans="1:16">
      <c r="A620" t="s">
        <v>39</v>
      </c>
      <c r="B620">
        <v>1</v>
      </c>
      <c r="E620" t="s">
        <v>3395</v>
      </c>
      <c r="F620" t="s">
        <v>3396</v>
      </c>
      <c r="G620" t="s">
        <v>3397</v>
      </c>
      <c r="I620" t="s">
        <v>3338</v>
      </c>
      <c r="J620" t="s">
        <v>2232</v>
      </c>
      <c r="K620" t="s">
        <v>2233</v>
      </c>
      <c r="L620" t="s">
        <v>3342</v>
      </c>
      <c r="N620" t="s">
        <v>3400</v>
      </c>
      <c r="O620" t="s">
        <v>3401</v>
      </c>
      <c r="P620">
        <v>40988766</v>
      </c>
    </row>
    <row r="621" spans="1:16">
      <c r="A621" t="s">
        <v>39</v>
      </c>
      <c r="B621">
        <v>1</v>
      </c>
      <c r="E621" t="s">
        <v>3395</v>
      </c>
      <c r="F621" t="s">
        <v>3396</v>
      </c>
      <c r="G621" t="s">
        <v>3397</v>
      </c>
      <c r="I621" t="s">
        <v>3338</v>
      </c>
      <c r="L621" t="s">
        <v>3342</v>
      </c>
      <c r="N621" t="s">
        <v>3402</v>
      </c>
      <c r="O621" t="s">
        <v>3403</v>
      </c>
      <c r="P621">
        <v>40988766</v>
      </c>
    </row>
    <row r="622" spans="1:16">
      <c r="A622" t="s">
        <v>39</v>
      </c>
      <c r="B622">
        <v>1</v>
      </c>
      <c r="E622" t="s">
        <v>3395</v>
      </c>
      <c r="F622" t="s">
        <v>3396</v>
      </c>
      <c r="G622" t="s">
        <v>3397</v>
      </c>
      <c r="I622" t="s">
        <v>3338</v>
      </c>
      <c r="J622" t="s">
        <v>2232</v>
      </c>
      <c r="K622" t="s">
        <v>2233</v>
      </c>
      <c r="L622" t="s">
        <v>3342</v>
      </c>
      <c r="N622" t="s">
        <v>3404</v>
      </c>
      <c r="O622" t="s">
        <v>3405</v>
      </c>
      <c r="P622">
        <v>40988766</v>
      </c>
    </row>
    <row r="623" spans="1:16">
      <c r="A623" t="s">
        <v>39</v>
      </c>
      <c r="B623">
        <v>0</v>
      </c>
      <c r="G623" t="s">
        <v>3338</v>
      </c>
      <c r="I623" t="s">
        <v>3338</v>
      </c>
      <c r="N623" t="s">
        <v>3406</v>
      </c>
      <c r="O623" t="s">
        <v>3407</v>
      </c>
      <c r="P623">
        <v>40988766</v>
      </c>
    </row>
    <row r="624" spans="1:16">
      <c r="A624" t="s">
        <v>39</v>
      </c>
      <c r="B624">
        <v>1</v>
      </c>
      <c r="E624" t="s">
        <v>3406</v>
      </c>
      <c r="F624" t="s">
        <v>3407</v>
      </c>
      <c r="G624" t="s">
        <v>3408</v>
      </c>
      <c r="I624" t="s">
        <v>3338</v>
      </c>
      <c r="J624" t="s">
        <v>2421</v>
      </c>
      <c r="K624" t="s">
        <v>3354</v>
      </c>
      <c r="L624" t="s">
        <v>3369</v>
      </c>
      <c r="N624" t="s">
        <v>3409</v>
      </c>
      <c r="O624" t="s">
        <v>3410</v>
      </c>
      <c r="P624">
        <v>40988766</v>
      </c>
    </row>
    <row r="625" spans="1:16">
      <c r="A625" t="s">
        <v>39</v>
      </c>
      <c r="B625">
        <v>1</v>
      </c>
      <c r="E625" t="s">
        <v>3406</v>
      </c>
      <c r="F625" t="s">
        <v>3407</v>
      </c>
      <c r="G625" t="s">
        <v>3408</v>
      </c>
      <c r="I625" t="s">
        <v>3338</v>
      </c>
      <c r="L625" t="s">
        <v>193</v>
      </c>
      <c r="N625" t="s">
        <v>3411</v>
      </c>
      <c r="O625" t="s">
        <v>3412</v>
      </c>
      <c r="P625">
        <v>40988766</v>
      </c>
    </row>
    <row r="626" spans="1:16">
      <c r="A626" t="s">
        <v>39</v>
      </c>
      <c r="B626">
        <v>2</v>
      </c>
      <c r="E626" t="s">
        <v>3411</v>
      </c>
      <c r="F626" t="s">
        <v>3412</v>
      </c>
      <c r="G626" t="s">
        <v>3413</v>
      </c>
      <c r="I626" t="s">
        <v>3338</v>
      </c>
      <c r="L626" t="s">
        <v>3342</v>
      </c>
      <c r="N626" t="s">
        <v>3414</v>
      </c>
      <c r="O626" t="s">
        <v>3415</v>
      </c>
      <c r="P626">
        <v>40988766</v>
      </c>
    </row>
    <row r="627" spans="1:16">
      <c r="A627" t="s">
        <v>39</v>
      </c>
      <c r="B627">
        <v>2</v>
      </c>
      <c r="E627" t="s">
        <v>3411</v>
      </c>
      <c r="F627" t="s">
        <v>3412</v>
      </c>
      <c r="G627" t="s">
        <v>3413</v>
      </c>
      <c r="I627" t="s">
        <v>3338</v>
      </c>
      <c r="J627" t="s">
        <v>2232</v>
      </c>
      <c r="K627" t="s">
        <v>2233</v>
      </c>
      <c r="L627" t="s">
        <v>3342</v>
      </c>
      <c r="N627" t="s">
        <v>3416</v>
      </c>
      <c r="O627" t="s">
        <v>3417</v>
      </c>
      <c r="P627">
        <v>40988766</v>
      </c>
    </row>
    <row r="628" spans="1:16">
      <c r="A628" t="s">
        <v>39</v>
      </c>
      <c r="B628">
        <v>2</v>
      </c>
      <c r="E628" t="s">
        <v>3411</v>
      </c>
      <c r="F628" t="s">
        <v>3412</v>
      </c>
      <c r="G628" t="s">
        <v>3413</v>
      </c>
      <c r="I628" t="s">
        <v>3338</v>
      </c>
      <c r="J628" t="s">
        <v>2232</v>
      </c>
      <c r="K628" t="s">
        <v>2233</v>
      </c>
      <c r="L628" t="s">
        <v>3342</v>
      </c>
      <c r="N628" t="s">
        <v>3418</v>
      </c>
      <c r="O628" t="s">
        <v>3419</v>
      </c>
      <c r="P628">
        <v>40988766</v>
      </c>
    </row>
    <row r="629" spans="1:16">
      <c r="A629" t="s">
        <v>39</v>
      </c>
      <c r="B629">
        <v>2</v>
      </c>
      <c r="E629" t="s">
        <v>3411</v>
      </c>
      <c r="F629" t="s">
        <v>3412</v>
      </c>
      <c r="G629" t="s">
        <v>3413</v>
      </c>
      <c r="I629" t="s">
        <v>3338</v>
      </c>
      <c r="L629" t="s">
        <v>3342</v>
      </c>
      <c r="N629" t="s">
        <v>3420</v>
      </c>
      <c r="O629" t="s">
        <v>3421</v>
      </c>
      <c r="P629">
        <v>40988766</v>
      </c>
    </row>
    <row r="630" spans="1:16">
      <c r="A630" t="s">
        <v>39</v>
      </c>
      <c r="B630">
        <v>2</v>
      </c>
      <c r="E630" t="s">
        <v>3411</v>
      </c>
      <c r="F630" t="s">
        <v>3412</v>
      </c>
      <c r="G630" t="s">
        <v>3413</v>
      </c>
      <c r="I630" t="s">
        <v>3338</v>
      </c>
      <c r="J630" t="s">
        <v>2232</v>
      </c>
      <c r="K630" t="s">
        <v>2233</v>
      </c>
      <c r="L630" t="s">
        <v>3342</v>
      </c>
      <c r="N630" t="s">
        <v>3422</v>
      </c>
      <c r="O630" t="s">
        <v>3423</v>
      </c>
      <c r="P630">
        <v>40988766</v>
      </c>
    </row>
    <row r="631" spans="1:16">
      <c r="A631" t="s">
        <v>39</v>
      </c>
      <c r="B631">
        <v>0</v>
      </c>
      <c r="G631" t="s">
        <v>3338</v>
      </c>
      <c r="I631" t="s">
        <v>3338</v>
      </c>
      <c r="N631" t="s">
        <v>3424</v>
      </c>
      <c r="O631" t="s">
        <v>3425</v>
      </c>
      <c r="P631">
        <v>40988766</v>
      </c>
    </row>
    <row r="632" spans="1:16">
      <c r="A632" t="s">
        <v>39</v>
      </c>
      <c r="B632">
        <v>1</v>
      </c>
      <c r="E632" t="s">
        <v>3424</v>
      </c>
      <c r="F632" t="s">
        <v>3425</v>
      </c>
      <c r="G632" t="s">
        <v>3426</v>
      </c>
      <c r="I632" t="s">
        <v>3338</v>
      </c>
      <c r="J632" t="s">
        <v>2421</v>
      </c>
      <c r="K632" t="s">
        <v>3354</v>
      </c>
      <c r="L632" t="s">
        <v>3369</v>
      </c>
      <c r="N632" t="s">
        <v>3427</v>
      </c>
      <c r="O632" t="s">
        <v>3428</v>
      </c>
      <c r="P632">
        <v>40988766</v>
      </c>
    </row>
    <row r="633" spans="1:16">
      <c r="A633" t="s">
        <v>39</v>
      </c>
      <c r="B633">
        <v>1</v>
      </c>
      <c r="E633" t="s">
        <v>3424</v>
      </c>
      <c r="F633" t="s">
        <v>3425</v>
      </c>
      <c r="G633" t="s">
        <v>3426</v>
      </c>
      <c r="I633" t="s">
        <v>3338</v>
      </c>
      <c r="J633" t="s">
        <v>2421</v>
      </c>
      <c r="K633" t="s">
        <v>3354</v>
      </c>
      <c r="L633" t="s">
        <v>3369</v>
      </c>
      <c r="N633" t="s">
        <v>3429</v>
      </c>
      <c r="O633" t="s">
        <v>3430</v>
      </c>
      <c r="P633">
        <v>40988766</v>
      </c>
    </row>
    <row r="634" spans="1:16">
      <c r="A634" t="s">
        <v>39</v>
      </c>
      <c r="B634">
        <v>1</v>
      </c>
      <c r="E634" t="s">
        <v>3424</v>
      </c>
      <c r="F634" t="s">
        <v>3425</v>
      </c>
      <c r="G634" t="s">
        <v>3426</v>
      </c>
      <c r="I634" t="s">
        <v>3338</v>
      </c>
      <c r="J634" t="s">
        <v>2232</v>
      </c>
      <c r="K634" t="s">
        <v>2233</v>
      </c>
      <c r="L634" t="s">
        <v>3342</v>
      </c>
      <c r="N634" t="s">
        <v>3431</v>
      </c>
      <c r="O634" t="s">
        <v>3432</v>
      </c>
      <c r="P634">
        <v>40988766</v>
      </c>
    </row>
    <row r="635" spans="1:16">
      <c r="A635" t="s">
        <v>39</v>
      </c>
      <c r="B635">
        <v>0</v>
      </c>
      <c r="G635" t="s">
        <v>3338</v>
      </c>
      <c r="I635" t="s">
        <v>3338</v>
      </c>
      <c r="N635" t="s">
        <v>3433</v>
      </c>
      <c r="O635" t="s">
        <v>3434</v>
      </c>
      <c r="P635">
        <v>40988766</v>
      </c>
    </row>
    <row r="636" spans="1:16">
      <c r="A636" t="s">
        <v>39</v>
      </c>
      <c r="B636">
        <v>1</v>
      </c>
      <c r="E636" t="s">
        <v>3433</v>
      </c>
      <c r="F636" t="s">
        <v>3434</v>
      </c>
      <c r="G636" t="s">
        <v>3435</v>
      </c>
      <c r="I636" t="s">
        <v>3338</v>
      </c>
      <c r="J636" t="s">
        <v>2232</v>
      </c>
      <c r="K636" t="s">
        <v>2233</v>
      </c>
      <c r="L636" t="s">
        <v>3342</v>
      </c>
      <c r="N636" t="s">
        <v>3436</v>
      </c>
      <c r="O636" t="s">
        <v>3437</v>
      </c>
      <c r="P636">
        <v>40988766</v>
      </c>
    </row>
    <row r="637" spans="1:16">
      <c r="A637" t="s">
        <v>39</v>
      </c>
      <c r="B637">
        <v>1</v>
      </c>
      <c r="E637" t="s">
        <v>3433</v>
      </c>
      <c r="F637" t="s">
        <v>3434</v>
      </c>
      <c r="G637" t="s">
        <v>3435</v>
      </c>
      <c r="I637" t="s">
        <v>3338</v>
      </c>
      <c r="J637" t="s">
        <v>2232</v>
      </c>
      <c r="K637" t="s">
        <v>2233</v>
      </c>
      <c r="L637" t="s">
        <v>3342</v>
      </c>
      <c r="N637" t="s">
        <v>3438</v>
      </c>
      <c r="O637" t="s">
        <v>3439</v>
      </c>
      <c r="P637">
        <v>40988766</v>
      </c>
    </row>
    <row r="638" spans="1:16">
      <c r="A638" t="s">
        <v>39</v>
      </c>
      <c r="B638">
        <v>1</v>
      </c>
      <c r="E638" t="s">
        <v>3433</v>
      </c>
      <c r="F638" t="s">
        <v>3434</v>
      </c>
      <c r="G638" t="s">
        <v>3435</v>
      </c>
      <c r="I638" t="s">
        <v>3338</v>
      </c>
      <c r="J638" t="s">
        <v>2232</v>
      </c>
      <c r="K638" t="s">
        <v>2233</v>
      </c>
      <c r="L638" t="s">
        <v>3342</v>
      </c>
      <c r="N638" t="s">
        <v>3440</v>
      </c>
      <c r="O638" t="s">
        <v>3441</v>
      </c>
      <c r="P638">
        <v>40988766</v>
      </c>
    </row>
    <row r="639" spans="1:16">
      <c r="A639" t="s">
        <v>39</v>
      </c>
      <c r="B639">
        <v>1</v>
      </c>
      <c r="E639" t="s">
        <v>3433</v>
      </c>
      <c r="F639" t="s">
        <v>3434</v>
      </c>
      <c r="G639" t="s">
        <v>3435</v>
      </c>
      <c r="I639" t="s">
        <v>3338</v>
      </c>
      <c r="J639" t="s">
        <v>2232</v>
      </c>
      <c r="K639" t="s">
        <v>2233</v>
      </c>
      <c r="L639" t="s">
        <v>3342</v>
      </c>
      <c r="N639" t="s">
        <v>3442</v>
      </c>
      <c r="O639" t="s">
        <v>3443</v>
      </c>
      <c r="P639">
        <v>40988766</v>
      </c>
    </row>
    <row r="640" spans="1:16">
      <c r="A640" t="s">
        <v>39</v>
      </c>
      <c r="B640">
        <v>1</v>
      </c>
      <c r="E640" t="s">
        <v>3433</v>
      </c>
      <c r="F640" t="s">
        <v>3434</v>
      </c>
      <c r="G640" t="s">
        <v>3435</v>
      </c>
      <c r="I640" t="s">
        <v>3338</v>
      </c>
      <c r="J640" t="s">
        <v>2232</v>
      </c>
      <c r="K640" t="s">
        <v>2233</v>
      </c>
      <c r="L640" t="s">
        <v>3342</v>
      </c>
      <c r="N640" t="s">
        <v>3444</v>
      </c>
      <c r="O640" t="s">
        <v>3445</v>
      </c>
      <c r="P640">
        <v>40988766</v>
      </c>
    </row>
    <row r="641" spans="1:16">
      <c r="A641" t="s">
        <v>39</v>
      </c>
      <c r="B641">
        <v>1</v>
      </c>
      <c r="E641" t="s">
        <v>3433</v>
      </c>
      <c r="F641" t="s">
        <v>3434</v>
      </c>
      <c r="G641" t="s">
        <v>3435</v>
      </c>
      <c r="I641" t="s">
        <v>3338</v>
      </c>
      <c r="J641" t="s">
        <v>2232</v>
      </c>
      <c r="K641" t="s">
        <v>2233</v>
      </c>
      <c r="L641" t="s">
        <v>3342</v>
      </c>
      <c r="N641" t="s">
        <v>3446</v>
      </c>
      <c r="O641" t="s">
        <v>3447</v>
      </c>
      <c r="P641">
        <v>40988766</v>
      </c>
    </row>
    <row r="642" spans="1:16">
      <c r="A642" t="s">
        <v>39</v>
      </c>
      <c r="B642">
        <v>0</v>
      </c>
      <c r="G642" t="s">
        <v>3338</v>
      </c>
      <c r="I642" t="s">
        <v>3338</v>
      </c>
      <c r="N642" t="s">
        <v>3470</v>
      </c>
      <c r="O642" t="s">
        <v>3471</v>
      </c>
      <c r="P642">
        <v>40988766</v>
      </c>
    </row>
    <row r="643" spans="1:16">
      <c r="A643" t="s">
        <v>39</v>
      </c>
      <c r="B643">
        <v>1</v>
      </c>
      <c r="E643" t="s">
        <v>3470</v>
      </c>
      <c r="F643" t="s">
        <v>3471</v>
      </c>
      <c r="G643" t="s">
        <v>3472</v>
      </c>
      <c r="I643" t="s">
        <v>3338</v>
      </c>
      <c r="J643" t="s">
        <v>2232</v>
      </c>
      <c r="K643" t="s">
        <v>2233</v>
      </c>
      <c r="L643" t="s">
        <v>3342</v>
      </c>
      <c r="N643" t="s">
        <v>3473</v>
      </c>
      <c r="O643" t="s">
        <v>3474</v>
      </c>
      <c r="P643">
        <v>40988766</v>
      </c>
    </row>
    <row r="644" spans="1:16">
      <c r="A644" t="s">
        <v>39</v>
      </c>
      <c r="B644">
        <v>1</v>
      </c>
      <c r="E644" t="s">
        <v>3470</v>
      </c>
      <c r="F644" t="s">
        <v>3471</v>
      </c>
      <c r="G644" t="s">
        <v>3472</v>
      </c>
      <c r="I644" t="s">
        <v>3338</v>
      </c>
      <c r="J644" t="s">
        <v>2232</v>
      </c>
      <c r="K644" t="s">
        <v>2233</v>
      </c>
      <c r="L644" t="s">
        <v>3342</v>
      </c>
      <c r="N644" t="s">
        <v>3475</v>
      </c>
      <c r="O644" t="s">
        <v>3476</v>
      </c>
      <c r="P644">
        <v>40988766</v>
      </c>
    </row>
    <row r="645" spans="1:16">
      <c r="A645" t="s">
        <v>39</v>
      </c>
      <c r="B645">
        <v>1</v>
      </c>
      <c r="E645" t="s">
        <v>3470</v>
      </c>
      <c r="F645" t="s">
        <v>3471</v>
      </c>
      <c r="G645" t="s">
        <v>3472</v>
      </c>
      <c r="I645" t="s">
        <v>3338</v>
      </c>
      <c r="J645" t="s">
        <v>2232</v>
      </c>
      <c r="K645" t="s">
        <v>2233</v>
      </c>
      <c r="L645" t="s">
        <v>3342</v>
      </c>
      <c r="N645" t="s">
        <v>3477</v>
      </c>
      <c r="O645" t="s">
        <v>3478</v>
      </c>
      <c r="P645">
        <v>40988766</v>
      </c>
    </row>
    <row r="646" spans="1:16">
      <c r="A646" t="s">
        <v>39</v>
      </c>
      <c r="B646">
        <v>0</v>
      </c>
      <c r="G646" t="s">
        <v>3338</v>
      </c>
      <c r="I646" t="s">
        <v>3338</v>
      </c>
      <c r="N646" t="s">
        <v>3448</v>
      </c>
      <c r="O646" t="s">
        <v>3449</v>
      </c>
      <c r="P646">
        <v>40988766</v>
      </c>
    </row>
    <row r="647" spans="1:16">
      <c r="A647" t="s">
        <v>39</v>
      </c>
      <c r="B647">
        <v>1</v>
      </c>
      <c r="E647" t="s">
        <v>3448</v>
      </c>
      <c r="F647" t="s">
        <v>3449</v>
      </c>
      <c r="G647" t="s">
        <v>3450</v>
      </c>
      <c r="I647" t="s">
        <v>3338</v>
      </c>
      <c r="J647" t="s">
        <v>2421</v>
      </c>
      <c r="K647" t="s">
        <v>3354</v>
      </c>
      <c r="L647" t="s">
        <v>3451</v>
      </c>
      <c r="N647" t="s">
        <v>3452</v>
      </c>
      <c r="O647" t="s">
        <v>3453</v>
      </c>
      <c r="P647">
        <v>40988766</v>
      </c>
    </row>
    <row r="648" spans="1:16">
      <c r="A648" t="s">
        <v>39</v>
      </c>
      <c r="B648">
        <v>0</v>
      </c>
      <c r="G648" t="s">
        <v>3456</v>
      </c>
      <c r="I648" t="s">
        <v>3456</v>
      </c>
      <c r="M648" t="s">
        <v>3460</v>
      </c>
      <c r="N648" t="s">
        <v>3458</v>
      </c>
      <c r="O648" t="s">
        <v>3459</v>
      </c>
      <c r="P648">
        <v>40988766</v>
      </c>
    </row>
    <row r="649" spans="1:16">
      <c r="A649" t="s">
        <v>41</v>
      </c>
      <c r="B649">
        <v>0</v>
      </c>
      <c r="G649" t="s">
        <v>3338</v>
      </c>
      <c r="I649" t="s">
        <v>3338</v>
      </c>
      <c r="N649" t="s">
        <v>3339</v>
      </c>
      <c r="O649" t="s">
        <v>3340</v>
      </c>
      <c r="P649">
        <v>41388391</v>
      </c>
    </row>
    <row r="650" spans="1:16">
      <c r="A650" t="s">
        <v>41</v>
      </c>
      <c r="B650">
        <v>1</v>
      </c>
      <c r="E650" t="s">
        <v>3339</v>
      </c>
      <c r="F650" t="s">
        <v>3340</v>
      </c>
      <c r="G650" t="s">
        <v>3341</v>
      </c>
      <c r="I650" t="s">
        <v>3338</v>
      </c>
      <c r="J650" t="s">
        <v>2232</v>
      </c>
      <c r="K650" t="s">
        <v>2233</v>
      </c>
      <c r="L650" t="s">
        <v>3342</v>
      </c>
      <c r="N650" t="s">
        <v>3343</v>
      </c>
      <c r="O650" t="s">
        <v>3344</v>
      </c>
      <c r="P650">
        <v>41388391</v>
      </c>
    </row>
    <row r="651" spans="1:16">
      <c r="A651" t="s">
        <v>41</v>
      </c>
      <c r="B651">
        <v>1</v>
      </c>
      <c r="E651" t="s">
        <v>3339</v>
      </c>
      <c r="F651" t="s">
        <v>3340</v>
      </c>
      <c r="G651" t="s">
        <v>3341</v>
      </c>
      <c r="I651" t="s">
        <v>3338</v>
      </c>
      <c r="J651" t="s">
        <v>2232</v>
      </c>
      <c r="K651" t="s">
        <v>2233</v>
      </c>
      <c r="L651" t="s">
        <v>3342</v>
      </c>
      <c r="N651" t="s">
        <v>3345</v>
      </c>
      <c r="O651" t="s">
        <v>3346</v>
      </c>
      <c r="P651">
        <v>41388391</v>
      </c>
    </row>
    <row r="652" spans="1:16">
      <c r="A652" t="s">
        <v>41</v>
      </c>
      <c r="B652">
        <v>0</v>
      </c>
      <c r="G652" t="s">
        <v>3338</v>
      </c>
      <c r="I652" t="s">
        <v>3338</v>
      </c>
      <c r="N652" t="s">
        <v>3347</v>
      </c>
      <c r="O652" t="s">
        <v>3344</v>
      </c>
      <c r="P652">
        <v>41388391</v>
      </c>
    </row>
    <row r="653" spans="1:16">
      <c r="A653" t="s">
        <v>41</v>
      </c>
      <c r="B653">
        <v>1</v>
      </c>
      <c r="E653" t="s">
        <v>3347</v>
      </c>
      <c r="F653" t="s">
        <v>3344</v>
      </c>
      <c r="G653" t="s">
        <v>3348</v>
      </c>
      <c r="I653" t="s">
        <v>3338</v>
      </c>
      <c r="J653" t="s">
        <v>2232</v>
      </c>
      <c r="K653" t="s">
        <v>2233</v>
      </c>
      <c r="L653" t="s">
        <v>3342</v>
      </c>
      <c r="N653" t="s">
        <v>3349</v>
      </c>
      <c r="O653" t="s">
        <v>3350</v>
      </c>
      <c r="P653">
        <v>41388391</v>
      </c>
    </row>
    <row r="654" spans="1:16">
      <c r="A654" t="s">
        <v>41</v>
      </c>
      <c r="B654">
        <v>1</v>
      </c>
      <c r="E654" t="s">
        <v>3347</v>
      </c>
      <c r="F654" t="s">
        <v>3344</v>
      </c>
      <c r="G654" t="s">
        <v>3348</v>
      </c>
      <c r="I654" t="s">
        <v>3338</v>
      </c>
      <c r="L654" t="s">
        <v>193</v>
      </c>
      <c r="N654" t="s">
        <v>3351</v>
      </c>
      <c r="O654" t="s">
        <v>3352</v>
      </c>
      <c r="P654">
        <v>41388391</v>
      </c>
    </row>
    <row r="655" spans="1:16">
      <c r="A655" t="s">
        <v>41</v>
      </c>
      <c r="B655">
        <v>2</v>
      </c>
      <c r="E655" t="s">
        <v>3351</v>
      </c>
      <c r="F655" t="s">
        <v>3352</v>
      </c>
      <c r="G655" t="s">
        <v>3353</v>
      </c>
      <c r="I655" t="s">
        <v>3338</v>
      </c>
      <c r="J655" t="s">
        <v>2421</v>
      </c>
      <c r="K655" t="s">
        <v>3354</v>
      </c>
      <c r="L655" t="s">
        <v>3355</v>
      </c>
      <c r="N655" t="s">
        <v>3356</v>
      </c>
      <c r="O655" t="s">
        <v>3357</v>
      </c>
      <c r="P655">
        <v>41388391</v>
      </c>
    </row>
    <row r="656" spans="1:16">
      <c r="A656" t="s">
        <v>41</v>
      </c>
      <c r="B656">
        <v>2</v>
      </c>
      <c r="E656" t="s">
        <v>3351</v>
      </c>
      <c r="F656" t="s">
        <v>3352</v>
      </c>
      <c r="G656" t="s">
        <v>3353</v>
      </c>
      <c r="I656" t="s">
        <v>3338</v>
      </c>
      <c r="J656" t="s">
        <v>2421</v>
      </c>
      <c r="K656" t="s">
        <v>3354</v>
      </c>
      <c r="L656" t="s">
        <v>3355</v>
      </c>
      <c r="N656" t="s">
        <v>3358</v>
      </c>
      <c r="O656" t="s">
        <v>3359</v>
      </c>
      <c r="P656">
        <v>41388391</v>
      </c>
    </row>
    <row r="657" spans="1:16">
      <c r="A657" t="s">
        <v>41</v>
      </c>
      <c r="B657">
        <v>2</v>
      </c>
      <c r="E657" t="s">
        <v>3351</v>
      </c>
      <c r="F657" t="s">
        <v>3352</v>
      </c>
      <c r="G657" t="s">
        <v>3353</v>
      </c>
      <c r="I657" t="s">
        <v>3338</v>
      </c>
      <c r="J657" t="s">
        <v>2421</v>
      </c>
      <c r="K657" t="s">
        <v>3354</v>
      </c>
      <c r="L657" t="s">
        <v>3355</v>
      </c>
      <c r="N657" t="s">
        <v>3360</v>
      </c>
      <c r="O657" t="s">
        <v>3361</v>
      </c>
      <c r="P657">
        <v>41388391</v>
      </c>
    </row>
    <row r="658" spans="1:16">
      <c r="A658" t="s">
        <v>41</v>
      </c>
      <c r="B658">
        <v>1</v>
      </c>
      <c r="E658" t="s">
        <v>3347</v>
      </c>
      <c r="F658" t="s">
        <v>3344</v>
      </c>
      <c r="G658" t="s">
        <v>3348</v>
      </c>
      <c r="I658" t="s">
        <v>3338</v>
      </c>
      <c r="J658" t="s">
        <v>2236</v>
      </c>
      <c r="K658" t="s">
        <v>3362</v>
      </c>
      <c r="L658" t="s">
        <v>3363</v>
      </c>
      <c r="N658" t="s">
        <v>3364</v>
      </c>
      <c r="O658" t="s">
        <v>3365</v>
      </c>
      <c r="P658">
        <v>41388391</v>
      </c>
    </row>
    <row r="659" spans="1:16">
      <c r="A659" t="s">
        <v>41</v>
      </c>
      <c r="B659">
        <v>1</v>
      </c>
      <c r="E659" t="s">
        <v>3347</v>
      </c>
      <c r="F659" t="s">
        <v>3344</v>
      </c>
      <c r="G659" t="s">
        <v>3348</v>
      </c>
      <c r="I659" t="s">
        <v>3338</v>
      </c>
      <c r="L659" t="s">
        <v>193</v>
      </c>
      <c r="N659" t="s">
        <v>3366</v>
      </c>
      <c r="O659" t="s">
        <v>3367</v>
      </c>
      <c r="P659">
        <v>41388391</v>
      </c>
    </row>
    <row r="660" spans="1:16">
      <c r="A660" t="s">
        <v>41</v>
      </c>
      <c r="B660">
        <v>2</v>
      </c>
      <c r="E660" t="s">
        <v>3366</v>
      </c>
      <c r="F660" t="s">
        <v>3367</v>
      </c>
      <c r="G660" t="s">
        <v>3368</v>
      </c>
      <c r="I660" t="s">
        <v>3338</v>
      </c>
      <c r="J660" t="s">
        <v>2421</v>
      </c>
      <c r="K660" t="s">
        <v>3354</v>
      </c>
      <c r="L660" t="s">
        <v>3369</v>
      </c>
      <c r="N660" t="s">
        <v>3370</v>
      </c>
      <c r="O660" t="s">
        <v>3359</v>
      </c>
      <c r="P660">
        <v>41388391</v>
      </c>
    </row>
    <row r="661" spans="1:16">
      <c r="A661" t="s">
        <v>41</v>
      </c>
      <c r="B661">
        <v>2</v>
      </c>
      <c r="E661" t="s">
        <v>3366</v>
      </c>
      <c r="F661" t="s">
        <v>3367</v>
      </c>
      <c r="G661" t="s">
        <v>3368</v>
      </c>
      <c r="I661" t="s">
        <v>3338</v>
      </c>
      <c r="J661" t="s">
        <v>2421</v>
      </c>
      <c r="K661" t="s">
        <v>3354</v>
      </c>
      <c r="L661" t="s">
        <v>3369</v>
      </c>
      <c r="N661" t="s">
        <v>3371</v>
      </c>
      <c r="O661" t="s">
        <v>3372</v>
      </c>
      <c r="P661">
        <v>41388391</v>
      </c>
    </row>
    <row r="662" spans="1:16">
      <c r="A662" t="s">
        <v>41</v>
      </c>
      <c r="B662">
        <v>2</v>
      </c>
      <c r="E662" t="s">
        <v>3366</v>
      </c>
      <c r="F662" t="s">
        <v>3367</v>
      </c>
      <c r="G662" t="s">
        <v>3368</v>
      </c>
      <c r="I662" t="s">
        <v>3338</v>
      </c>
      <c r="J662" t="s">
        <v>2421</v>
      </c>
      <c r="K662" t="s">
        <v>3354</v>
      </c>
      <c r="L662" t="s">
        <v>3369</v>
      </c>
      <c r="N662" t="s">
        <v>3373</v>
      </c>
      <c r="O662" t="s">
        <v>3374</v>
      </c>
      <c r="P662">
        <v>41388391</v>
      </c>
    </row>
    <row r="663" spans="1:16">
      <c r="A663" t="s">
        <v>41</v>
      </c>
      <c r="B663">
        <v>2</v>
      </c>
      <c r="E663" t="s">
        <v>3366</v>
      </c>
      <c r="F663" t="s">
        <v>3367</v>
      </c>
      <c r="G663" t="s">
        <v>3368</v>
      </c>
      <c r="I663" t="s">
        <v>3338</v>
      </c>
      <c r="J663" t="s">
        <v>2236</v>
      </c>
      <c r="K663" t="s">
        <v>3362</v>
      </c>
      <c r="L663" t="s">
        <v>3363</v>
      </c>
      <c r="N663" t="s">
        <v>3375</v>
      </c>
      <c r="O663" t="s">
        <v>3376</v>
      </c>
      <c r="P663">
        <v>41388391</v>
      </c>
    </row>
    <row r="664" spans="1:16">
      <c r="A664" t="s">
        <v>41</v>
      </c>
      <c r="B664">
        <v>0</v>
      </c>
      <c r="G664" t="s">
        <v>3338</v>
      </c>
      <c r="I664" t="s">
        <v>3338</v>
      </c>
      <c r="N664" t="s">
        <v>3377</v>
      </c>
      <c r="O664" t="s">
        <v>3346</v>
      </c>
      <c r="P664">
        <v>41388391</v>
      </c>
    </row>
    <row r="665" spans="1:16">
      <c r="A665" t="s">
        <v>41</v>
      </c>
      <c r="B665">
        <v>1</v>
      </c>
      <c r="E665" t="s">
        <v>3377</v>
      </c>
      <c r="F665" t="s">
        <v>3346</v>
      </c>
      <c r="G665" t="s">
        <v>3378</v>
      </c>
      <c r="I665" t="s">
        <v>3338</v>
      </c>
      <c r="L665" t="s">
        <v>193</v>
      </c>
      <c r="N665" t="s">
        <v>3379</v>
      </c>
      <c r="O665" t="s">
        <v>3380</v>
      </c>
      <c r="P665">
        <v>41388391</v>
      </c>
    </row>
    <row r="666" spans="1:16">
      <c r="A666" t="s">
        <v>41</v>
      </c>
      <c r="B666">
        <v>2</v>
      </c>
      <c r="E666" t="s">
        <v>3379</v>
      </c>
      <c r="F666" t="s">
        <v>3380</v>
      </c>
      <c r="G666" t="s">
        <v>3381</v>
      </c>
      <c r="I666" t="s">
        <v>3338</v>
      </c>
      <c r="J666" t="s">
        <v>2421</v>
      </c>
      <c r="K666" t="s">
        <v>3354</v>
      </c>
      <c r="L666" t="s">
        <v>3369</v>
      </c>
      <c r="N666" t="s">
        <v>3382</v>
      </c>
      <c r="O666" t="s">
        <v>3352</v>
      </c>
      <c r="P666">
        <v>41388391</v>
      </c>
    </row>
    <row r="667" spans="1:16">
      <c r="A667" t="s">
        <v>41</v>
      </c>
      <c r="B667">
        <v>2</v>
      </c>
      <c r="E667" t="s">
        <v>3379</v>
      </c>
      <c r="F667" t="s">
        <v>3380</v>
      </c>
      <c r="G667" t="s">
        <v>3381</v>
      </c>
      <c r="I667" t="s">
        <v>3338</v>
      </c>
      <c r="L667" t="s">
        <v>3383</v>
      </c>
      <c r="N667" t="s">
        <v>3384</v>
      </c>
      <c r="O667" t="s">
        <v>3385</v>
      </c>
      <c r="P667">
        <v>41388391</v>
      </c>
    </row>
    <row r="668" spans="1:16">
      <c r="A668" t="s">
        <v>41</v>
      </c>
      <c r="B668">
        <v>2</v>
      </c>
      <c r="E668" t="s">
        <v>3379</v>
      </c>
      <c r="F668" t="s">
        <v>3380</v>
      </c>
      <c r="G668" t="s">
        <v>3381</v>
      </c>
      <c r="I668" t="s">
        <v>3338</v>
      </c>
      <c r="J668" t="s">
        <v>2232</v>
      </c>
      <c r="K668" t="s">
        <v>2233</v>
      </c>
      <c r="L668" t="s">
        <v>3342</v>
      </c>
      <c r="N668" t="s">
        <v>3386</v>
      </c>
      <c r="O668" t="s">
        <v>3350</v>
      </c>
      <c r="P668">
        <v>41388391</v>
      </c>
    </row>
    <row r="669" spans="1:16">
      <c r="A669" t="s">
        <v>41</v>
      </c>
      <c r="B669">
        <v>1</v>
      </c>
      <c r="E669" t="s">
        <v>3377</v>
      </c>
      <c r="F669" t="s">
        <v>3346</v>
      </c>
      <c r="G669" t="s">
        <v>3378</v>
      </c>
      <c r="I669" t="s">
        <v>3338</v>
      </c>
      <c r="L669" t="s">
        <v>193</v>
      </c>
      <c r="N669" t="s">
        <v>3387</v>
      </c>
      <c r="O669" t="s">
        <v>3388</v>
      </c>
      <c r="P669">
        <v>41388391</v>
      </c>
    </row>
    <row r="670" spans="1:16">
      <c r="A670" t="s">
        <v>41</v>
      </c>
      <c r="B670">
        <v>2</v>
      </c>
      <c r="E670" t="s">
        <v>3387</v>
      </c>
      <c r="F670" t="s">
        <v>3388</v>
      </c>
      <c r="G670" t="s">
        <v>3389</v>
      </c>
      <c r="I670" t="s">
        <v>3338</v>
      </c>
      <c r="L670" t="s">
        <v>3369</v>
      </c>
      <c r="N670" t="s">
        <v>3390</v>
      </c>
      <c r="O670" t="s">
        <v>3352</v>
      </c>
      <c r="P670">
        <v>41388391</v>
      </c>
    </row>
    <row r="671" spans="1:16">
      <c r="A671" t="s">
        <v>41</v>
      </c>
      <c r="B671">
        <v>2</v>
      </c>
      <c r="E671" t="s">
        <v>3387</v>
      </c>
      <c r="F671" t="s">
        <v>3388</v>
      </c>
      <c r="G671" t="s">
        <v>3389</v>
      </c>
      <c r="I671" t="s">
        <v>3338</v>
      </c>
      <c r="L671" t="s">
        <v>3342</v>
      </c>
      <c r="N671" t="s">
        <v>3391</v>
      </c>
      <c r="O671" t="s">
        <v>3392</v>
      </c>
      <c r="P671">
        <v>41388391</v>
      </c>
    </row>
    <row r="672" spans="1:16">
      <c r="A672" t="s">
        <v>41</v>
      </c>
      <c r="B672">
        <v>2</v>
      </c>
      <c r="E672" t="s">
        <v>3387</v>
      </c>
      <c r="F672" t="s">
        <v>3388</v>
      </c>
      <c r="G672" t="s">
        <v>3389</v>
      </c>
      <c r="I672" t="s">
        <v>3338</v>
      </c>
      <c r="L672" t="s">
        <v>3383</v>
      </c>
      <c r="N672" t="s">
        <v>3393</v>
      </c>
      <c r="O672" t="s">
        <v>3385</v>
      </c>
      <c r="P672">
        <v>41388391</v>
      </c>
    </row>
    <row r="673" spans="1:16">
      <c r="A673" t="s">
        <v>41</v>
      </c>
      <c r="B673">
        <v>2</v>
      </c>
      <c r="E673" t="s">
        <v>3387</v>
      </c>
      <c r="F673" t="s">
        <v>3388</v>
      </c>
      <c r="G673" t="s">
        <v>3389</v>
      </c>
      <c r="I673" t="s">
        <v>3338</v>
      </c>
      <c r="L673" t="s">
        <v>3342</v>
      </c>
      <c r="N673" t="s">
        <v>3394</v>
      </c>
      <c r="O673" t="s">
        <v>3350</v>
      </c>
      <c r="P673">
        <v>41388391</v>
      </c>
    </row>
    <row r="674" spans="1:16">
      <c r="A674" t="s">
        <v>41</v>
      </c>
      <c r="B674">
        <v>0</v>
      </c>
      <c r="G674" t="s">
        <v>3338</v>
      </c>
      <c r="I674" t="s">
        <v>3338</v>
      </c>
      <c r="N674" t="s">
        <v>3395</v>
      </c>
      <c r="O674" t="s">
        <v>3396</v>
      </c>
      <c r="P674">
        <v>41388391</v>
      </c>
    </row>
    <row r="675" spans="1:16">
      <c r="A675" t="s">
        <v>41</v>
      </c>
      <c r="B675">
        <v>1</v>
      </c>
      <c r="E675" t="s">
        <v>3395</v>
      </c>
      <c r="F675" t="s">
        <v>3396</v>
      </c>
      <c r="G675" t="s">
        <v>3397</v>
      </c>
      <c r="I675" t="s">
        <v>3338</v>
      </c>
      <c r="L675" t="s">
        <v>3342</v>
      </c>
      <c r="N675" t="s">
        <v>3398</v>
      </c>
      <c r="O675" t="s">
        <v>3399</v>
      </c>
      <c r="P675">
        <v>41388391</v>
      </c>
    </row>
    <row r="676" spans="1:16">
      <c r="A676" t="s">
        <v>41</v>
      </c>
      <c r="B676">
        <v>1</v>
      </c>
      <c r="E676" t="s">
        <v>3395</v>
      </c>
      <c r="F676" t="s">
        <v>3396</v>
      </c>
      <c r="G676" t="s">
        <v>3397</v>
      </c>
      <c r="I676" t="s">
        <v>3338</v>
      </c>
      <c r="J676" t="s">
        <v>2232</v>
      </c>
      <c r="K676" t="s">
        <v>2233</v>
      </c>
      <c r="L676" t="s">
        <v>3342</v>
      </c>
      <c r="N676" t="s">
        <v>3400</v>
      </c>
      <c r="O676" t="s">
        <v>3401</v>
      </c>
      <c r="P676">
        <v>41388391</v>
      </c>
    </row>
    <row r="677" spans="1:16">
      <c r="A677" t="s">
        <v>41</v>
      </c>
      <c r="B677">
        <v>1</v>
      </c>
      <c r="E677" t="s">
        <v>3395</v>
      </c>
      <c r="F677" t="s">
        <v>3396</v>
      </c>
      <c r="G677" t="s">
        <v>3397</v>
      </c>
      <c r="I677" t="s">
        <v>3338</v>
      </c>
      <c r="L677" t="s">
        <v>3342</v>
      </c>
      <c r="N677" t="s">
        <v>3402</v>
      </c>
      <c r="O677" t="s">
        <v>3403</v>
      </c>
      <c r="P677">
        <v>41388391</v>
      </c>
    </row>
    <row r="678" spans="1:16">
      <c r="A678" t="s">
        <v>41</v>
      </c>
      <c r="B678">
        <v>1</v>
      </c>
      <c r="E678" t="s">
        <v>3395</v>
      </c>
      <c r="F678" t="s">
        <v>3396</v>
      </c>
      <c r="G678" t="s">
        <v>3397</v>
      </c>
      <c r="I678" t="s">
        <v>3338</v>
      </c>
      <c r="J678" t="s">
        <v>2232</v>
      </c>
      <c r="K678" t="s">
        <v>2233</v>
      </c>
      <c r="L678" t="s">
        <v>3342</v>
      </c>
      <c r="N678" t="s">
        <v>3404</v>
      </c>
      <c r="O678" t="s">
        <v>3405</v>
      </c>
      <c r="P678">
        <v>41388391</v>
      </c>
    </row>
    <row r="679" spans="1:16">
      <c r="A679" t="s">
        <v>41</v>
      </c>
      <c r="B679">
        <v>0</v>
      </c>
      <c r="G679" t="s">
        <v>3338</v>
      </c>
      <c r="I679" t="s">
        <v>3338</v>
      </c>
      <c r="N679" t="s">
        <v>3406</v>
      </c>
      <c r="O679" t="s">
        <v>3407</v>
      </c>
      <c r="P679">
        <v>41388391</v>
      </c>
    </row>
    <row r="680" spans="1:16">
      <c r="A680" t="s">
        <v>41</v>
      </c>
      <c r="B680">
        <v>1</v>
      </c>
      <c r="E680" t="s">
        <v>3406</v>
      </c>
      <c r="F680" t="s">
        <v>3407</v>
      </c>
      <c r="G680" t="s">
        <v>3408</v>
      </c>
      <c r="I680" t="s">
        <v>3338</v>
      </c>
      <c r="J680" t="s">
        <v>2421</v>
      </c>
      <c r="K680" t="s">
        <v>3354</v>
      </c>
      <c r="L680" t="s">
        <v>3369</v>
      </c>
      <c r="N680" t="s">
        <v>3409</v>
      </c>
      <c r="O680" t="s">
        <v>3410</v>
      </c>
      <c r="P680">
        <v>41388391</v>
      </c>
    </row>
    <row r="681" spans="1:16">
      <c r="A681" t="s">
        <v>41</v>
      </c>
      <c r="B681">
        <v>1</v>
      </c>
      <c r="E681" t="s">
        <v>3406</v>
      </c>
      <c r="F681" t="s">
        <v>3407</v>
      </c>
      <c r="G681" t="s">
        <v>3408</v>
      </c>
      <c r="I681" t="s">
        <v>3338</v>
      </c>
      <c r="L681" t="s">
        <v>193</v>
      </c>
      <c r="N681" t="s">
        <v>3411</v>
      </c>
      <c r="O681" t="s">
        <v>3412</v>
      </c>
      <c r="P681">
        <v>41388391</v>
      </c>
    </row>
    <row r="682" spans="1:16">
      <c r="A682" t="s">
        <v>41</v>
      </c>
      <c r="B682">
        <v>2</v>
      </c>
      <c r="E682" t="s">
        <v>3411</v>
      </c>
      <c r="F682" t="s">
        <v>3412</v>
      </c>
      <c r="G682" t="s">
        <v>3413</v>
      </c>
      <c r="I682" t="s">
        <v>3338</v>
      </c>
      <c r="L682" t="s">
        <v>3342</v>
      </c>
      <c r="N682" t="s">
        <v>3414</v>
      </c>
      <c r="O682" t="s">
        <v>3415</v>
      </c>
      <c r="P682">
        <v>41388391</v>
      </c>
    </row>
    <row r="683" spans="1:16">
      <c r="A683" t="s">
        <v>41</v>
      </c>
      <c r="B683">
        <v>2</v>
      </c>
      <c r="E683" t="s">
        <v>3411</v>
      </c>
      <c r="F683" t="s">
        <v>3412</v>
      </c>
      <c r="G683" t="s">
        <v>3413</v>
      </c>
      <c r="I683" t="s">
        <v>3338</v>
      </c>
      <c r="J683" t="s">
        <v>2232</v>
      </c>
      <c r="K683" t="s">
        <v>2233</v>
      </c>
      <c r="L683" t="s">
        <v>3342</v>
      </c>
      <c r="N683" t="s">
        <v>3416</v>
      </c>
      <c r="O683" t="s">
        <v>3417</v>
      </c>
      <c r="P683">
        <v>41388391</v>
      </c>
    </row>
    <row r="684" spans="1:16">
      <c r="A684" t="s">
        <v>41</v>
      </c>
      <c r="B684">
        <v>2</v>
      </c>
      <c r="E684" t="s">
        <v>3411</v>
      </c>
      <c r="F684" t="s">
        <v>3412</v>
      </c>
      <c r="G684" t="s">
        <v>3413</v>
      </c>
      <c r="I684" t="s">
        <v>3338</v>
      </c>
      <c r="J684" t="s">
        <v>2232</v>
      </c>
      <c r="K684" t="s">
        <v>2233</v>
      </c>
      <c r="L684" t="s">
        <v>3342</v>
      </c>
      <c r="N684" t="s">
        <v>3418</v>
      </c>
      <c r="O684" t="s">
        <v>3419</v>
      </c>
      <c r="P684">
        <v>41388391</v>
      </c>
    </row>
    <row r="685" spans="1:16">
      <c r="A685" t="s">
        <v>41</v>
      </c>
      <c r="B685">
        <v>2</v>
      </c>
      <c r="E685" t="s">
        <v>3411</v>
      </c>
      <c r="F685" t="s">
        <v>3412</v>
      </c>
      <c r="G685" t="s">
        <v>3413</v>
      </c>
      <c r="I685" t="s">
        <v>3338</v>
      </c>
      <c r="L685" t="s">
        <v>3342</v>
      </c>
      <c r="N685" t="s">
        <v>3420</v>
      </c>
      <c r="O685" t="s">
        <v>3421</v>
      </c>
      <c r="P685">
        <v>41388391</v>
      </c>
    </row>
    <row r="686" spans="1:16">
      <c r="A686" t="s">
        <v>41</v>
      </c>
      <c r="B686">
        <v>2</v>
      </c>
      <c r="E686" t="s">
        <v>3411</v>
      </c>
      <c r="F686" t="s">
        <v>3412</v>
      </c>
      <c r="G686" t="s">
        <v>3413</v>
      </c>
      <c r="I686" t="s">
        <v>3338</v>
      </c>
      <c r="J686" t="s">
        <v>2232</v>
      </c>
      <c r="K686" t="s">
        <v>2233</v>
      </c>
      <c r="L686" t="s">
        <v>3342</v>
      </c>
      <c r="N686" t="s">
        <v>3422</v>
      </c>
      <c r="O686" t="s">
        <v>3423</v>
      </c>
      <c r="P686">
        <v>41388391</v>
      </c>
    </row>
    <row r="687" spans="1:16">
      <c r="A687" t="s">
        <v>41</v>
      </c>
      <c r="B687">
        <v>0</v>
      </c>
      <c r="G687" t="s">
        <v>3338</v>
      </c>
      <c r="I687" t="s">
        <v>3338</v>
      </c>
      <c r="N687" t="s">
        <v>3424</v>
      </c>
      <c r="O687" t="s">
        <v>3425</v>
      </c>
      <c r="P687">
        <v>41388391</v>
      </c>
    </row>
    <row r="688" spans="1:16">
      <c r="A688" t="s">
        <v>41</v>
      </c>
      <c r="B688">
        <v>1</v>
      </c>
      <c r="E688" t="s">
        <v>3424</v>
      </c>
      <c r="F688" t="s">
        <v>3425</v>
      </c>
      <c r="G688" t="s">
        <v>3426</v>
      </c>
      <c r="I688" t="s">
        <v>3338</v>
      </c>
      <c r="J688" t="s">
        <v>2421</v>
      </c>
      <c r="K688" t="s">
        <v>3354</v>
      </c>
      <c r="L688" t="s">
        <v>3369</v>
      </c>
      <c r="N688" t="s">
        <v>3427</v>
      </c>
      <c r="O688" t="s">
        <v>3428</v>
      </c>
      <c r="P688">
        <v>41388391</v>
      </c>
    </row>
    <row r="689" spans="1:16">
      <c r="A689" t="s">
        <v>41</v>
      </c>
      <c r="B689">
        <v>1</v>
      </c>
      <c r="E689" t="s">
        <v>3424</v>
      </c>
      <c r="F689" t="s">
        <v>3425</v>
      </c>
      <c r="G689" t="s">
        <v>3426</v>
      </c>
      <c r="I689" t="s">
        <v>3338</v>
      </c>
      <c r="J689" t="s">
        <v>2421</v>
      </c>
      <c r="K689" t="s">
        <v>3354</v>
      </c>
      <c r="L689" t="s">
        <v>3369</v>
      </c>
      <c r="N689" t="s">
        <v>3429</v>
      </c>
      <c r="O689" t="s">
        <v>3430</v>
      </c>
      <c r="P689">
        <v>41388391</v>
      </c>
    </row>
    <row r="690" spans="1:16">
      <c r="A690" t="s">
        <v>41</v>
      </c>
      <c r="B690">
        <v>1</v>
      </c>
      <c r="E690" t="s">
        <v>3424</v>
      </c>
      <c r="F690" t="s">
        <v>3425</v>
      </c>
      <c r="G690" t="s">
        <v>3426</v>
      </c>
      <c r="I690" t="s">
        <v>3338</v>
      </c>
      <c r="J690" t="s">
        <v>2232</v>
      </c>
      <c r="K690" t="s">
        <v>2233</v>
      </c>
      <c r="L690" t="s">
        <v>3342</v>
      </c>
      <c r="N690" t="s">
        <v>3431</v>
      </c>
      <c r="O690" t="s">
        <v>3432</v>
      </c>
      <c r="P690">
        <v>41388391</v>
      </c>
    </row>
    <row r="691" spans="1:16">
      <c r="A691" t="s">
        <v>41</v>
      </c>
      <c r="B691">
        <v>0</v>
      </c>
      <c r="G691" t="s">
        <v>3338</v>
      </c>
      <c r="I691" t="s">
        <v>3338</v>
      </c>
      <c r="N691" t="s">
        <v>3433</v>
      </c>
      <c r="O691" t="s">
        <v>3434</v>
      </c>
      <c r="P691">
        <v>41388391</v>
      </c>
    </row>
    <row r="692" spans="1:16">
      <c r="A692" t="s">
        <v>41</v>
      </c>
      <c r="B692">
        <v>1</v>
      </c>
      <c r="E692" t="s">
        <v>3433</v>
      </c>
      <c r="F692" t="s">
        <v>3434</v>
      </c>
      <c r="G692" t="s">
        <v>3435</v>
      </c>
      <c r="I692" t="s">
        <v>3338</v>
      </c>
      <c r="J692" t="s">
        <v>2232</v>
      </c>
      <c r="K692" t="s">
        <v>2233</v>
      </c>
      <c r="L692" t="s">
        <v>3342</v>
      </c>
      <c r="N692" t="s">
        <v>3436</v>
      </c>
      <c r="O692" t="s">
        <v>3437</v>
      </c>
      <c r="P692">
        <v>41388391</v>
      </c>
    </row>
    <row r="693" spans="1:16">
      <c r="A693" t="s">
        <v>41</v>
      </c>
      <c r="B693">
        <v>1</v>
      </c>
      <c r="E693" t="s">
        <v>3433</v>
      </c>
      <c r="F693" t="s">
        <v>3434</v>
      </c>
      <c r="G693" t="s">
        <v>3435</v>
      </c>
      <c r="I693" t="s">
        <v>3338</v>
      </c>
      <c r="J693" t="s">
        <v>2232</v>
      </c>
      <c r="K693" t="s">
        <v>2233</v>
      </c>
      <c r="L693" t="s">
        <v>3342</v>
      </c>
      <c r="N693" t="s">
        <v>3438</v>
      </c>
      <c r="O693" t="s">
        <v>3439</v>
      </c>
      <c r="P693">
        <v>41388391</v>
      </c>
    </row>
    <row r="694" spans="1:16">
      <c r="A694" t="s">
        <v>41</v>
      </c>
      <c r="B694">
        <v>1</v>
      </c>
      <c r="E694" t="s">
        <v>3433</v>
      </c>
      <c r="F694" t="s">
        <v>3434</v>
      </c>
      <c r="G694" t="s">
        <v>3435</v>
      </c>
      <c r="I694" t="s">
        <v>3338</v>
      </c>
      <c r="J694" t="s">
        <v>2232</v>
      </c>
      <c r="K694" t="s">
        <v>2233</v>
      </c>
      <c r="L694" t="s">
        <v>3342</v>
      </c>
      <c r="N694" t="s">
        <v>3440</v>
      </c>
      <c r="O694" t="s">
        <v>3441</v>
      </c>
      <c r="P694">
        <v>41388391</v>
      </c>
    </row>
    <row r="695" spans="1:16">
      <c r="A695" t="s">
        <v>41</v>
      </c>
      <c r="B695">
        <v>1</v>
      </c>
      <c r="E695" t="s">
        <v>3433</v>
      </c>
      <c r="F695" t="s">
        <v>3434</v>
      </c>
      <c r="G695" t="s">
        <v>3435</v>
      </c>
      <c r="I695" t="s">
        <v>3338</v>
      </c>
      <c r="J695" t="s">
        <v>2232</v>
      </c>
      <c r="K695" t="s">
        <v>2233</v>
      </c>
      <c r="L695" t="s">
        <v>3342</v>
      </c>
      <c r="N695" t="s">
        <v>3442</v>
      </c>
      <c r="O695" t="s">
        <v>3443</v>
      </c>
      <c r="P695">
        <v>41388391</v>
      </c>
    </row>
    <row r="696" spans="1:16">
      <c r="A696" t="s">
        <v>41</v>
      </c>
      <c r="B696">
        <v>1</v>
      </c>
      <c r="E696" t="s">
        <v>3433</v>
      </c>
      <c r="F696" t="s">
        <v>3434</v>
      </c>
      <c r="G696" t="s">
        <v>3435</v>
      </c>
      <c r="I696" t="s">
        <v>3338</v>
      </c>
      <c r="J696" t="s">
        <v>2232</v>
      </c>
      <c r="K696" t="s">
        <v>2233</v>
      </c>
      <c r="L696" t="s">
        <v>3342</v>
      </c>
      <c r="N696" t="s">
        <v>3444</v>
      </c>
      <c r="O696" t="s">
        <v>3445</v>
      </c>
      <c r="P696">
        <v>41388391</v>
      </c>
    </row>
    <row r="697" spans="1:16">
      <c r="A697" t="s">
        <v>41</v>
      </c>
      <c r="B697">
        <v>1</v>
      </c>
      <c r="E697" t="s">
        <v>3433</v>
      </c>
      <c r="F697" t="s">
        <v>3434</v>
      </c>
      <c r="G697" t="s">
        <v>3435</v>
      </c>
      <c r="I697" t="s">
        <v>3338</v>
      </c>
      <c r="J697" t="s">
        <v>2232</v>
      </c>
      <c r="K697" t="s">
        <v>2233</v>
      </c>
      <c r="L697" t="s">
        <v>3342</v>
      </c>
      <c r="N697" t="s">
        <v>3446</v>
      </c>
      <c r="O697" t="s">
        <v>3447</v>
      </c>
      <c r="P697">
        <v>41388391</v>
      </c>
    </row>
    <row r="698" spans="1:16">
      <c r="A698" t="s">
        <v>41</v>
      </c>
      <c r="B698">
        <v>0</v>
      </c>
      <c r="G698" t="s">
        <v>3338</v>
      </c>
      <c r="I698" t="s">
        <v>3338</v>
      </c>
      <c r="N698" t="s">
        <v>3448</v>
      </c>
      <c r="O698" t="s">
        <v>3449</v>
      </c>
      <c r="P698">
        <v>41388391</v>
      </c>
    </row>
    <row r="699" spans="1:16">
      <c r="A699" t="s">
        <v>41</v>
      </c>
      <c r="B699">
        <v>1</v>
      </c>
      <c r="E699" t="s">
        <v>3448</v>
      </c>
      <c r="F699" t="s">
        <v>3449</v>
      </c>
      <c r="G699" t="s">
        <v>3450</v>
      </c>
      <c r="I699" t="s">
        <v>3338</v>
      </c>
      <c r="J699" t="s">
        <v>2421</v>
      </c>
      <c r="K699" t="s">
        <v>3354</v>
      </c>
      <c r="L699" t="s">
        <v>3451</v>
      </c>
      <c r="N699" t="s">
        <v>3452</v>
      </c>
      <c r="O699" t="s">
        <v>3453</v>
      </c>
      <c r="P699">
        <v>41388391</v>
      </c>
    </row>
    <row r="700" spans="1:16">
      <c r="A700" t="s">
        <v>43</v>
      </c>
      <c r="B700">
        <v>0</v>
      </c>
      <c r="G700" t="s">
        <v>3338</v>
      </c>
      <c r="I700" t="s">
        <v>3338</v>
      </c>
      <c r="N700" t="s">
        <v>3339</v>
      </c>
      <c r="O700" t="s">
        <v>3340</v>
      </c>
      <c r="P700">
        <v>41369527</v>
      </c>
    </row>
    <row r="701" spans="1:16">
      <c r="A701" t="s">
        <v>43</v>
      </c>
      <c r="B701">
        <v>1</v>
      </c>
      <c r="E701" t="s">
        <v>3339</v>
      </c>
      <c r="F701" t="s">
        <v>3340</v>
      </c>
      <c r="G701" t="s">
        <v>3341</v>
      </c>
      <c r="I701" t="s">
        <v>3338</v>
      </c>
      <c r="J701" t="s">
        <v>2232</v>
      </c>
      <c r="K701" t="s">
        <v>2233</v>
      </c>
      <c r="L701" t="s">
        <v>3342</v>
      </c>
      <c r="N701" t="s">
        <v>3343</v>
      </c>
      <c r="O701" t="s">
        <v>3344</v>
      </c>
      <c r="P701">
        <v>41369527</v>
      </c>
    </row>
    <row r="702" spans="1:16">
      <c r="A702" t="s">
        <v>43</v>
      </c>
      <c r="B702">
        <v>1</v>
      </c>
      <c r="E702" t="s">
        <v>3339</v>
      </c>
      <c r="F702" t="s">
        <v>3340</v>
      </c>
      <c r="G702" t="s">
        <v>3341</v>
      </c>
      <c r="I702" t="s">
        <v>3338</v>
      </c>
      <c r="J702" t="s">
        <v>2232</v>
      </c>
      <c r="K702" t="s">
        <v>2233</v>
      </c>
      <c r="L702" t="s">
        <v>3342</v>
      </c>
      <c r="N702" t="s">
        <v>3345</v>
      </c>
      <c r="O702" t="s">
        <v>3346</v>
      </c>
      <c r="P702">
        <v>41369527</v>
      </c>
    </row>
    <row r="703" spans="1:16">
      <c r="A703" t="s">
        <v>43</v>
      </c>
      <c r="B703">
        <v>0</v>
      </c>
      <c r="G703" t="s">
        <v>3338</v>
      </c>
      <c r="I703" t="s">
        <v>3338</v>
      </c>
      <c r="N703" t="s">
        <v>3347</v>
      </c>
      <c r="O703" t="s">
        <v>3344</v>
      </c>
      <c r="P703">
        <v>41369527</v>
      </c>
    </row>
    <row r="704" spans="1:16">
      <c r="A704" t="s">
        <v>43</v>
      </c>
      <c r="B704">
        <v>1</v>
      </c>
      <c r="E704" t="s">
        <v>3347</v>
      </c>
      <c r="F704" t="s">
        <v>3344</v>
      </c>
      <c r="G704" t="s">
        <v>3348</v>
      </c>
      <c r="I704" t="s">
        <v>3338</v>
      </c>
      <c r="J704" t="s">
        <v>2232</v>
      </c>
      <c r="K704" t="s">
        <v>2233</v>
      </c>
      <c r="L704" t="s">
        <v>3342</v>
      </c>
      <c r="N704" t="s">
        <v>3349</v>
      </c>
      <c r="O704" t="s">
        <v>3350</v>
      </c>
      <c r="P704">
        <v>41369527</v>
      </c>
    </row>
    <row r="705" spans="1:16">
      <c r="A705" t="s">
        <v>43</v>
      </c>
      <c r="B705">
        <v>1</v>
      </c>
      <c r="E705" t="s">
        <v>3347</v>
      </c>
      <c r="F705" t="s">
        <v>3344</v>
      </c>
      <c r="G705" t="s">
        <v>3348</v>
      </c>
      <c r="I705" t="s">
        <v>3338</v>
      </c>
      <c r="L705" t="s">
        <v>193</v>
      </c>
      <c r="N705" t="s">
        <v>3351</v>
      </c>
      <c r="O705" t="s">
        <v>3352</v>
      </c>
      <c r="P705">
        <v>41369527</v>
      </c>
    </row>
    <row r="706" spans="1:16">
      <c r="A706" t="s">
        <v>43</v>
      </c>
      <c r="B706">
        <v>2</v>
      </c>
      <c r="E706" t="s">
        <v>3351</v>
      </c>
      <c r="F706" t="s">
        <v>3352</v>
      </c>
      <c r="G706" t="s">
        <v>3353</v>
      </c>
      <c r="I706" t="s">
        <v>3338</v>
      </c>
      <c r="J706" t="s">
        <v>2421</v>
      </c>
      <c r="K706" t="s">
        <v>3354</v>
      </c>
      <c r="L706" t="s">
        <v>3355</v>
      </c>
      <c r="N706" t="s">
        <v>3356</v>
      </c>
      <c r="O706" t="s">
        <v>3357</v>
      </c>
      <c r="P706">
        <v>41369527</v>
      </c>
    </row>
    <row r="707" spans="1:16">
      <c r="A707" t="s">
        <v>43</v>
      </c>
      <c r="B707">
        <v>2</v>
      </c>
      <c r="E707" t="s">
        <v>3351</v>
      </c>
      <c r="F707" t="s">
        <v>3352</v>
      </c>
      <c r="G707" t="s">
        <v>3353</v>
      </c>
      <c r="I707" t="s">
        <v>3338</v>
      </c>
      <c r="J707" t="s">
        <v>2421</v>
      </c>
      <c r="K707" t="s">
        <v>3354</v>
      </c>
      <c r="L707" t="s">
        <v>3355</v>
      </c>
      <c r="N707" t="s">
        <v>3358</v>
      </c>
      <c r="O707" t="s">
        <v>3359</v>
      </c>
      <c r="P707">
        <v>41369527</v>
      </c>
    </row>
    <row r="708" spans="1:16">
      <c r="A708" t="s">
        <v>43</v>
      </c>
      <c r="B708">
        <v>2</v>
      </c>
      <c r="E708" t="s">
        <v>3351</v>
      </c>
      <c r="F708" t="s">
        <v>3352</v>
      </c>
      <c r="G708" t="s">
        <v>3353</v>
      </c>
      <c r="I708" t="s">
        <v>3338</v>
      </c>
      <c r="J708" t="s">
        <v>2421</v>
      </c>
      <c r="K708" t="s">
        <v>3354</v>
      </c>
      <c r="L708" t="s">
        <v>3355</v>
      </c>
      <c r="N708" t="s">
        <v>3360</v>
      </c>
      <c r="O708" t="s">
        <v>3361</v>
      </c>
      <c r="P708">
        <v>41369527</v>
      </c>
    </row>
    <row r="709" spans="1:16">
      <c r="A709" t="s">
        <v>43</v>
      </c>
      <c r="B709">
        <v>1</v>
      </c>
      <c r="E709" t="s">
        <v>3347</v>
      </c>
      <c r="F709" t="s">
        <v>3344</v>
      </c>
      <c r="G709" t="s">
        <v>3348</v>
      </c>
      <c r="I709" t="s">
        <v>3338</v>
      </c>
      <c r="J709" t="s">
        <v>2236</v>
      </c>
      <c r="K709" t="s">
        <v>3362</v>
      </c>
      <c r="L709" t="s">
        <v>3363</v>
      </c>
      <c r="N709" t="s">
        <v>3364</v>
      </c>
      <c r="O709" t="s">
        <v>3365</v>
      </c>
      <c r="P709">
        <v>41369527</v>
      </c>
    </row>
    <row r="710" spans="1:16">
      <c r="A710" t="s">
        <v>43</v>
      </c>
      <c r="B710">
        <v>1</v>
      </c>
      <c r="E710" t="s">
        <v>3347</v>
      </c>
      <c r="F710" t="s">
        <v>3344</v>
      </c>
      <c r="G710" t="s">
        <v>3348</v>
      </c>
      <c r="I710" t="s">
        <v>3338</v>
      </c>
      <c r="L710" t="s">
        <v>193</v>
      </c>
      <c r="N710" t="s">
        <v>3366</v>
      </c>
      <c r="O710" t="s">
        <v>3367</v>
      </c>
      <c r="P710">
        <v>41369527</v>
      </c>
    </row>
    <row r="711" spans="1:16">
      <c r="A711" t="s">
        <v>43</v>
      </c>
      <c r="B711">
        <v>2</v>
      </c>
      <c r="E711" t="s">
        <v>3366</v>
      </c>
      <c r="F711" t="s">
        <v>3367</v>
      </c>
      <c r="G711" t="s">
        <v>3368</v>
      </c>
      <c r="I711" t="s">
        <v>3338</v>
      </c>
      <c r="J711" t="s">
        <v>2421</v>
      </c>
      <c r="K711" t="s">
        <v>3354</v>
      </c>
      <c r="L711" t="s">
        <v>3369</v>
      </c>
      <c r="N711" t="s">
        <v>3370</v>
      </c>
      <c r="O711" t="s">
        <v>3359</v>
      </c>
      <c r="P711">
        <v>41369527</v>
      </c>
    </row>
    <row r="712" spans="1:16">
      <c r="A712" t="s">
        <v>43</v>
      </c>
      <c r="B712">
        <v>2</v>
      </c>
      <c r="E712" t="s">
        <v>3366</v>
      </c>
      <c r="F712" t="s">
        <v>3367</v>
      </c>
      <c r="G712" t="s">
        <v>3368</v>
      </c>
      <c r="I712" t="s">
        <v>3338</v>
      </c>
      <c r="J712" t="s">
        <v>2421</v>
      </c>
      <c r="K712" t="s">
        <v>3354</v>
      </c>
      <c r="L712" t="s">
        <v>3369</v>
      </c>
      <c r="N712" t="s">
        <v>3371</v>
      </c>
      <c r="O712" t="s">
        <v>3372</v>
      </c>
      <c r="P712">
        <v>41369527</v>
      </c>
    </row>
    <row r="713" spans="1:16">
      <c r="A713" t="s">
        <v>43</v>
      </c>
      <c r="B713">
        <v>2</v>
      </c>
      <c r="E713" t="s">
        <v>3366</v>
      </c>
      <c r="F713" t="s">
        <v>3367</v>
      </c>
      <c r="G713" t="s">
        <v>3368</v>
      </c>
      <c r="I713" t="s">
        <v>3338</v>
      </c>
      <c r="J713" t="s">
        <v>2421</v>
      </c>
      <c r="K713" t="s">
        <v>3354</v>
      </c>
      <c r="L713" t="s">
        <v>3369</v>
      </c>
      <c r="N713" t="s">
        <v>3373</v>
      </c>
      <c r="O713" t="s">
        <v>3374</v>
      </c>
      <c r="P713">
        <v>41369527</v>
      </c>
    </row>
    <row r="714" spans="1:16">
      <c r="A714" t="s">
        <v>43</v>
      </c>
      <c r="B714">
        <v>2</v>
      </c>
      <c r="E714" t="s">
        <v>3366</v>
      </c>
      <c r="F714" t="s">
        <v>3367</v>
      </c>
      <c r="G714" t="s">
        <v>3368</v>
      </c>
      <c r="I714" t="s">
        <v>3338</v>
      </c>
      <c r="J714" t="s">
        <v>2236</v>
      </c>
      <c r="K714" t="s">
        <v>3362</v>
      </c>
      <c r="L714" t="s">
        <v>3363</v>
      </c>
      <c r="N714" t="s">
        <v>3375</v>
      </c>
      <c r="O714" t="s">
        <v>3376</v>
      </c>
      <c r="P714">
        <v>41369527</v>
      </c>
    </row>
    <row r="715" spans="1:16">
      <c r="A715" t="s">
        <v>43</v>
      </c>
      <c r="B715">
        <v>0</v>
      </c>
      <c r="G715" t="s">
        <v>3338</v>
      </c>
      <c r="I715" t="s">
        <v>3338</v>
      </c>
      <c r="N715" t="s">
        <v>3377</v>
      </c>
      <c r="O715" t="s">
        <v>3346</v>
      </c>
      <c r="P715">
        <v>41369527</v>
      </c>
    </row>
    <row r="716" spans="1:16">
      <c r="A716" t="s">
        <v>43</v>
      </c>
      <c r="B716">
        <v>1</v>
      </c>
      <c r="E716" t="s">
        <v>3377</v>
      </c>
      <c r="F716" t="s">
        <v>3346</v>
      </c>
      <c r="G716" t="s">
        <v>3378</v>
      </c>
      <c r="I716" t="s">
        <v>3338</v>
      </c>
      <c r="L716" t="s">
        <v>193</v>
      </c>
      <c r="N716" t="s">
        <v>3379</v>
      </c>
      <c r="O716" t="s">
        <v>3380</v>
      </c>
      <c r="P716">
        <v>41369527</v>
      </c>
    </row>
    <row r="717" spans="1:16">
      <c r="A717" t="s">
        <v>43</v>
      </c>
      <c r="B717">
        <v>2</v>
      </c>
      <c r="E717" t="s">
        <v>3379</v>
      </c>
      <c r="F717" t="s">
        <v>3380</v>
      </c>
      <c r="G717" t="s">
        <v>3381</v>
      </c>
      <c r="I717" t="s">
        <v>3338</v>
      </c>
      <c r="J717" t="s">
        <v>2421</v>
      </c>
      <c r="K717" t="s">
        <v>3354</v>
      </c>
      <c r="L717" t="s">
        <v>3369</v>
      </c>
      <c r="N717" t="s">
        <v>3382</v>
      </c>
      <c r="O717" t="s">
        <v>3352</v>
      </c>
      <c r="P717">
        <v>41369527</v>
      </c>
    </row>
    <row r="718" spans="1:16">
      <c r="A718" t="s">
        <v>43</v>
      </c>
      <c r="B718">
        <v>2</v>
      </c>
      <c r="E718" t="s">
        <v>3379</v>
      </c>
      <c r="F718" t="s">
        <v>3380</v>
      </c>
      <c r="G718" t="s">
        <v>3381</v>
      </c>
      <c r="I718" t="s">
        <v>3338</v>
      </c>
      <c r="J718" t="s">
        <v>2236</v>
      </c>
      <c r="K718" t="s">
        <v>3362</v>
      </c>
      <c r="L718" t="s">
        <v>3383</v>
      </c>
      <c r="N718" t="s">
        <v>3384</v>
      </c>
      <c r="O718" t="s">
        <v>3385</v>
      </c>
      <c r="P718">
        <v>41369527</v>
      </c>
    </row>
    <row r="719" spans="1:16">
      <c r="A719" t="s">
        <v>43</v>
      </c>
      <c r="B719">
        <v>2</v>
      </c>
      <c r="E719" t="s">
        <v>3379</v>
      </c>
      <c r="F719" t="s">
        <v>3380</v>
      </c>
      <c r="G719" t="s">
        <v>3381</v>
      </c>
      <c r="I719" t="s">
        <v>3338</v>
      </c>
      <c r="J719" t="s">
        <v>2232</v>
      </c>
      <c r="K719" t="s">
        <v>2233</v>
      </c>
      <c r="L719" t="s">
        <v>3342</v>
      </c>
      <c r="N719" t="s">
        <v>3386</v>
      </c>
      <c r="O719" t="s">
        <v>3350</v>
      </c>
      <c r="P719">
        <v>41369527</v>
      </c>
    </row>
    <row r="720" spans="1:16">
      <c r="A720" t="s">
        <v>43</v>
      </c>
      <c r="B720">
        <v>0</v>
      </c>
      <c r="G720" t="s">
        <v>3338</v>
      </c>
      <c r="I720" t="s">
        <v>3338</v>
      </c>
      <c r="N720" t="s">
        <v>3395</v>
      </c>
      <c r="O720" t="s">
        <v>3396</v>
      </c>
      <c r="P720">
        <v>41369527</v>
      </c>
    </row>
    <row r="721" spans="1:16">
      <c r="A721" t="s">
        <v>43</v>
      </c>
      <c r="B721">
        <v>1</v>
      </c>
      <c r="E721" t="s">
        <v>3395</v>
      </c>
      <c r="F721" t="s">
        <v>3396</v>
      </c>
      <c r="G721" t="s">
        <v>3397</v>
      </c>
      <c r="I721" t="s">
        <v>3338</v>
      </c>
      <c r="L721" t="s">
        <v>3342</v>
      </c>
      <c r="N721" t="s">
        <v>3398</v>
      </c>
      <c r="O721" t="s">
        <v>3399</v>
      </c>
      <c r="P721">
        <v>41369527</v>
      </c>
    </row>
    <row r="722" spans="1:16">
      <c r="A722" t="s">
        <v>43</v>
      </c>
      <c r="B722">
        <v>1</v>
      </c>
      <c r="E722" t="s">
        <v>3395</v>
      </c>
      <c r="F722" t="s">
        <v>3396</v>
      </c>
      <c r="G722" t="s">
        <v>3397</v>
      </c>
      <c r="I722" t="s">
        <v>3338</v>
      </c>
      <c r="J722" t="s">
        <v>2232</v>
      </c>
      <c r="K722" t="s">
        <v>2233</v>
      </c>
      <c r="L722" t="s">
        <v>3342</v>
      </c>
      <c r="N722" t="s">
        <v>3400</v>
      </c>
      <c r="O722" t="s">
        <v>3401</v>
      </c>
      <c r="P722">
        <v>41369527</v>
      </c>
    </row>
    <row r="723" spans="1:16">
      <c r="A723" t="s">
        <v>43</v>
      </c>
      <c r="B723">
        <v>1</v>
      </c>
      <c r="E723" t="s">
        <v>3395</v>
      </c>
      <c r="F723" t="s">
        <v>3396</v>
      </c>
      <c r="G723" t="s">
        <v>3397</v>
      </c>
      <c r="I723" t="s">
        <v>3338</v>
      </c>
      <c r="J723" t="s">
        <v>2232</v>
      </c>
      <c r="K723" t="s">
        <v>2233</v>
      </c>
      <c r="L723" t="s">
        <v>3342</v>
      </c>
      <c r="N723" t="s">
        <v>3402</v>
      </c>
      <c r="O723" t="s">
        <v>3403</v>
      </c>
      <c r="P723">
        <v>41369527</v>
      </c>
    </row>
    <row r="724" spans="1:16">
      <c r="A724" t="s">
        <v>43</v>
      </c>
      <c r="B724">
        <v>1</v>
      </c>
      <c r="E724" t="s">
        <v>3395</v>
      </c>
      <c r="F724" t="s">
        <v>3396</v>
      </c>
      <c r="G724" t="s">
        <v>3397</v>
      </c>
      <c r="I724" t="s">
        <v>3338</v>
      </c>
      <c r="J724" t="s">
        <v>2232</v>
      </c>
      <c r="K724" t="s">
        <v>2233</v>
      </c>
      <c r="L724" t="s">
        <v>3342</v>
      </c>
      <c r="N724" t="s">
        <v>3404</v>
      </c>
      <c r="O724" t="s">
        <v>3405</v>
      </c>
      <c r="P724">
        <v>41369527</v>
      </c>
    </row>
    <row r="725" spans="1:16">
      <c r="A725" t="s">
        <v>43</v>
      </c>
      <c r="B725">
        <v>0</v>
      </c>
      <c r="G725" t="s">
        <v>3338</v>
      </c>
      <c r="I725" t="s">
        <v>3338</v>
      </c>
      <c r="N725" t="s">
        <v>3406</v>
      </c>
      <c r="O725" t="s">
        <v>3407</v>
      </c>
      <c r="P725">
        <v>41369527</v>
      </c>
    </row>
    <row r="726" spans="1:16">
      <c r="A726" t="s">
        <v>43</v>
      </c>
      <c r="B726">
        <v>1</v>
      </c>
      <c r="E726" t="s">
        <v>3406</v>
      </c>
      <c r="F726" t="s">
        <v>3407</v>
      </c>
      <c r="G726" t="s">
        <v>3408</v>
      </c>
      <c r="I726" t="s">
        <v>3338</v>
      </c>
      <c r="J726" t="s">
        <v>2421</v>
      </c>
      <c r="K726" t="s">
        <v>3354</v>
      </c>
      <c r="L726" t="s">
        <v>3369</v>
      </c>
      <c r="N726" t="s">
        <v>3409</v>
      </c>
      <c r="O726" t="s">
        <v>3410</v>
      </c>
      <c r="P726">
        <v>41369527</v>
      </c>
    </row>
    <row r="727" spans="1:16">
      <c r="A727" t="s">
        <v>43</v>
      </c>
      <c r="B727">
        <v>1</v>
      </c>
      <c r="E727" t="s">
        <v>3406</v>
      </c>
      <c r="F727" t="s">
        <v>3407</v>
      </c>
      <c r="G727" t="s">
        <v>3408</v>
      </c>
      <c r="I727" t="s">
        <v>3338</v>
      </c>
      <c r="L727" t="s">
        <v>193</v>
      </c>
      <c r="N727" t="s">
        <v>3411</v>
      </c>
      <c r="O727" t="s">
        <v>3412</v>
      </c>
      <c r="P727">
        <v>41369527</v>
      </c>
    </row>
    <row r="728" spans="1:16">
      <c r="A728" t="s">
        <v>43</v>
      </c>
      <c r="B728">
        <v>2</v>
      </c>
      <c r="E728" t="s">
        <v>3411</v>
      </c>
      <c r="F728" t="s">
        <v>3412</v>
      </c>
      <c r="G728" t="s">
        <v>3413</v>
      </c>
      <c r="I728" t="s">
        <v>3338</v>
      </c>
      <c r="J728" t="s">
        <v>2232</v>
      </c>
      <c r="K728" t="s">
        <v>2233</v>
      </c>
      <c r="L728" t="s">
        <v>3342</v>
      </c>
      <c r="N728" t="s">
        <v>3414</v>
      </c>
      <c r="O728" t="s">
        <v>3415</v>
      </c>
      <c r="P728">
        <v>41369527</v>
      </c>
    </row>
    <row r="729" spans="1:16">
      <c r="A729" t="s">
        <v>43</v>
      </c>
      <c r="B729">
        <v>2</v>
      </c>
      <c r="E729" t="s">
        <v>3411</v>
      </c>
      <c r="F729" t="s">
        <v>3412</v>
      </c>
      <c r="G729" t="s">
        <v>3413</v>
      </c>
      <c r="I729" t="s">
        <v>3338</v>
      </c>
      <c r="J729" t="s">
        <v>2232</v>
      </c>
      <c r="K729" t="s">
        <v>2233</v>
      </c>
      <c r="L729" t="s">
        <v>3342</v>
      </c>
      <c r="N729" t="s">
        <v>3416</v>
      </c>
      <c r="O729" t="s">
        <v>3417</v>
      </c>
      <c r="P729">
        <v>41369527</v>
      </c>
    </row>
    <row r="730" spans="1:16">
      <c r="A730" t="s">
        <v>43</v>
      </c>
      <c r="B730">
        <v>2</v>
      </c>
      <c r="E730" t="s">
        <v>3411</v>
      </c>
      <c r="F730" t="s">
        <v>3412</v>
      </c>
      <c r="G730" t="s">
        <v>3413</v>
      </c>
      <c r="I730" t="s">
        <v>3338</v>
      </c>
      <c r="J730" t="s">
        <v>2232</v>
      </c>
      <c r="K730" t="s">
        <v>2233</v>
      </c>
      <c r="L730" t="s">
        <v>3342</v>
      </c>
      <c r="N730" t="s">
        <v>3418</v>
      </c>
      <c r="O730" t="s">
        <v>3419</v>
      </c>
      <c r="P730">
        <v>41369527</v>
      </c>
    </row>
    <row r="731" spans="1:16">
      <c r="A731" t="s">
        <v>43</v>
      </c>
      <c r="B731">
        <v>2</v>
      </c>
      <c r="E731" t="s">
        <v>3411</v>
      </c>
      <c r="F731" t="s">
        <v>3412</v>
      </c>
      <c r="G731" t="s">
        <v>3413</v>
      </c>
      <c r="I731" t="s">
        <v>3338</v>
      </c>
      <c r="J731" t="s">
        <v>2232</v>
      </c>
      <c r="K731" t="s">
        <v>2233</v>
      </c>
      <c r="L731" t="s">
        <v>3342</v>
      </c>
      <c r="N731" t="s">
        <v>3420</v>
      </c>
      <c r="O731" t="s">
        <v>3421</v>
      </c>
      <c r="P731">
        <v>41369527</v>
      </c>
    </row>
    <row r="732" spans="1:16">
      <c r="A732" t="s">
        <v>43</v>
      </c>
      <c r="B732">
        <v>2</v>
      </c>
      <c r="E732" t="s">
        <v>3411</v>
      </c>
      <c r="F732" t="s">
        <v>3412</v>
      </c>
      <c r="G732" t="s">
        <v>3413</v>
      </c>
      <c r="I732" t="s">
        <v>3338</v>
      </c>
      <c r="J732" t="s">
        <v>2232</v>
      </c>
      <c r="K732" t="s">
        <v>2233</v>
      </c>
      <c r="L732" t="s">
        <v>3342</v>
      </c>
      <c r="N732" t="s">
        <v>3422</v>
      </c>
      <c r="O732" t="s">
        <v>3423</v>
      </c>
      <c r="P732">
        <v>41369527</v>
      </c>
    </row>
    <row r="733" spans="1:16">
      <c r="A733" t="s">
        <v>43</v>
      </c>
      <c r="B733">
        <v>0</v>
      </c>
      <c r="G733" t="s">
        <v>3338</v>
      </c>
      <c r="I733" t="s">
        <v>3338</v>
      </c>
      <c r="N733" t="s">
        <v>3424</v>
      </c>
      <c r="O733" t="s">
        <v>3425</v>
      </c>
      <c r="P733">
        <v>41369527</v>
      </c>
    </row>
    <row r="734" spans="1:16">
      <c r="A734" t="s">
        <v>43</v>
      </c>
      <c r="B734">
        <v>1</v>
      </c>
      <c r="E734" t="s">
        <v>3424</v>
      </c>
      <c r="F734" t="s">
        <v>3425</v>
      </c>
      <c r="G734" t="s">
        <v>3426</v>
      </c>
      <c r="I734" t="s">
        <v>3338</v>
      </c>
      <c r="J734" t="s">
        <v>2421</v>
      </c>
      <c r="K734" t="s">
        <v>3354</v>
      </c>
      <c r="L734" t="s">
        <v>3369</v>
      </c>
      <c r="N734" t="s">
        <v>3427</v>
      </c>
      <c r="O734" t="s">
        <v>3428</v>
      </c>
      <c r="P734">
        <v>41369527</v>
      </c>
    </row>
    <row r="735" spans="1:16">
      <c r="A735" t="s">
        <v>43</v>
      </c>
      <c r="B735">
        <v>1</v>
      </c>
      <c r="E735" t="s">
        <v>3424</v>
      </c>
      <c r="F735" t="s">
        <v>3425</v>
      </c>
      <c r="G735" t="s">
        <v>3426</v>
      </c>
      <c r="I735" t="s">
        <v>3338</v>
      </c>
      <c r="J735" t="s">
        <v>2421</v>
      </c>
      <c r="K735" t="s">
        <v>3354</v>
      </c>
      <c r="L735" t="s">
        <v>3369</v>
      </c>
      <c r="N735" t="s">
        <v>3429</v>
      </c>
      <c r="O735" t="s">
        <v>3430</v>
      </c>
      <c r="P735">
        <v>41369527</v>
      </c>
    </row>
    <row r="736" spans="1:16">
      <c r="A736" t="s">
        <v>43</v>
      </c>
      <c r="B736">
        <v>1</v>
      </c>
      <c r="E736" t="s">
        <v>3424</v>
      </c>
      <c r="F736" t="s">
        <v>3425</v>
      </c>
      <c r="G736" t="s">
        <v>3426</v>
      </c>
      <c r="I736" t="s">
        <v>3338</v>
      </c>
      <c r="J736" t="s">
        <v>2232</v>
      </c>
      <c r="K736" t="s">
        <v>2233</v>
      </c>
      <c r="L736" t="s">
        <v>3342</v>
      </c>
      <c r="N736" t="s">
        <v>3431</v>
      </c>
      <c r="O736" t="s">
        <v>3432</v>
      </c>
      <c r="P736">
        <v>41369527</v>
      </c>
    </row>
    <row r="737" spans="1:16">
      <c r="A737" t="s">
        <v>43</v>
      </c>
      <c r="B737">
        <v>0</v>
      </c>
      <c r="G737" t="s">
        <v>3338</v>
      </c>
      <c r="I737" t="s">
        <v>3338</v>
      </c>
      <c r="N737" t="s">
        <v>3433</v>
      </c>
      <c r="O737" t="s">
        <v>3434</v>
      </c>
      <c r="P737">
        <v>41369527</v>
      </c>
    </row>
    <row r="738" spans="1:16">
      <c r="A738" t="s">
        <v>43</v>
      </c>
      <c r="B738">
        <v>1</v>
      </c>
      <c r="E738" t="s">
        <v>3433</v>
      </c>
      <c r="F738" t="s">
        <v>3434</v>
      </c>
      <c r="G738" t="s">
        <v>3435</v>
      </c>
      <c r="I738" t="s">
        <v>3338</v>
      </c>
      <c r="J738" t="s">
        <v>2232</v>
      </c>
      <c r="K738" t="s">
        <v>2233</v>
      </c>
      <c r="L738" t="s">
        <v>3342</v>
      </c>
      <c r="N738" t="s">
        <v>3436</v>
      </c>
      <c r="O738" t="s">
        <v>3437</v>
      </c>
      <c r="P738">
        <v>41369527</v>
      </c>
    </row>
    <row r="739" spans="1:16">
      <c r="A739" t="s">
        <v>43</v>
      </c>
      <c r="B739">
        <v>1</v>
      </c>
      <c r="E739" t="s">
        <v>3433</v>
      </c>
      <c r="F739" t="s">
        <v>3434</v>
      </c>
      <c r="G739" t="s">
        <v>3435</v>
      </c>
      <c r="I739" t="s">
        <v>3338</v>
      </c>
      <c r="J739" t="s">
        <v>2232</v>
      </c>
      <c r="K739" t="s">
        <v>2233</v>
      </c>
      <c r="L739" t="s">
        <v>3342</v>
      </c>
      <c r="N739" t="s">
        <v>3438</v>
      </c>
      <c r="O739" t="s">
        <v>3439</v>
      </c>
      <c r="P739">
        <v>41369527</v>
      </c>
    </row>
    <row r="740" spans="1:16">
      <c r="A740" t="s">
        <v>43</v>
      </c>
      <c r="B740">
        <v>1</v>
      </c>
      <c r="E740" t="s">
        <v>3433</v>
      </c>
      <c r="F740" t="s">
        <v>3434</v>
      </c>
      <c r="G740" t="s">
        <v>3435</v>
      </c>
      <c r="I740" t="s">
        <v>3338</v>
      </c>
      <c r="J740" t="s">
        <v>2232</v>
      </c>
      <c r="K740" t="s">
        <v>2233</v>
      </c>
      <c r="L740" t="s">
        <v>3342</v>
      </c>
      <c r="N740" t="s">
        <v>3440</v>
      </c>
      <c r="O740" t="s">
        <v>3441</v>
      </c>
      <c r="P740">
        <v>41369527</v>
      </c>
    </row>
    <row r="741" spans="1:16">
      <c r="A741" t="s">
        <v>43</v>
      </c>
      <c r="B741">
        <v>1</v>
      </c>
      <c r="E741" t="s">
        <v>3433</v>
      </c>
      <c r="F741" t="s">
        <v>3434</v>
      </c>
      <c r="G741" t="s">
        <v>3435</v>
      </c>
      <c r="I741" t="s">
        <v>3338</v>
      </c>
      <c r="J741" t="s">
        <v>2232</v>
      </c>
      <c r="K741" t="s">
        <v>2233</v>
      </c>
      <c r="L741" t="s">
        <v>3342</v>
      </c>
      <c r="N741" t="s">
        <v>3442</v>
      </c>
      <c r="O741" t="s">
        <v>3443</v>
      </c>
      <c r="P741">
        <v>41369527</v>
      </c>
    </row>
    <row r="742" spans="1:16">
      <c r="A742" t="s">
        <v>43</v>
      </c>
      <c r="B742">
        <v>1</v>
      </c>
      <c r="E742" t="s">
        <v>3433</v>
      </c>
      <c r="F742" t="s">
        <v>3434</v>
      </c>
      <c r="G742" t="s">
        <v>3435</v>
      </c>
      <c r="I742" t="s">
        <v>3338</v>
      </c>
      <c r="J742" t="s">
        <v>2232</v>
      </c>
      <c r="K742" t="s">
        <v>2233</v>
      </c>
      <c r="L742" t="s">
        <v>3342</v>
      </c>
      <c r="N742" t="s">
        <v>3444</v>
      </c>
      <c r="O742" t="s">
        <v>3445</v>
      </c>
      <c r="P742">
        <v>41369527</v>
      </c>
    </row>
    <row r="743" spans="1:16">
      <c r="A743" t="s">
        <v>43</v>
      </c>
      <c r="B743">
        <v>1</v>
      </c>
      <c r="E743" t="s">
        <v>3433</v>
      </c>
      <c r="F743" t="s">
        <v>3434</v>
      </c>
      <c r="G743" t="s">
        <v>3435</v>
      </c>
      <c r="I743" t="s">
        <v>3338</v>
      </c>
      <c r="J743" t="s">
        <v>2232</v>
      </c>
      <c r="K743" t="s">
        <v>2233</v>
      </c>
      <c r="L743" t="s">
        <v>3342</v>
      </c>
      <c r="N743" t="s">
        <v>3446</v>
      </c>
      <c r="O743" t="s">
        <v>3447</v>
      </c>
      <c r="P743">
        <v>41369527</v>
      </c>
    </row>
    <row r="744" spans="1:16">
      <c r="A744" t="s">
        <v>43</v>
      </c>
      <c r="B744">
        <v>0</v>
      </c>
      <c r="G744" t="s">
        <v>3338</v>
      </c>
      <c r="I744" t="s">
        <v>3338</v>
      </c>
      <c r="N744" t="s">
        <v>3448</v>
      </c>
      <c r="O744" t="s">
        <v>3449</v>
      </c>
      <c r="P744">
        <v>41369527</v>
      </c>
    </row>
    <row r="745" spans="1:16">
      <c r="A745" t="s">
        <v>43</v>
      </c>
      <c r="B745">
        <v>1</v>
      </c>
      <c r="E745" t="s">
        <v>3448</v>
      </c>
      <c r="F745" t="s">
        <v>3449</v>
      </c>
      <c r="G745" t="s">
        <v>3450</v>
      </c>
      <c r="I745" t="s">
        <v>3338</v>
      </c>
      <c r="J745" t="s">
        <v>2421</v>
      </c>
      <c r="K745" t="s">
        <v>3354</v>
      </c>
      <c r="L745" t="s">
        <v>3451</v>
      </c>
      <c r="N745" t="s">
        <v>3452</v>
      </c>
      <c r="O745" t="s">
        <v>3453</v>
      </c>
      <c r="P745">
        <v>41369527</v>
      </c>
    </row>
    <row r="746" spans="1:16">
      <c r="A746" t="s">
        <v>45</v>
      </c>
      <c r="B746">
        <v>0</v>
      </c>
      <c r="G746" t="s">
        <v>3338</v>
      </c>
      <c r="I746" t="s">
        <v>3338</v>
      </c>
      <c r="N746" t="s">
        <v>3339</v>
      </c>
      <c r="O746" t="s">
        <v>3340</v>
      </c>
      <c r="P746">
        <v>41390598</v>
      </c>
    </row>
    <row r="747" spans="1:16">
      <c r="A747" t="s">
        <v>45</v>
      </c>
      <c r="B747">
        <v>1</v>
      </c>
      <c r="E747" t="s">
        <v>3339</v>
      </c>
      <c r="F747" t="s">
        <v>3340</v>
      </c>
      <c r="G747" t="s">
        <v>3341</v>
      </c>
      <c r="I747" t="s">
        <v>3338</v>
      </c>
      <c r="J747" t="s">
        <v>2232</v>
      </c>
      <c r="K747" t="s">
        <v>2233</v>
      </c>
      <c r="L747" t="s">
        <v>3342</v>
      </c>
      <c r="N747" t="s">
        <v>3343</v>
      </c>
      <c r="O747" t="s">
        <v>3344</v>
      </c>
      <c r="P747">
        <v>41390598</v>
      </c>
    </row>
    <row r="748" spans="1:16">
      <c r="A748" t="s">
        <v>45</v>
      </c>
      <c r="B748">
        <v>1</v>
      </c>
      <c r="E748" t="s">
        <v>3339</v>
      </c>
      <c r="F748" t="s">
        <v>3340</v>
      </c>
      <c r="G748" t="s">
        <v>3341</v>
      </c>
      <c r="I748" t="s">
        <v>3338</v>
      </c>
      <c r="J748" t="s">
        <v>2232</v>
      </c>
      <c r="K748" t="s">
        <v>2233</v>
      </c>
      <c r="L748" t="s">
        <v>3342</v>
      </c>
      <c r="N748" t="s">
        <v>3345</v>
      </c>
      <c r="O748" t="s">
        <v>3346</v>
      </c>
      <c r="P748">
        <v>41390598</v>
      </c>
    </row>
    <row r="749" spans="1:16">
      <c r="A749" t="s">
        <v>45</v>
      </c>
      <c r="B749">
        <v>0</v>
      </c>
      <c r="G749" t="s">
        <v>3338</v>
      </c>
      <c r="I749" t="s">
        <v>3338</v>
      </c>
      <c r="N749" t="s">
        <v>3347</v>
      </c>
      <c r="O749" t="s">
        <v>3344</v>
      </c>
      <c r="P749">
        <v>41390598</v>
      </c>
    </row>
    <row r="750" spans="1:16">
      <c r="A750" t="s">
        <v>45</v>
      </c>
      <c r="B750">
        <v>1</v>
      </c>
      <c r="E750" t="s">
        <v>3347</v>
      </c>
      <c r="F750" t="s">
        <v>3344</v>
      </c>
      <c r="G750" t="s">
        <v>3348</v>
      </c>
      <c r="I750" t="s">
        <v>3338</v>
      </c>
      <c r="J750" t="s">
        <v>2232</v>
      </c>
      <c r="K750" t="s">
        <v>2233</v>
      </c>
      <c r="L750" t="s">
        <v>3342</v>
      </c>
      <c r="N750" t="s">
        <v>3349</v>
      </c>
      <c r="O750" t="s">
        <v>3350</v>
      </c>
      <c r="P750">
        <v>41390598</v>
      </c>
    </row>
    <row r="751" spans="1:16">
      <c r="A751" t="s">
        <v>45</v>
      </c>
      <c r="B751">
        <v>1</v>
      </c>
      <c r="E751" t="s">
        <v>3347</v>
      </c>
      <c r="F751" t="s">
        <v>3344</v>
      </c>
      <c r="G751" t="s">
        <v>3348</v>
      </c>
      <c r="I751" t="s">
        <v>3338</v>
      </c>
      <c r="L751" t="s">
        <v>193</v>
      </c>
      <c r="N751" t="s">
        <v>3351</v>
      </c>
      <c r="O751" t="s">
        <v>3352</v>
      </c>
      <c r="P751">
        <v>41390598</v>
      </c>
    </row>
    <row r="752" spans="1:16">
      <c r="A752" t="s">
        <v>45</v>
      </c>
      <c r="B752">
        <v>2</v>
      </c>
      <c r="E752" t="s">
        <v>3351</v>
      </c>
      <c r="F752" t="s">
        <v>3352</v>
      </c>
      <c r="G752" t="s">
        <v>3353</v>
      </c>
      <c r="I752" t="s">
        <v>3338</v>
      </c>
      <c r="J752" t="s">
        <v>2421</v>
      </c>
      <c r="K752" t="s">
        <v>3354</v>
      </c>
      <c r="L752" t="s">
        <v>3355</v>
      </c>
      <c r="N752" t="s">
        <v>3356</v>
      </c>
      <c r="O752" t="s">
        <v>3357</v>
      </c>
      <c r="P752">
        <v>41390598</v>
      </c>
    </row>
    <row r="753" spans="1:16">
      <c r="A753" t="s">
        <v>45</v>
      </c>
      <c r="B753">
        <v>2</v>
      </c>
      <c r="E753" t="s">
        <v>3351</v>
      </c>
      <c r="F753" t="s">
        <v>3352</v>
      </c>
      <c r="G753" t="s">
        <v>3353</v>
      </c>
      <c r="I753" t="s">
        <v>3338</v>
      </c>
      <c r="J753" t="s">
        <v>2421</v>
      </c>
      <c r="K753" t="s">
        <v>3354</v>
      </c>
      <c r="L753" t="s">
        <v>3355</v>
      </c>
      <c r="N753" t="s">
        <v>3358</v>
      </c>
      <c r="O753" t="s">
        <v>3359</v>
      </c>
      <c r="P753">
        <v>41390598</v>
      </c>
    </row>
    <row r="754" spans="1:16">
      <c r="A754" t="s">
        <v>45</v>
      </c>
      <c r="B754">
        <v>2</v>
      </c>
      <c r="E754" t="s">
        <v>3351</v>
      </c>
      <c r="F754" t="s">
        <v>3352</v>
      </c>
      <c r="G754" t="s">
        <v>3353</v>
      </c>
      <c r="I754" t="s">
        <v>3338</v>
      </c>
      <c r="J754" t="s">
        <v>2421</v>
      </c>
      <c r="K754" t="s">
        <v>3354</v>
      </c>
      <c r="L754" t="s">
        <v>3355</v>
      </c>
      <c r="N754" t="s">
        <v>3360</v>
      </c>
      <c r="O754" t="s">
        <v>3361</v>
      </c>
      <c r="P754">
        <v>41390598</v>
      </c>
    </row>
    <row r="755" spans="1:16">
      <c r="A755" t="s">
        <v>45</v>
      </c>
      <c r="B755">
        <v>1</v>
      </c>
      <c r="E755" t="s">
        <v>3347</v>
      </c>
      <c r="F755" t="s">
        <v>3344</v>
      </c>
      <c r="G755" t="s">
        <v>3348</v>
      </c>
      <c r="I755" t="s">
        <v>3338</v>
      </c>
      <c r="J755" t="s">
        <v>2236</v>
      </c>
      <c r="K755" t="s">
        <v>3362</v>
      </c>
      <c r="L755" t="s">
        <v>3363</v>
      </c>
      <c r="N755" t="s">
        <v>3364</v>
      </c>
      <c r="O755" t="s">
        <v>3365</v>
      </c>
      <c r="P755">
        <v>41390598</v>
      </c>
    </row>
    <row r="756" spans="1:16">
      <c r="A756" t="s">
        <v>45</v>
      </c>
      <c r="B756">
        <v>1</v>
      </c>
      <c r="E756" t="s">
        <v>3347</v>
      </c>
      <c r="F756" t="s">
        <v>3344</v>
      </c>
      <c r="G756" t="s">
        <v>3348</v>
      </c>
      <c r="I756" t="s">
        <v>3338</v>
      </c>
      <c r="L756" t="s">
        <v>193</v>
      </c>
      <c r="N756" t="s">
        <v>3366</v>
      </c>
      <c r="O756" t="s">
        <v>3367</v>
      </c>
      <c r="P756">
        <v>41390598</v>
      </c>
    </row>
    <row r="757" spans="1:16">
      <c r="A757" t="s">
        <v>45</v>
      </c>
      <c r="B757">
        <v>2</v>
      </c>
      <c r="E757" t="s">
        <v>3366</v>
      </c>
      <c r="F757" t="s">
        <v>3367</v>
      </c>
      <c r="G757" t="s">
        <v>3368</v>
      </c>
      <c r="I757" t="s">
        <v>3338</v>
      </c>
      <c r="J757" t="s">
        <v>2421</v>
      </c>
      <c r="K757" t="s">
        <v>3354</v>
      </c>
      <c r="L757" t="s">
        <v>3369</v>
      </c>
      <c r="N757" t="s">
        <v>3370</v>
      </c>
      <c r="O757" t="s">
        <v>3359</v>
      </c>
      <c r="P757">
        <v>41390598</v>
      </c>
    </row>
    <row r="758" spans="1:16">
      <c r="A758" t="s">
        <v>45</v>
      </c>
      <c r="B758">
        <v>2</v>
      </c>
      <c r="E758" t="s">
        <v>3366</v>
      </c>
      <c r="F758" t="s">
        <v>3367</v>
      </c>
      <c r="G758" t="s">
        <v>3368</v>
      </c>
      <c r="I758" t="s">
        <v>3338</v>
      </c>
      <c r="J758" t="s">
        <v>2421</v>
      </c>
      <c r="K758" t="s">
        <v>3354</v>
      </c>
      <c r="L758" t="s">
        <v>3369</v>
      </c>
      <c r="N758" t="s">
        <v>3371</v>
      </c>
      <c r="O758" t="s">
        <v>3372</v>
      </c>
      <c r="P758">
        <v>41390598</v>
      </c>
    </row>
    <row r="759" spans="1:16">
      <c r="A759" t="s">
        <v>45</v>
      </c>
      <c r="B759">
        <v>2</v>
      </c>
      <c r="E759" t="s">
        <v>3366</v>
      </c>
      <c r="F759" t="s">
        <v>3367</v>
      </c>
      <c r="G759" t="s">
        <v>3368</v>
      </c>
      <c r="I759" t="s">
        <v>3338</v>
      </c>
      <c r="J759" t="s">
        <v>2421</v>
      </c>
      <c r="K759" t="s">
        <v>3354</v>
      </c>
      <c r="L759" t="s">
        <v>3369</v>
      </c>
      <c r="N759" t="s">
        <v>3373</v>
      </c>
      <c r="O759" t="s">
        <v>3374</v>
      </c>
      <c r="P759">
        <v>41390598</v>
      </c>
    </row>
    <row r="760" spans="1:16">
      <c r="A760" t="s">
        <v>45</v>
      </c>
      <c r="B760">
        <v>2</v>
      </c>
      <c r="E760" t="s">
        <v>3366</v>
      </c>
      <c r="F760" t="s">
        <v>3367</v>
      </c>
      <c r="G760" t="s">
        <v>3368</v>
      </c>
      <c r="I760" t="s">
        <v>3338</v>
      </c>
      <c r="J760" t="s">
        <v>2236</v>
      </c>
      <c r="K760" t="s">
        <v>3362</v>
      </c>
      <c r="L760" t="s">
        <v>3363</v>
      </c>
      <c r="N760" t="s">
        <v>3375</v>
      </c>
      <c r="O760" t="s">
        <v>3376</v>
      </c>
      <c r="P760">
        <v>41390598</v>
      </c>
    </row>
    <row r="761" spans="1:16">
      <c r="A761" t="s">
        <v>45</v>
      </c>
      <c r="B761">
        <v>1</v>
      </c>
      <c r="E761" t="s">
        <v>3347</v>
      </c>
      <c r="F761" t="s">
        <v>3344</v>
      </c>
      <c r="G761" t="s">
        <v>3348</v>
      </c>
      <c r="I761" t="s">
        <v>3338</v>
      </c>
      <c r="J761" t="s">
        <v>2232</v>
      </c>
      <c r="K761" t="s">
        <v>2233</v>
      </c>
      <c r="L761" t="s">
        <v>3342</v>
      </c>
      <c r="N761" t="s">
        <v>3454</v>
      </c>
      <c r="O761" t="s">
        <v>3455</v>
      </c>
      <c r="P761">
        <v>41390598</v>
      </c>
    </row>
    <row r="762" spans="1:16">
      <c r="A762" t="s">
        <v>45</v>
      </c>
      <c r="B762">
        <v>0</v>
      </c>
      <c r="G762" t="s">
        <v>3338</v>
      </c>
      <c r="I762" t="s">
        <v>3338</v>
      </c>
      <c r="N762" t="s">
        <v>3377</v>
      </c>
      <c r="O762" t="s">
        <v>3346</v>
      </c>
      <c r="P762">
        <v>41390598</v>
      </c>
    </row>
    <row r="763" spans="1:16">
      <c r="A763" t="s">
        <v>45</v>
      </c>
      <c r="B763">
        <v>1</v>
      </c>
      <c r="E763" t="s">
        <v>3377</v>
      </c>
      <c r="F763" t="s">
        <v>3346</v>
      </c>
      <c r="G763" t="s">
        <v>3378</v>
      </c>
      <c r="I763" t="s">
        <v>3338</v>
      </c>
      <c r="L763" t="s">
        <v>193</v>
      </c>
      <c r="N763" t="s">
        <v>3379</v>
      </c>
      <c r="O763" t="s">
        <v>3380</v>
      </c>
      <c r="P763">
        <v>41390598</v>
      </c>
    </row>
    <row r="764" spans="1:16">
      <c r="A764" t="s">
        <v>45</v>
      </c>
      <c r="B764">
        <v>2</v>
      </c>
      <c r="E764" t="s">
        <v>3379</v>
      </c>
      <c r="F764" t="s">
        <v>3380</v>
      </c>
      <c r="G764" t="s">
        <v>3381</v>
      </c>
      <c r="I764" t="s">
        <v>3338</v>
      </c>
      <c r="J764" t="s">
        <v>2421</v>
      </c>
      <c r="K764" t="s">
        <v>3354</v>
      </c>
      <c r="L764" t="s">
        <v>3369</v>
      </c>
      <c r="N764" t="s">
        <v>3382</v>
      </c>
      <c r="O764" t="s">
        <v>3352</v>
      </c>
      <c r="P764">
        <v>41390598</v>
      </c>
    </row>
    <row r="765" spans="1:16">
      <c r="A765" t="s">
        <v>45</v>
      </c>
      <c r="B765">
        <v>2</v>
      </c>
      <c r="E765" t="s">
        <v>3379</v>
      </c>
      <c r="F765" t="s">
        <v>3380</v>
      </c>
      <c r="G765" t="s">
        <v>3381</v>
      </c>
      <c r="I765" t="s">
        <v>3338</v>
      </c>
      <c r="L765" t="s">
        <v>3383</v>
      </c>
      <c r="N765" t="s">
        <v>3384</v>
      </c>
      <c r="O765" t="s">
        <v>3385</v>
      </c>
      <c r="P765">
        <v>41390598</v>
      </c>
    </row>
    <row r="766" spans="1:16">
      <c r="A766" t="s">
        <v>45</v>
      </c>
      <c r="B766">
        <v>2</v>
      </c>
      <c r="E766" t="s">
        <v>3379</v>
      </c>
      <c r="F766" t="s">
        <v>3380</v>
      </c>
      <c r="G766" t="s">
        <v>3381</v>
      </c>
      <c r="I766" t="s">
        <v>3338</v>
      </c>
      <c r="J766" t="s">
        <v>2232</v>
      </c>
      <c r="K766" t="s">
        <v>2233</v>
      </c>
      <c r="L766" t="s">
        <v>3342</v>
      </c>
      <c r="N766" t="s">
        <v>3386</v>
      </c>
      <c r="O766" t="s">
        <v>3350</v>
      </c>
      <c r="P766">
        <v>41390598</v>
      </c>
    </row>
    <row r="767" spans="1:16">
      <c r="A767" t="s">
        <v>45</v>
      </c>
      <c r="B767">
        <v>0</v>
      </c>
      <c r="G767" t="s">
        <v>3338</v>
      </c>
      <c r="I767" t="s">
        <v>3338</v>
      </c>
      <c r="N767" t="s">
        <v>3395</v>
      </c>
      <c r="O767" t="s">
        <v>3396</v>
      </c>
      <c r="P767">
        <v>41390598</v>
      </c>
    </row>
    <row r="768" spans="1:16">
      <c r="A768" t="s">
        <v>45</v>
      </c>
      <c r="B768">
        <v>1</v>
      </c>
      <c r="E768" t="s">
        <v>3395</v>
      </c>
      <c r="F768" t="s">
        <v>3396</v>
      </c>
      <c r="G768" t="s">
        <v>3397</v>
      </c>
      <c r="I768" t="s">
        <v>3338</v>
      </c>
      <c r="L768" t="s">
        <v>3342</v>
      </c>
      <c r="N768" t="s">
        <v>3398</v>
      </c>
      <c r="O768" t="s">
        <v>3399</v>
      </c>
      <c r="P768">
        <v>41390598</v>
      </c>
    </row>
    <row r="769" spans="1:16">
      <c r="A769" t="s">
        <v>45</v>
      </c>
      <c r="B769">
        <v>1</v>
      </c>
      <c r="E769" t="s">
        <v>3395</v>
      </c>
      <c r="F769" t="s">
        <v>3396</v>
      </c>
      <c r="G769" t="s">
        <v>3397</v>
      </c>
      <c r="I769" t="s">
        <v>3338</v>
      </c>
      <c r="J769" t="s">
        <v>2232</v>
      </c>
      <c r="K769" t="s">
        <v>2233</v>
      </c>
      <c r="L769" t="s">
        <v>3342</v>
      </c>
      <c r="N769" t="s">
        <v>3400</v>
      </c>
      <c r="O769" t="s">
        <v>3401</v>
      </c>
      <c r="P769">
        <v>41390598</v>
      </c>
    </row>
    <row r="770" spans="1:16">
      <c r="A770" t="s">
        <v>45</v>
      </c>
      <c r="B770">
        <v>1</v>
      </c>
      <c r="E770" t="s">
        <v>3395</v>
      </c>
      <c r="F770" t="s">
        <v>3396</v>
      </c>
      <c r="G770" t="s">
        <v>3397</v>
      </c>
      <c r="I770" t="s">
        <v>3338</v>
      </c>
      <c r="L770" t="s">
        <v>3342</v>
      </c>
      <c r="N770" t="s">
        <v>3402</v>
      </c>
      <c r="O770" t="s">
        <v>3403</v>
      </c>
      <c r="P770">
        <v>41390598</v>
      </c>
    </row>
    <row r="771" spans="1:16">
      <c r="A771" t="s">
        <v>45</v>
      </c>
      <c r="B771">
        <v>1</v>
      </c>
      <c r="E771" t="s">
        <v>3395</v>
      </c>
      <c r="F771" t="s">
        <v>3396</v>
      </c>
      <c r="G771" t="s">
        <v>3397</v>
      </c>
      <c r="I771" t="s">
        <v>3338</v>
      </c>
      <c r="J771" t="s">
        <v>2232</v>
      </c>
      <c r="K771" t="s">
        <v>2233</v>
      </c>
      <c r="L771" t="s">
        <v>3342</v>
      </c>
      <c r="N771" t="s">
        <v>3404</v>
      </c>
      <c r="O771" t="s">
        <v>3405</v>
      </c>
      <c r="P771">
        <v>41390598</v>
      </c>
    </row>
    <row r="772" spans="1:16">
      <c r="A772" t="s">
        <v>45</v>
      </c>
      <c r="B772">
        <v>0</v>
      </c>
      <c r="G772" t="s">
        <v>3338</v>
      </c>
      <c r="I772" t="s">
        <v>3338</v>
      </c>
      <c r="N772" t="s">
        <v>3406</v>
      </c>
      <c r="O772" t="s">
        <v>3407</v>
      </c>
      <c r="P772">
        <v>41390598</v>
      </c>
    </row>
    <row r="773" spans="1:16">
      <c r="A773" t="s">
        <v>45</v>
      </c>
      <c r="B773">
        <v>1</v>
      </c>
      <c r="E773" t="s">
        <v>3406</v>
      </c>
      <c r="F773" t="s">
        <v>3407</v>
      </c>
      <c r="G773" t="s">
        <v>3408</v>
      </c>
      <c r="I773" t="s">
        <v>3338</v>
      </c>
      <c r="J773" t="s">
        <v>2421</v>
      </c>
      <c r="K773" t="s">
        <v>3354</v>
      </c>
      <c r="L773" t="s">
        <v>3369</v>
      </c>
      <c r="N773" t="s">
        <v>3409</v>
      </c>
      <c r="O773" t="s">
        <v>3410</v>
      </c>
      <c r="P773">
        <v>41390598</v>
      </c>
    </row>
    <row r="774" spans="1:16">
      <c r="A774" t="s">
        <v>45</v>
      </c>
      <c r="B774">
        <v>1</v>
      </c>
      <c r="E774" t="s">
        <v>3406</v>
      </c>
      <c r="F774" t="s">
        <v>3407</v>
      </c>
      <c r="G774" t="s">
        <v>3408</v>
      </c>
      <c r="I774" t="s">
        <v>3338</v>
      </c>
      <c r="L774" t="s">
        <v>193</v>
      </c>
      <c r="N774" t="s">
        <v>3411</v>
      </c>
      <c r="O774" t="s">
        <v>3412</v>
      </c>
      <c r="P774">
        <v>41390598</v>
      </c>
    </row>
    <row r="775" spans="1:16">
      <c r="A775" t="s">
        <v>45</v>
      </c>
      <c r="B775">
        <v>2</v>
      </c>
      <c r="E775" t="s">
        <v>3411</v>
      </c>
      <c r="F775" t="s">
        <v>3412</v>
      </c>
      <c r="G775" t="s">
        <v>3413</v>
      </c>
      <c r="I775" t="s">
        <v>3338</v>
      </c>
      <c r="L775" t="s">
        <v>3342</v>
      </c>
      <c r="N775" t="s">
        <v>3414</v>
      </c>
      <c r="O775" t="s">
        <v>3415</v>
      </c>
      <c r="P775">
        <v>41390598</v>
      </c>
    </row>
    <row r="776" spans="1:16">
      <c r="A776" t="s">
        <v>45</v>
      </c>
      <c r="B776">
        <v>2</v>
      </c>
      <c r="E776" t="s">
        <v>3411</v>
      </c>
      <c r="F776" t="s">
        <v>3412</v>
      </c>
      <c r="G776" t="s">
        <v>3413</v>
      </c>
      <c r="I776" t="s">
        <v>3338</v>
      </c>
      <c r="J776" t="s">
        <v>2232</v>
      </c>
      <c r="K776" t="s">
        <v>2233</v>
      </c>
      <c r="L776" t="s">
        <v>3342</v>
      </c>
      <c r="N776" t="s">
        <v>3416</v>
      </c>
      <c r="O776" t="s">
        <v>3417</v>
      </c>
      <c r="P776">
        <v>41390598</v>
      </c>
    </row>
    <row r="777" spans="1:16">
      <c r="A777" t="s">
        <v>45</v>
      </c>
      <c r="B777">
        <v>2</v>
      </c>
      <c r="E777" t="s">
        <v>3411</v>
      </c>
      <c r="F777" t="s">
        <v>3412</v>
      </c>
      <c r="G777" t="s">
        <v>3413</v>
      </c>
      <c r="I777" t="s">
        <v>3338</v>
      </c>
      <c r="J777" t="s">
        <v>2232</v>
      </c>
      <c r="K777" t="s">
        <v>2233</v>
      </c>
      <c r="L777" t="s">
        <v>3342</v>
      </c>
      <c r="N777" t="s">
        <v>3418</v>
      </c>
      <c r="O777" t="s">
        <v>3419</v>
      </c>
      <c r="P777">
        <v>41390598</v>
      </c>
    </row>
    <row r="778" spans="1:16">
      <c r="A778" t="s">
        <v>45</v>
      </c>
      <c r="B778">
        <v>2</v>
      </c>
      <c r="E778" t="s">
        <v>3411</v>
      </c>
      <c r="F778" t="s">
        <v>3412</v>
      </c>
      <c r="G778" t="s">
        <v>3413</v>
      </c>
      <c r="I778" t="s">
        <v>3338</v>
      </c>
      <c r="L778" t="s">
        <v>3342</v>
      </c>
      <c r="N778" t="s">
        <v>3420</v>
      </c>
      <c r="O778" t="s">
        <v>3421</v>
      </c>
      <c r="P778">
        <v>41390598</v>
      </c>
    </row>
    <row r="779" spans="1:16">
      <c r="A779" t="s">
        <v>45</v>
      </c>
      <c r="B779">
        <v>2</v>
      </c>
      <c r="E779" t="s">
        <v>3411</v>
      </c>
      <c r="F779" t="s">
        <v>3412</v>
      </c>
      <c r="G779" t="s">
        <v>3413</v>
      </c>
      <c r="I779" t="s">
        <v>3338</v>
      </c>
      <c r="J779" t="s">
        <v>2232</v>
      </c>
      <c r="K779" t="s">
        <v>2233</v>
      </c>
      <c r="L779" t="s">
        <v>3342</v>
      </c>
      <c r="N779" t="s">
        <v>3422</v>
      </c>
      <c r="O779" t="s">
        <v>3423</v>
      </c>
      <c r="P779">
        <v>41390598</v>
      </c>
    </row>
    <row r="780" spans="1:16">
      <c r="A780" t="s">
        <v>45</v>
      </c>
      <c r="B780">
        <v>0</v>
      </c>
      <c r="G780" t="s">
        <v>3338</v>
      </c>
      <c r="I780" t="s">
        <v>3338</v>
      </c>
      <c r="N780" t="s">
        <v>3424</v>
      </c>
      <c r="O780" t="s">
        <v>3425</v>
      </c>
      <c r="P780">
        <v>41390598</v>
      </c>
    </row>
    <row r="781" spans="1:16">
      <c r="A781" t="s">
        <v>45</v>
      </c>
      <c r="B781">
        <v>1</v>
      </c>
      <c r="E781" t="s">
        <v>3424</v>
      </c>
      <c r="F781" t="s">
        <v>3425</v>
      </c>
      <c r="G781" t="s">
        <v>3426</v>
      </c>
      <c r="I781" t="s">
        <v>3338</v>
      </c>
      <c r="J781" t="s">
        <v>2421</v>
      </c>
      <c r="K781" t="s">
        <v>3354</v>
      </c>
      <c r="L781" t="s">
        <v>3369</v>
      </c>
      <c r="N781" t="s">
        <v>3427</v>
      </c>
      <c r="O781" t="s">
        <v>3428</v>
      </c>
      <c r="P781">
        <v>41390598</v>
      </c>
    </row>
    <row r="782" spans="1:16">
      <c r="A782" t="s">
        <v>45</v>
      </c>
      <c r="B782">
        <v>1</v>
      </c>
      <c r="E782" t="s">
        <v>3424</v>
      </c>
      <c r="F782" t="s">
        <v>3425</v>
      </c>
      <c r="G782" t="s">
        <v>3426</v>
      </c>
      <c r="I782" t="s">
        <v>3338</v>
      </c>
      <c r="J782" t="s">
        <v>2421</v>
      </c>
      <c r="K782" t="s">
        <v>3354</v>
      </c>
      <c r="L782" t="s">
        <v>3369</v>
      </c>
      <c r="N782" t="s">
        <v>3429</v>
      </c>
      <c r="O782" t="s">
        <v>3430</v>
      </c>
      <c r="P782">
        <v>41390598</v>
      </c>
    </row>
    <row r="783" spans="1:16">
      <c r="A783" t="s">
        <v>45</v>
      </c>
      <c r="B783">
        <v>1</v>
      </c>
      <c r="E783" t="s">
        <v>3424</v>
      </c>
      <c r="F783" t="s">
        <v>3425</v>
      </c>
      <c r="G783" t="s">
        <v>3426</v>
      </c>
      <c r="I783" t="s">
        <v>3338</v>
      </c>
      <c r="J783" t="s">
        <v>2232</v>
      </c>
      <c r="K783" t="s">
        <v>2233</v>
      </c>
      <c r="L783" t="s">
        <v>3342</v>
      </c>
      <c r="N783" t="s">
        <v>3431</v>
      </c>
      <c r="O783" t="s">
        <v>3432</v>
      </c>
      <c r="P783">
        <v>41390598</v>
      </c>
    </row>
    <row r="784" spans="1:16">
      <c r="A784" t="s">
        <v>45</v>
      </c>
      <c r="B784">
        <v>0</v>
      </c>
      <c r="G784" t="s">
        <v>3338</v>
      </c>
      <c r="I784" t="s">
        <v>3338</v>
      </c>
      <c r="N784" t="s">
        <v>3433</v>
      </c>
      <c r="O784" t="s">
        <v>3434</v>
      </c>
      <c r="P784">
        <v>41390598</v>
      </c>
    </row>
    <row r="785" spans="1:16">
      <c r="A785" t="s">
        <v>45</v>
      </c>
      <c r="B785">
        <v>1</v>
      </c>
      <c r="E785" t="s">
        <v>3433</v>
      </c>
      <c r="F785" t="s">
        <v>3434</v>
      </c>
      <c r="G785" t="s">
        <v>3435</v>
      </c>
      <c r="I785" t="s">
        <v>3338</v>
      </c>
      <c r="J785" t="s">
        <v>2232</v>
      </c>
      <c r="K785" t="s">
        <v>2233</v>
      </c>
      <c r="L785" t="s">
        <v>3342</v>
      </c>
      <c r="N785" t="s">
        <v>3436</v>
      </c>
      <c r="O785" t="s">
        <v>3437</v>
      </c>
      <c r="P785">
        <v>41390598</v>
      </c>
    </row>
    <row r="786" spans="1:16">
      <c r="A786" t="s">
        <v>45</v>
      </c>
      <c r="B786">
        <v>1</v>
      </c>
      <c r="E786" t="s">
        <v>3433</v>
      </c>
      <c r="F786" t="s">
        <v>3434</v>
      </c>
      <c r="G786" t="s">
        <v>3435</v>
      </c>
      <c r="I786" t="s">
        <v>3338</v>
      </c>
      <c r="J786" t="s">
        <v>2232</v>
      </c>
      <c r="K786" t="s">
        <v>2233</v>
      </c>
      <c r="L786" t="s">
        <v>3342</v>
      </c>
      <c r="N786" t="s">
        <v>3438</v>
      </c>
      <c r="O786" t="s">
        <v>3439</v>
      </c>
      <c r="P786">
        <v>41390598</v>
      </c>
    </row>
    <row r="787" spans="1:16">
      <c r="A787" t="s">
        <v>45</v>
      </c>
      <c r="B787">
        <v>1</v>
      </c>
      <c r="E787" t="s">
        <v>3433</v>
      </c>
      <c r="F787" t="s">
        <v>3434</v>
      </c>
      <c r="G787" t="s">
        <v>3435</v>
      </c>
      <c r="I787" t="s">
        <v>3338</v>
      </c>
      <c r="J787" t="s">
        <v>2232</v>
      </c>
      <c r="K787" t="s">
        <v>2233</v>
      </c>
      <c r="L787" t="s">
        <v>3342</v>
      </c>
      <c r="N787" t="s">
        <v>3440</v>
      </c>
      <c r="O787" t="s">
        <v>3441</v>
      </c>
      <c r="P787">
        <v>41390598</v>
      </c>
    </row>
    <row r="788" spans="1:16">
      <c r="A788" t="s">
        <v>45</v>
      </c>
      <c r="B788">
        <v>1</v>
      </c>
      <c r="E788" t="s">
        <v>3433</v>
      </c>
      <c r="F788" t="s">
        <v>3434</v>
      </c>
      <c r="G788" t="s">
        <v>3435</v>
      </c>
      <c r="I788" t="s">
        <v>3338</v>
      </c>
      <c r="J788" t="s">
        <v>2232</v>
      </c>
      <c r="K788" t="s">
        <v>2233</v>
      </c>
      <c r="L788" t="s">
        <v>3342</v>
      </c>
      <c r="N788" t="s">
        <v>3442</v>
      </c>
      <c r="O788" t="s">
        <v>3443</v>
      </c>
      <c r="P788">
        <v>41390598</v>
      </c>
    </row>
    <row r="789" spans="1:16">
      <c r="A789" t="s">
        <v>45</v>
      </c>
      <c r="B789">
        <v>1</v>
      </c>
      <c r="E789" t="s">
        <v>3433</v>
      </c>
      <c r="F789" t="s">
        <v>3434</v>
      </c>
      <c r="G789" t="s">
        <v>3435</v>
      </c>
      <c r="I789" t="s">
        <v>3338</v>
      </c>
      <c r="J789" t="s">
        <v>2232</v>
      </c>
      <c r="K789" t="s">
        <v>2233</v>
      </c>
      <c r="L789" t="s">
        <v>3342</v>
      </c>
      <c r="N789" t="s">
        <v>3444</v>
      </c>
      <c r="O789" t="s">
        <v>3445</v>
      </c>
      <c r="P789">
        <v>41390598</v>
      </c>
    </row>
    <row r="790" spans="1:16">
      <c r="A790" t="s">
        <v>45</v>
      </c>
      <c r="B790">
        <v>1</v>
      </c>
      <c r="E790" t="s">
        <v>3433</v>
      </c>
      <c r="F790" t="s">
        <v>3434</v>
      </c>
      <c r="G790" t="s">
        <v>3435</v>
      </c>
      <c r="I790" t="s">
        <v>3338</v>
      </c>
      <c r="J790" t="s">
        <v>2232</v>
      </c>
      <c r="K790" t="s">
        <v>2233</v>
      </c>
      <c r="L790" t="s">
        <v>3342</v>
      </c>
      <c r="N790" t="s">
        <v>3446</v>
      </c>
      <c r="O790" t="s">
        <v>3447</v>
      </c>
      <c r="P790">
        <v>41390598</v>
      </c>
    </row>
    <row r="791" spans="1:16">
      <c r="A791" t="s">
        <v>45</v>
      </c>
      <c r="B791">
        <v>0</v>
      </c>
      <c r="G791" t="s">
        <v>3338</v>
      </c>
      <c r="I791" t="s">
        <v>3338</v>
      </c>
      <c r="N791" t="s">
        <v>3448</v>
      </c>
      <c r="O791" t="s">
        <v>3449</v>
      </c>
      <c r="P791">
        <v>41390598</v>
      </c>
    </row>
    <row r="792" spans="1:16">
      <c r="A792" t="s">
        <v>45</v>
      </c>
      <c r="B792">
        <v>1</v>
      </c>
      <c r="E792" t="s">
        <v>3448</v>
      </c>
      <c r="F792" t="s">
        <v>3449</v>
      </c>
      <c r="G792" t="s">
        <v>3450</v>
      </c>
      <c r="I792" t="s">
        <v>3338</v>
      </c>
      <c r="J792" t="s">
        <v>2421</v>
      </c>
      <c r="K792" t="s">
        <v>3354</v>
      </c>
      <c r="L792" t="s">
        <v>3451</v>
      </c>
      <c r="N792" t="s">
        <v>3452</v>
      </c>
      <c r="O792" t="s">
        <v>3453</v>
      </c>
      <c r="P792">
        <v>41390598</v>
      </c>
    </row>
    <row r="793" spans="1:16">
      <c r="A793" t="s">
        <v>47</v>
      </c>
      <c r="B793">
        <v>0</v>
      </c>
      <c r="G793" t="s">
        <v>3338</v>
      </c>
      <c r="I793" t="s">
        <v>3338</v>
      </c>
      <c r="N793" t="s">
        <v>3339</v>
      </c>
      <c r="O793" t="s">
        <v>3340</v>
      </c>
      <c r="P793">
        <v>41393805</v>
      </c>
    </row>
    <row r="794" spans="1:16">
      <c r="A794" t="s">
        <v>47</v>
      </c>
      <c r="B794">
        <v>1</v>
      </c>
      <c r="E794" t="s">
        <v>3339</v>
      </c>
      <c r="F794" t="s">
        <v>3340</v>
      </c>
      <c r="G794" t="s">
        <v>3341</v>
      </c>
      <c r="I794" t="s">
        <v>3338</v>
      </c>
      <c r="J794" t="s">
        <v>2232</v>
      </c>
      <c r="K794" t="s">
        <v>2233</v>
      </c>
      <c r="L794" t="s">
        <v>3342</v>
      </c>
      <c r="N794" t="s">
        <v>3343</v>
      </c>
      <c r="O794" t="s">
        <v>3344</v>
      </c>
      <c r="P794">
        <v>41393805</v>
      </c>
    </row>
    <row r="795" spans="1:16">
      <c r="A795" t="s">
        <v>47</v>
      </c>
      <c r="B795">
        <v>1</v>
      </c>
      <c r="E795" t="s">
        <v>3339</v>
      </c>
      <c r="F795" t="s">
        <v>3340</v>
      </c>
      <c r="G795" t="s">
        <v>3341</v>
      </c>
      <c r="I795" t="s">
        <v>3338</v>
      </c>
      <c r="J795" t="s">
        <v>2232</v>
      </c>
      <c r="K795" t="s">
        <v>2233</v>
      </c>
      <c r="L795" t="s">
        <v>3342</v>
      </c>
      <c r="N795" t="s">
        <v>3345</v>
      </c>
      <c r="O795" t="s">
        <v>3346</v>
      </c>
      <c r="P795">
        <v>41393805</v>
      </c>
    </row>
    <row r="796" spans="1:16">
      <c r="A796" t="s">
        <v>47</v>
      </c>
      <c r="B796">
        <v>0</v>
      </c>
      <c r="G796" t="s">
        <v>3338</v>
      </c>
      <c r="I796" t="s">
        <v>3338</v>
      </c>
      <c r="N796" t="s">
        <v>3347</v>
      </c>
      <c r="O796" t="s">
        <v>3344</v>
      </c>
      <c r="P796">
        <v>41393805</v>
      </c>
    </row>
    <row r="797" spans="1:16">
      <c r="A797" t="s">
        <v>47</v>
      </c>
      <c r="B797">
        <v>1</v>
      </c>
      <c r="E797" t="s">
        <v>3347</v>
      </c>
      <c r="F797" t="s">
        <v>3344</v>
      </c>
      <c r="G797" t="s">
        <v>3348</v>
      </c>
      <c r="I797" t="s">
        <v>3338</v>
      </c>
      <c r="J797" t="s">
        <v>2232</v>
      </c>
      <c r="K797" t="s">
        <v>2233</v>
      </c>
      <c r="L797" t="s">
        <v>3342</v>
      </c>
      <c r="N797" t="s">
        <v>3349</v>
      </c>
      <c r="O797" t="s">
        <v>3350</v>
      </c>
      <c r="P797">
        <v>41393805</v>
      </c>
    </row>
    <row r="798" spans="1:16">
      <c r="A798" t="s">
        <v>47</v>
      </c>
      <c r="B798">
        <v>1</v>
      </c>
      <c r="E798" t="s">
        <v>3347</v>
      </c>
      <c r="F798" t="s">
        <v>3344</v>
      </c>
      <c r="G798" t="s">
        <v>3348</v>
      </c>
      <c r="I798" t="s">
        <v>3338</v>
      </c>
      <c r="L798" t="s">
        <v>193</v>
      </c>
      <c r="N798" t="s">
        <v>3351</v>
      </c>
      <c r="O798" t="s">
        <v>3352</v>
      </c>
      <c r="P798">
        <v>41393805</v>
      </c>
    </row>
    <row r="799" spans="1:16">
      <c r="A799" t="s">
        <v>47</v>
      </c>
      <c r="B799">
        <v>2</v>
      </c>
      <c r="E799" t="s">
        <v>3351</v>
      </c>
      <c r="F799" t="s">
        <v>3352</v>
      </c>
      <c r="G799" t="s">
        <v>3353</v>
      </c>
      <c r="I799" t="s">
        <v>3338</v>
      </c>
      <c r="J799" t="s">
        <v>2421</v>
      </c>
      <c r="K799" t="s">
        <v>3354</v>
      </c>
      <c r="L799" t="s">
        <v>3355</v>
      </c>
      <c r="N799" t="s">
        <v>3356</v>
      </c>
      <c r="O799" t="s">
        <v>3357</v>
      </c>
      <c r="P799">
        <v>41393805</v>
      </c>
    </row>
    <row r="800" spans="1:16">
      <c r="A800" t="s">
        <v>47</v>
      </c>
      <c r="B800">
        <v>2</v>
      </c>
      <c r="E800" t="s">
        <v>3351</v>
      </c>
      <c r="F800" t="s">
        <v>3352</v>
      </c>
      <c r="G800" t="s">
        <v>3353</v>
      </c>
      <c r="I800" t="s">
        <v>3338</v>
      </c>
      <c r="J800" t="s">
        <v>2421</v>
      </c>
      <c r="K800" t="s">
        <v>3354</v>
      </c>
      <c r="L800" t="s">
        <v>3355</v>
      </c>
      <c r="N800" t="s">
        <v>3358</v>
      </c>
      <c r="O800" t="s">
        <v>3359</v>
      </c>
      <c r="P800">
        <v>41393805</v>
      </c>
    </row>
    <row r="801" spans="1:16">
      <c r="A801" t="s">
        <v>47</v>
      </c>
      <c r="B801">
        <v>2</v>
      </c>
      <c r="E801" t="s">
        <v>3351</v>
      </c>
      <c r="F801" t="s">
        <v>3352</v>
      </c>
      <c r="G801" t="s">
        <v>3353</v>
      </c>
      <c r="I801" t="s">
        <v>3338</v>
      </c>
      <c r="J801" t="s">
        <v>2421</v>
      </c>
      <c r="K801" t="s">
        <v>3354</v>
      </c>
      <c r="L801" t="s">
        <v>3355</v>
      </c>
      <c r="N801" t="s">
        <v>3360</v>
      </c>
      <c r="O801" t="s">
        <v>3361</v>
      </c>
      <c r="P801">
        <v>41393805</v>
      </c>
    </row>
    <row r="802" spans="1:16">
      <c r="A802" t="s">
        <v>47</v>
      </c>
      <c r="B802">
        <v>1</v>
      </c>
      <c r="E802" t="s">
        <v>3347</v>
      </c>
      <c r="F802" t="s">
        <v>3344</v>
      </c>
      <c r="G802" t="s">
        <v>3348</v>
      </c>
      <c r="I802" t="s">
        <v>3338</v>
      </c>
      <c r="J802" t="s">
        <v>2236</v>
      </c>
      <c r="K802" t="s">
        <v>3362</v>
      </c>
      <c r="L802" t="s">
        <v>3363</v>
      </c>
      <c r="N802" t="s">
        <v>3364</v>
      </c>
      <c r="O802" t="s">
        <v>3365</v>
      </c>
      <c r="P802">
        <v>41393805</v>
      </c>
    </row>
    <row r="803" spans="1:16">
      <c r="A803" t="s">
        <v>47</v>
      </c>
      <c r="B803">
        <v>1</v>
      </c>
      <c r="E803" t="s">
        <v>3347</v>
      </c>
      <c r="F803" t="s">
        <v>3344</v>
      </c>
      <c r="G803" t="s">
        <v>3348</v>
      </c>
      <c r="I803" t="s">
        <v>3338</v>
      </c>
      <c r="L803" t="s">
        <v>193</v>
      </c>
      <c r="N803" t="s">
        <v>3366</v>
      </c>
      <c r="O803" t="s">
        <v>3367</v>
      </c>
      <c r="P803">
        <v>41393805</v>
      </c>
    </row>
    <row r="804" spans="1:16">
      <c r="A804" t="s">
        <v>47</v>
      </c>
      <c r="B804">
        <v>2</v>
      </c>
      <c r="E804" t="s">
        <v>3366</v>
      </c>
      <c r="F804" t="s">
        <v>3367</v>
      </c>
      <c r="G804" t="s">
        <v>3368</v>
      </c>
      <c r="I804" t="s">
        <v>3338</v>
      </c>
      <c r="J804" t="s">
        <v>2421</v>
      </c>
      <c r="K804" t="s">
        <v>3354</v>
      </c>
      <c r="L804" t="s">
        <v>3369</v>
      </c>
      <c r="N804" t="s">
        <v>3370</v>
      </c>
      <c r="O804" t="s">
        <v>3359</v>
      </c>
      <c r="P804">
        <v>41393805</v>
      </c>
    </row>
    <row r="805" spans="1:16">
      <c r="A805" t="s">
        <v>47</v>
      </c>
      <c r="B805">
        <v>2</v>
      </c>
      <c r="E805" t="s">
        <v>3366</v>
      </c>
      <c r="F805" t="s">
        <v>3367</v>
      </c>
      <c r="G805" t="s">
        <v>3368</v>
      </c>
      <c r="I805" t="s">
        <v>3338</v>
      </c>
      <c r="J805" t="s">
        <v>2421</v>
      </c>
      <c r="K805" t="s">
        <v>3354</v>
      </c>
      <c r="L805" t="s">
        <v>3369</v>
      </c>
      <c r="N805" t="s">
        <v>3371</v>
      </c>
      <c r="O805" t="s">
        <v>3372</v>
      </c>
      <c r="P805">
        <v>41393805</v>
      </c>
    </row>
    <row r="806" spans="1:16">
      <c r="A806" t="s">
        <v>47</v>
      </c>
      <c r="B806">
        <v>2</v>
      </c>
      <c r="E806" t="s">
        <v>3366</v>
      </c>
      <c r="F806" t="s">
        <v>3367</v>
      </c>
      <c r="G806" t="s">
        <v>3368</v>
      </c>
      <c r="I806" t="s">
        <v>3338</v>
      </c>
      <c r="J806" t="s">
        <v>2421</v>
      </c>
      <c r="K806" t="s">
        <v>3354</v>
      </c>
      <c r="L806" t="s">
        <v>3369</v>
      </c>
      <c r="N806" t="s">
        <v>3373</v>
      </c>
      <c r="O806" t="s">
        <v>3374</v>
      </c>
      <c r="P806">
        <v>41393805</v>
      </c>
    </row>
    <row r="807" spans="1:16">
      <c r="A807" t="s">
        <v>47</v>
      </c>
      <c r="B807">
        <v>2</v>
      </c>
      <c r="E807" t="s">
        <v>3366</v>
      </c>
      <c r="F807" t="s">
        <v>3367</v>
      </c>
      <c r="G807" t="s">
        <v>3368</v>
      </c>
      <c r="I807" t="s">
        <v>3338</v>
      </c>
      <c r="J807" t="s">
        <v>2236</v>
      </c>
      <c r="K807" t="s">
        <v>3362</v>
      </c>
      <c r="L807" t="s">
        <v>3363</v>
      </c>
      <c r="N807" t="s">
        <v>3375</v>
      </c>
      <c r="O807" t="s">
        <v>3376</v>
      </c>
      <c r="P807">
        <v>41393805</v>
      </c>
    </row>
    <row r="808" spans="1:16">
      <c r="A808" t="s">
        <v>47</v>
      </c>
      <c r="B808">
        <v>0</v>
      </c>
      <c r="G808" t="s">
        <v>3338</v>
      </c>
      <c r="I808" t="s">
        <v>3338</v>
      </c>
      <c r="N808" t="s">
        <v>3377</v>
      </c>
      <c r="O808" t="s">
        <v>3346</v>
      </c>
      <c r="P808">
        <v>41393805</v>
      </c>
    </row>
    <row r="809" spans="1:16">
      <c r="A809" t="s">
        <v>47</v>
      </c>
      <c r="B809">
        <v>1</v>
      </c>
      <c r="E809" t="s">
        <v>3377</v>
      </c>
      <c r="F809" t="s">
        <v>3346</v>
      </c>
      <c r="G809" t="s">
        <v>3378</v>
      </c>
      <c r="I809" t="s">
        <v>3338</v>
      </c>
      <c r="L809" t="s">
        <v>193</v>
      </c>
      <c r="N809" t="s">
        <v>3379</v>
      </c>
      <c r="O809" t="s">
        <v>3380</v>
      </c>
      <c r="P809">
        <v>41393805</v>
      </c>
    </row>
    <row r="810" spans="1:16">
      <c r="A810" t="s">
        <v>47</v>
      </c>
      <c r="B810">
        <v>2</v>
      </c>
      <c r="E810" t="s">
        <v>3379</v>
      </c>
      <c r="F810" t="s">
        <v>3380</v>
      </c>
      <c r="G810" t="s">
        <v>3381</v>
      </c>
      <c r="I810" t="s">
        <v>3338</v>
      </c>
      <c r="J810" t="s">
        <v>2421</v>
      </c>
      <c r="K810" t="s">
        <v>3354</v>
      </c>
      <c r="L810" t="s">
        <v>3369</v>
      </c>
      <c r="N810" t="s">
        <v>3382</v>
      </c>
      <c r="O810" t="s">
        <v>3352</v>
      </c>
      <c r="P810">
        <v>41393805</v>
      </c>
    </row>
    <row r="811" spans="1:16">
      <c r="A811" t="s">
        <v>47</v>
      </c>
      <c r="B811">
        <v>2</v>
      </c>
      <c r="E811" t="s">
        <v>3379</v>
      </c>
      <c r="F811" t="s">
        <v>3380</v>
      </c>
      <c r="G811" t="s">
        <v>3381</v>
      </c>
      <c r="I811" t="s">
        <v>3338</v>
      </c>
      <c r="L811" t="s">
        <v>3383</v>
      </c>
      <c r="N811" t="s">
        <v>3384</v>
      </c>
      <c r="O811" t="s">
        <v>3385</v>
      </c>
      <c r="P811">
        <v>41393805</v>
      </c>
    </row>
    <row r="812" spans="1:16">
      <c r="A812" t="s">
        <v>47</v>
      </c>
      <c r="B812">
        <v>2</v>
      </c>
      <c r="E812" t="s">
        <v>3379</v>
      </c>
      <c r="F812" t="s">
        <v>3380</v>
      </c>
      <c r="G812" t="s">
        <v>3381</v>
      </c>
      <c r="I812" t="s">
        <v>3338</v>
      </c>
      <c r="J812" t="s">
        <v>2232</v>
      </c>
      <c r="K812" t="s">
        <v>2233</v>
      </c>
      <c r="L812" t="s">
        <v>3342</v>
      </c>
      <c r="N812" t="s">
        <v>3386</v>
      </c>
      <c r="O812" t="s">
        <v>3350</v>
      </c>
      <c r="P812">
        <v>41393805</v>
      </c>
    </row>
    <row r="813" spans="1:16">
      <c r="A813" t="s">
        <v>47</v>
      </c>
      <c r="B813">
        <v>0</v>
      </c>
      <c r="G813" t="s">
        <v>3338</v>
      </c>
      <c r="I813" t="s">
        <v>3338</v>
      </c>
      <c r="N813" t="s">
        <v>3395</v>
      </c>
      <c r="O813" t="s">
        <v>3396</v>
      </c>
      <c r="P813">
        <v>41393805</v>
      </c>
    </row>
    <row r="814" spans="1:16">
      <c r="A814" t="s">
        <v>47</v>
      </c>
      <c r="B814">
        <v>1</v>
      </c>
      <c r="E814" t="s">
        <v>3395</v>
      </c>
      <c r="F814" t="s">
        <v>3396</v>
      </c>
      <c r="G814" t="s">
        <v>3397</v>
      </c>
      <c r="I814" t="s">
        <v>3338</v>
      </c>
      <c r="L814" t="s">
        <v>3342</v>
      </c>
      <c r="N814" t="s">
        <v>3398</v>
      </c>
      <c r="O814" t="s">
        <v>3399</v>
      </c>
      <c r="P814">
        <v>41393805</v>
      </c>
    </row>
    <row r="815" spans="1:16">
      <c r="A815" t="s">
        <v>47</v>
      </c>
      <c r="B815">
        <v>1</v>
      </c>
      <c r="E815" t="s">
        <v>3395</v>
      </c>
      <c r="F815" t="s">
        <v>3396</v>
      </c>
      <c r="G815" t="s">
        <v>3397</v>
      </c>
      <c r="I815" t="s">
        <v>3338</v>
      </c>
      <c r="J815" t="s">
        <v>2232</v>
      </c>
      <c r="K815" t="s">
        <v>2233</v>
      </c>
      <c r="L815" t="s">
        <v>3342</v>
      </c>
      <c r="N815" t="s">
        <v>3400</v>
      </c>
      <c r="O815" t="s">
        <v>3401</v>
      </c>
      <c r="P815">
        <v>41393805</v>
      </c>
    </row>
    <row r="816" spans="1:16">
      <c r="A816" t="s">
        <v>47</v>
      </c>
      <c r="B816">
        <v>1</v>
      </c>
      <c r="E816" t="s">
        <v>3395</v>
      </c>
      <c r="F816" t="s">
        <v>3396</v>
      </c>
      <c r="G816" t="s">
        <v>3397</v>
      </c>
      <c r="I816" t="s">
        <v>3338</v>
      </c>
      <c r="L816" t="s">
        <v>3342</v>
      </c>
      <c r="N816" t="s">
        <v>3402</v>
      </c>
      <c r="O816" t="s">
        <v>3403</v>
      </c>
      <c r="P816">
        <v>41393805</v>
      </c>
    </row>
    <row r="817" spans="1:16">
      <c r="A817" t="s">
        <v>47</v>
      </c>
      <c r="B817">
        <v>1</v>
      </c>
      <c r="E817" t="s">
        <v>3395</v>
      </c>
      <c r="F817" t="s">
        <v>3396</v>
      </c>
      <c r="G817" t="s">
        <v>3397</v>
      </c>
      <c r="I817" t="s">
        <v>3338</v>
      </c>
      <c r="L817" t="s">
        <v>3342</v>
      </c>
      <c r="N817" t="s">
        <v>3404</v>
      </c>
      <c r="O817" t="s">
        <v>3405</v>
      </c>
      <c r="P817">
        <v>41393805</v>
      </c>
    </row>
    <row r="818" spans="1:16">
      <c r="A818" t="s">
        <v>47</v>
      </c>
      <c r="B818">
        <v>0</v>
      </c>
      <c r="G818" t="s">
        <v>3338</v>
      </c>
      <c r="I818" t="s">
        <v>3338</v>
      </c>
      <c r="N818" t="s">
        <v>3406</v>
      </c>
      <c r="O818" t="s">
        <v>3407</v>
      </c>
      <c r="P818">
        <v>41393805</v>
      </c>
    </row>
    <row r="819" spans="1:16">
      <c r="A819" t="s">
        <v>47</v>
      </c>
      <c r="B819">
        <v>1</v>
      </c>
      <c r="E819" t="s">
        <v>3406</v>
      </c>
      <c r="F819" t="s">
        <v>3407</v>
      </c>
      <c r="G819" t="s">
        <v>3408</v>
      </c>
      <c r="I819" t="s">
        <v>3338</v>
      </c>
      <c r="J819" t="s">
        <v>2421</v>
      </c>
      <c r="K819" t="s">
        <v>3354</v>
      </c>
      <c r="L819" t="s">
        <v>3369</v>
      </c>
      <c r="N819" t="s">
        <v>3409</v>
      </c>
      <c r="O819" t="s">
        <v>3410</v>
      </c>
      <c r="P819">
        <v>41393805</v>
      </c>
    </row>
    <row r="820" spans="1:16">
      <c r="A820" t="s">
        <v>47</v>
      </c>
      <c r="B820">
        <v>1</v>
      </c>
      <c r="E820" t="s">
        <v>3406</v>
      </c>
      <c r="F820" t="s">
        <v>3407</v>
      </c>
      <c r="G820" t="s">
        <v>3408</v>
      </c>
      <c r="I820" t="s">
        <v>3338</v>
      </c>
      <c r="L820" t="s">
        <v>193</v>
      </c>
      <c r="N820" t="s">
        <v>3411</v>
      </c>
      <c r="O820" t="s">
        <v>3412</v>
      </c>
      <c r="P820">
        <v>41393805</v>
      </c>
    </row>
    <row r="821" spans="1:16">
      <c r="A821" t="s">
        <v>47</v>
      </c>
      <c r="B821">
        <v>2</v>
      </c>
      <c r="E821" t="s">
        <v>3411</v>
      </c>
      <c r="F821" t="s">
        <v>3412</v>
      </c>
      <c r="G821" t="s">
        <v>3413</v>
      </c>
      <c r="I821" t="s">
        <v>3338</v>
      </c>
      <c r="L821" t="s">
        <v>3342</v>
      </c>
      <c r="N821" t="s">
        <v>3414</v>
      </c>
      <c r="O821" t="s">
        <v>3415</v>
      </c>
      <c r="P821">
        <v>41393805</v>
      </c>
    </row>
    <row r="822" spans="1:16">
      <c r="A822" t="s">
        <v>47</v>
      </c>
      <c r="B822">
        <v>2</v>
      </c>
      <c r="E822" t="s">
        <v>3411</v>
      </c>
      <c r="F822" t="s">
        <v>3412</v>
      </c>
      <c r="G822" t="s">
        <v>3413</v>
      </c>
      <c r="I822" t="s">
        <v>3338</v>
      </c>
      <c r="J822" t="s">
        <v>2232</v>
      </c>
      <c r="K822" t="s">
        <v>2233</v>
      </c>
      <c r="L822" t="s">
        <v>3342</v>
      </c>
      <c r="N822" t="s">
        <v>3416</v>
      </c>
      <c r="O822" t="s">
        <v>3417</v>
      </c>
      <c r="P822">
        <v>41393805</v>
      </c>
    </row>
    <row r="823" spans="1:16">
      <c r="A823" t="s">
        <v>47</v>
      </c>
      <c r="B823">
        <v>2</v>
      </c>
      <c r="E823" t="s">
        <v>3411</v>
      </c>
      <c r="F823" t="s">
        <v>3412</v>
      </c>
      <c r="G823" t="s">
        <v>3413</v>
      </c>
      <c r="I823" t="s">
        <v>3338</v>
      </c>
      <c r="J823" t="s">
        <v>2232</v>
      </c>
      <c r="K823" t="s">
        <v>2233</v>
      </c>
      <c r="L823" t="s">
        <v>3342</v>
      </c>
      <c r="N823" t="s">
        <v>3418</v>
      </c>
      <c r="O823" t="s">
        <v>3419</v>
      </c>
      <c r="P823">
        <v>41393805</v>
      </c>
    </row>
    <row r="824" spans="1:16">
      <c r="A824" t="s">
        <v>47</v>
      </c>
      <c r="B824">
        <v>2</v>
      </c>
      <c r="E824" t="s">
        <v>3411</v>
      </c>
      <c r="F824" t="s">
        <v>3412</v>
      </c>
      <c r="G824" t="s">
        <v>3413</v>
      </c>
      <c r="I824" t="s">
        <v>3338</v>
      </c>
      <c r="L824" t="s">
        <v>3342</v>
      </c>
      <c r="N824" t="s">
        <v>3420</v>
      </c>
      <c r="O824" t="s">
        <v>3421</v>
      </c>
      <c r="P824">
        <v>41393805</v>
      </c>
    </row>
    <row r="825" spans="1:16">
      <c r="A825" t="s">
        <v>47</v>
      </c>
      <c r="B825">
        <v>2</v>
      </c>
      <c r="E825" t="s">
        <v>3411</v>
      </c>
      <c r="F825" t="s">
        <v>3412</v>
      </c>
      <c r="G825" t="s">
        <v>3413</v>
      </c>
      <c r="I825" t="s">
        <v>3338</v>
      </c>
      <c r="J825" t="s">
        <v>2232</v>
      </c>
      <c r="K825" t="s">
        <v>2233</v>
      </c>
      <c r="L825" t="s">
        <v>3342</v>
      </c>
      <c r="N825" t="s">
        <v>3422</v>
      </c>
      <c r="O825" t="s">
        <v>3423</v>
      </c>
      <c r="P825">
        <v>41393805</v>
      </c>
    </row>
    <row r="826" spans="1:16">
      <c r="A826" t="s">
        <v>47</v>
      </c>
      <c r="B826">
        <v>0</v>
      </c>
      <c r="G826" t="s">
        <v>3338</v>
      </c>
      <c r="I826" t="s">
        <v>3338</v>
      </c>
      <c r="N826" t="s">
        <v>3424</v>
      </c>
      <c r="O826" t="s">
        <v>3425</v>
      </c>
      <c r="P826">
        <v>41393805</v>
      </c>
    </row>
    <row r="827" spans="1:16">
      <c r="A827" t="s">
        <v>47</v>
      </c>
      <c r="B827">
        <v>1</v>
      </c>
      <c r="E827" t="s">
        <v>3424</v>
      </c>
      <c r="F827" t="s">
        <v>3425</v>
      </c>
      <c r="G827" t="s">
        <v>3426</v>
      </c>
      <c r="I827" t="s">
        <v>3338</v>
      </c>
      <c r="J827" t="s">
        <v>2421</v>
      </c>
      <c r="K827" t="s">
        <v>3354</v>
      </c>
      <c r="L827" t="s">
        <v>3369</v>
      </c>
      <c r="N827" t="s">
        <v>3427</v>
      </c>
      <c r="O827" t="s">
        <v>3428</v>
      </c>
      <c r="P827">
        <v>41393805</v>
      </c>
    </row>
    <row r="828" spans="1:16">
      <c r="A828" t="s">
        <v>47</v>
      </c>
      <c r="B828">
        <v>1</v>
      </c>
      <c r="E828" t="s">
        <v>3424</v>
      </c>
      <c r="F828" t="s">
        <v>3425</v>
      </c>
      <c r="G828" t="s">
        <v>3426</v>
      </c>
      <c r="I828" t="s">
        <v>3338</v>
      </c>
      <c r="J828" t="s">
        <v>2421</v>
      </c>
      <c r="K828" t="s">
        <v>3354</v>
      </c>
      <c r="L828" t="s">
        <v>3369</v>
      </c>
      <c r="N828" t="s">
        <v>3429</v>
      </c>
      <c r="O828" t="s">
        <v>3430</v>
      </c>
      <c r="P828">
        <v>41393805</v>
      </c>
    </row>
    <row r="829" spans="1:16">
      <c r="A829" t="s">
        <v>47</v>
      </c>
      <c r="B829">
        <v>1</v>
      </c>
      <c r="E829" t="s">
        <v>3424</v>
      </c>
      <c r="F829" t="s">
        <v>3425</v>
      </c>
      <c r="G829" t="s">
        <v>3426</v>
      </c>
      <c r="I829" t="s">
        <v>3338</v>
      </c>
      <c r="J829" t="s">
        <v>2232</v>
      </c>
      <c r="K829" t="s">
        <v>2233</v>
      </c>
      <c r="L829" t="s">
        <v>3342</v>
      </c>
      <c r="N829" t="s">
        <v>3431</v>
      </c>
      <c r="O829" t="s">
        <v>3432</v>
      </c>
      <c r="P829">
        <v>41393805</v>
      </c>
    </row>
    <row r="830" spans="1:16">
      <c r="A830" t="s">
        <v>47</v>
      </c>
      <c r="B830">
        <v>0</v>
      </c>
      <c r="G830" t="s">
        <v>3338</v>
      </c>
      <c r="I830" t="s">
        <v>3338</v>
      </c>
      <c r="N830" t="s">
        <v>3433</v>
      </c>
      <c r="O830" t="s">
        <v>3434</v>
      </c>
      <c r="P830">
        <v>41393805</v>
      </c>
    </row>
    <row r="831" spans="1:16">
      <c r="A831" t="s">
        <v>47</v>
      </c>
      <c r="B831">
        <v>1</v>
      </c>
      <c r="E831" t="s">
        <v>3433</v>
      </c>
      <c r="F831" t="s">
        <v>3434</v>
      </c>
      <c r="G831" t="s">
        <v>3435</v>
      </c>
      <c r="I831" t="s">
        <v>3338</v>
      </c>
      <c r="J831" t="s">
        <v>2232</v>
      </c>
      <c r="K831" t="s">
        <v>2233</v>
      </c>
      <c r="L831" t="s">
        <v>3342</v>
      </c>
      <c r="N831" t="s">
        <v>3436</v>
      </c>
      <c r="O831" t="s">
        <v>3437</v>
      </c>
      <c r="P831">
        <v>41393805</v>
      </c>
    </row>
    <row r="832" spans="1:16">
      <c r="A832" t="s">
        <v>47</v>
      </c>
      <c r="B832">
        <v>1</v>
      </c>
      <c r="E832" t="s">
        <v>3433</v>
      </c>
      <c r="F832" t="s">
        <v>3434</v>
      </c>
      <c r="G832" t="s">
        <v>3435</v>
      </c>
      <c r="I832" t="s">
        <v>3338</v>
      </c>
      <c r="J832" t="s">
        <v>2232</v>
      </c>
      <c r="K832" t="s">
        <v>2233</v>
      </c>
      <c r="L832" t="s">
        <v>3342</v>
      </c>
      <c r="N832" t="s">
        <v>3438</v>
      </c>
      <c r="O832" t="s">
        <v>3439</v>
      </c>
      <c r="P832">
        <v>41393805</v>
      </c>
    </row>
    <row r="833" spans="1:16">
      <c r="A833" t="s">
        <v>47</v>
      </c>
      <c r="B833">
        <v>1</v>
      </c>
      <c r="E833" t="s">
        <v>3433</v>
      </c>
      <c r="F833" t="s">
        <v>3434</v>
      </c>
      <c r="G833" t="s">
        <v>3435</v>
      </c>
      <c r="I833" t="s">
        <v>3338</v>
      </c>
      <c r="J833" t="s">
        <v>2232</v>
      </c>
      <c r="K833" t="s">
        <v>2233</v>
      </c>
      <c r="L833" t="s">
        <v>3342</v>
      </c>
      <c r="N833" t="s">
        <v>3440</v>
      </c>
      <c r="O833" t="s">
        <v>3441</v>
      </c>
      <c r="P833">
        <v>41393805</v>
      </c>
    </row>
    <row r="834" spans="1:16">
      <c r="A834" t="s">
        <v>47</v>
      </c>
      <c r="B834">
        <v>1</v>
      </c>
      <c r="E834" t="s">
        <v>3433</v>
      </c>
      <c r="F834" t="s">
        <v>3434</v>
      </c>
      <c r="G834" t="s">
        <v>3435</v>
      </c>
      <c r="I834" t="s">
        <v>3338</v>
      </c>
      <c r="J834" t="s">
        <v>2232</v>
      </c>
      <c r="K834" t="s">
        <v>2233</v>
      </c>
      <c r="L834" t="s">
        <v>3342</v>
      </c>
      <c r="N834" t="s">
        <v>3442</v>
      </c>
      <c r="O834" t="s">
        <v>3443</v>
      </c>
      <c r="P834">
        <v>41393805</v>
      </c>
    </row>
    <row r="835" spans="1:16">
      <c r="A835" t="s">
        <v>47</v>
      </c>
      <c r="B835">
        <v>1</v>
      </c>
      <c r="E835" t="s">
        <v>3433</v>
      </c>
      <c r="F835" t="s">
        <v>3434</v>
      </c>
      <c r="G835" t="s">
        <v>3435</v>
      </c>
      <c r="I835" t="s">
        <v>3338</v>
      </c>
      <c r="J835" t="s">
        <v>2232</v>
      </c>
      <c r="K835" t="s">
        <v>2233</v>
      </c>
      <c r="L835" t="s">
        <v>3342</v>
      </c>
      <c r="N835" t="s">
        <v>3444</v>
      </c>
      <c r="O835" t="s">
        <v>3445</v>
      </c>
      <c r="P835">
        <v>41393805</v>
      </c>
    </row>
    <row r="836" spans="1:16">
      <c r="A836" t="s">
        <v>47</v>
      </c>
      <c r="B836">
        <v>1</v>
      </c>
      <c r="E836" t="s">
        <v>3433</v>
      </c>
      <c r="F836" t="s">
        <v>3434</v>
      </c>
      <c r="G836" t="s">
        <v>3435</v>
      </c>
      <c r="I836" t="s">
        <v>3338</v>
      </c>
      <c r="J836" t="s">
        <v>2232</v>
      </c>
      <c r="K836" t="s">
        <v>2233</v>
      </c>
      <c r="L836" t="s">
        <v>3342</v>
      </c>
      <c r="N836" t="s">
        <v>3446</v>
      </c>
      <c r="O836" t="s">
        <v>3447</v>
      </c>
      <c r="P836">
        <v>41393805</v>
      </c>
    </row>
    <row r="837" spans="1:16">
      <c r="A837" t="s">
        <v>47</v>
      </c>
      <c r="B837">
        <v>0</v>
      </c>
      <c r="G837" t="s">
        <v>3338</v>
      </c>
      <c r="I837" t="s">
        <v>3338</v>
      </c>
      <c r="N837" t="s">
        <v>3448</v>
      </c>
      <c r="O837" t="s">
        <v>3449</v>
      </c>
      <c r="P837">
        <v>41393805</v>
      </c>
    </row>
    <row r="838" spans="1:16">
      <c r="A838" t="s">
        <v>47</v>
      </c>
      <c r="B838">
        <v>1</v>
      </c>
      <c r="E838" t="s">
        <v>3448</v>
      </c>
      <c r="F838" t="s">
        <v>3449</v>
      </c>
      <c r="G838" t="s">
        <v>3450</v>
      </c>
      <c r="I838" t="s">
        <v>3338</v>
      </c>
      <c r="J838" t="s">
        <v>2421</v>
      </c>
      <c r="K838" t="s">
        <v>3354</v>
      </c>
      <c r="L838" t="s">
        <v>3451</v>
      </c>
      <c r="N838" t="s">
        <v>3452</v>
      </c>
      <c r="O838" t="s">
        <v>3453</v>
      </c>
      <c r="P838">
        <v>41393805</v>
      </c>
    </row>
    <row r="839" spans="1:16">
      <c r="A839" t="s">
        <v>47</v>
      </c>
      <c r="B839">
        <v>0</v>
      </c>
      <c r="G839" t="s">
        <v>3456</v>
      </c>
      <c r="I839" t="s">
        <v>3456</v>
      </c>
      <c r="M839" t="s">
        <v>3460</v>
      </c>
      <c r="N839" t="s">
        <v>3458</v>
      </c>
      <c r="O839" t="s">
        <v>3459</v>
      </c>
      <c r="P839">
        <v>41393805</v>
      </c>
    </row>
    <row r="840" spans="1:16">
      <c r="A840" t="s">
        <v>47</v>
      </c>
      <c r="B840">
        <v>0</v>
      </c>
      <c r="G840" t="s">
        <v>3456</v>
      </c>
      <c r="I840" t="s">
        <v>3456</v>
      </c>
      <c r="M840" t="s">
        <v>3463</v>
      </c>
      <c r="N840" t="s">
        <v>3464</v>
      </c>
      <c r="O840" t="s">
        <v>3465</v>
      </c>
      <c r="P840">
        <v>41393805</v>
      </c>
    </row>
    <row r="841" spans="1:16">
      <c r="A841" t="s">
        <v>47</v>
      </c>
      <c r="B841">
        <v>0</v>
      </c>
      <c r="G841" t="s">
        <v>3456</v>
      </c>
      <c r="I841" t="s">
        <v>3456</v>
      </c>
      <c r="M841" t="s">
        <v>3460</v>
      </c>
      <c r="N841" t="s">
        <v>3466</v>
      </c>
      <c r="O841" t="s">
        <v>3467</v>
      </c>
      <c r="P841">
        <v>41393805</v>
      </c>
    </row>
    <row r="842" spans="1:16">
      <c r="A842" t="s">
        <v>49</v>
      </c>
      <c r="B842">
        <v>0</v>
      </c>
      <c r="G842" t="s">
        <v>3338</v>
      </c>
      <c r="I842" t="s">
        <v>3338</v>
      </c>
      <c r="N842" t="s">
        <v>3339</v>
      </c>
      <c r="O842" t="s">
        <v>3340</v>
      </c>
      <c r="P842">
        <v>41315606</v>
      </c>
    </row>
    <row r="843" spans="1:16">
      <c r="A843" t="s">
        <v>49</v>
      </c>
      <c r="B843">
        <v>1</v>
      </c>
      <c r="E843" t="s">
        <v>3339</v>
      </c>
      <c r="F843" t="s">
        <v>3340</v>
      </c>
      <c r="G843" t="s">
        <v>3341</v>
      </c>
      <c r="I843" t="s">
        <v>3338</v>
      </c>
      <c r="J843" t="s">
        <v>2232</v>
      </c>
      <c r="K843" t="s">
        <v>2233</v>
      </c>
      <c r="L843" t="s">
        <v>3342</v>
      </c>
      <c r="N843" t="s">
        <v>3343</v>
      </c>
      <c r="O843" t="s">
        <v>3344</v>
      </c>
      <c r="P843">
        <v>41315606</v>
      </c>
    </row>
    <row r="844" spans="1:16">
      <c r="A844" t="s">
        <v>49</v>
      </c>
      <c r="B844">
        <v>1</v>
      </c>
      <c r="E844" t="s">
        <v>3339</v>
      </c>
      <c r="F844" t="s">
        <v>3340</v>
      </c>
      <c r="G844" t="s">
        <v>3341</v>
      </c>
      <c r="I844" t="s">
        <v>3338</v>
      </c>
      <c r="J844" t="s">
        <v>2232</v>
      </c>
      <c r="K844" t="s">
        <v>2233</v>
      </c>
      <c r="L844" t="s">
        <v>3342</v>
      </c>
      <c r="N844" t="s">
        <v>3345</v>
      </c>
      <c r="O844" t="s">
        <v>3346</v>
      </c>
      <c r="P844">
        <v>41315606</v>
      </c>
    </row>
    <row r="845" spans="1:16">
      <c r="A845" t="s">
        <v>49</v>
      </c>
      <c r="B845">
        <v>0</v>
      </c>
      <c r="G845" t="s">
        <v>3338</v>
      </c>
      <c r="I845" t="s">
        <v>3338</v>
      </c>
      <c r="N845" t="s">
        <v>3347</v>
      </c>
      <c r="O845" t="s">
        <v>3344</v>
      </c>
      <c r="P845">
        <v>41315606</v>
      </c>
    </row>
    <row r="846" spans="1:16">
      <c r="A846" t="s">
        <v>49</v>
      </c>
      <c r="B846">
        <v>1</v>
      </c>
      <c r="E846" t="s">
        <v>3347</v>
      </c>
      <c r="F846" t="s">
        <v>3344</v>
      </c>
      <c r="G846" t="s">
        <v>3348</v>
      </c>
      <c r="I846" t="s">
        <v>3338</v>
      </c>
      <c r="J846" t="s">
        <v>2232</v>
      </c>
      <c r="K846" t="s">
        <v>2233</v>
      </c>
      <c r="L846" t="s">
        <v>3342</v>
      </c>
      <c r="N846" t="s">
        <v>3349</v>
      </c>
      <c r="O846" t="s">
        <v>3350</v>
      </c>
      <c r="P846">
        <v>41315606</v>
      </c>
    </row>
    <row r="847" spans="1:16">
      <c r="A847" t="s">
        <v>49</v>
      </c>
      <c r="B847">
        <v>1</v>
      </c>
      <c r="E847" t="s">
        <v>3347</v>
      </c>
      <c r="F847" t="s">
        <v>3344</v>
      </c>
      <c r="G847" t="s">
        <v>3348</v>
      </c>
      <c r="I847" t="s">
        <v>3338</v>
      </c>
      <c r="L847" t="s">
        <v>193</v>
      </c>
      <c r="N847" t="s">
        <v>3351</v>
      </c>
      <c r="O847" t="s">
        <v>3352</v>
      </c>
      <c r="P847">
        <v>41315606</v>
      </c>
    </row>
    <row r="848" spans="1:16">
      <c r="A848" t="s">
        <v>49</v>
      </c>
      <c r="B848">
        <v>2</v>
      </c>
      <c r="E848" t="s">
        <v>3351</v>
      </c>
      <c r="F848" t="s">
        <v>3352</v>
      </c>
      <c r="G848" t="s">
        <v>3353</v>
      </c>
      <c r="I848" t="s">
        <v>3338</v>
      </c>
      <c r="J848" t="s">
        <v>2421</v>
      </c>
      <c r="K848" t="s">
        <v>3354</v>
      </c>
      <c r="L848" t="s">
        <v>3355</v>
      </c>
      <c r="N848" t="s">
        <v>3356</v>
      </c>
      <c r="O848" t="s">
        <v>3357</v>
      </c>
      <c r="P848">
        <v>41315606</v>
      </c>
    </row>
    <row r="849" spans="1:16">
      <c r="A849" t="s">
        <v>49</v>
      </c>
      <c r="B849">
        <v>2</v>
      </c>
      <c r="E849" t="s">
        <v>3351</v>
      </c>
      <c r="F849" t="s">
        <v>3352</v>
      </c>
      <c r="G849" t="s">
        <v>3353</v>
      </c>
      <c r="I849" t="s">
        <v>3338</v>
      </c>
      <c r="J849" t="s">
        <v>2421</v>
      </c>
      <c r="K849" t="s">
        <v>3354</v>
      </c>
      <c r="L849" t="s">
        <v>3355</v>
      </c>
      <c r="N849" t="s">
        <v>3358</v>
      </c>
      <c r="O849" t="s">
        <v>3359</v>
      </c>
      <c r="P849">
        <v>41315606</v>
      </c>
    </row>
    <row r="850" spans="1:16">
      <c r="A850" t="s">
        <v>49</v>
      </c>
      <c r="B850">
        <v>2</v>
      </c>
      <c r="E850" t="s">
        <v>3351</v>
      </c>
      <c r="F850" t="s">
        <v>3352</v>
      </c>
      <c r="G850" t="s">
        <v>3353</v>
      </c>
      <c r="I850" t="s">
        <v>3338</v>
      </c>
      <c r="J850" t="s">
        <v>2421</v>
      </c>
      <c r="K850" t="s">
        <v>3354</v>
      </c>
      <c r="L850" t="s">
        <v>3355</v>
      </c>
      <c r="N850" t="s">
        <v>3360</v>
      </c>
      <c r="O850" t="s">
        <v>3361</v>
      </c>
      <c r="P850">
        <v>41315606</v>
      </c>
    </row>
    <row r="851" spans="1:16">
      <c r="A851" t="s">
        <v>49</v>
      </c>
      <c r="B851">
        <v>1</v>
      </c>
      <c r="E851" t="s">
        <v>3347</v>
      </c>
      <c r="F851" t="s">
        <v>3344</v>
      </c>
      <c r="G851" t="s">
        <v>3348</v>
      </c>
      <c r="I851" t="s">
        <v>3338</v>
      </c>
      <c r="J851" t="s">
        <v>2236</v>
      </c>
      <c r="K851" t="s">
        <v>3362</v>
      </c>
      <c r="L851" t="s">
        <v>3363</v>
      </c>
      <c r="N851" t="s">
        <v>3364</v>
      </c>
      <c r="O851" t="s">
        <v>3365</v>
      </c>
      <c r="P851">
        <v>41315606</v>
      </c>
    </row>
    <row r="852" spans="1:16">
      <c r="A852" t="s">
        <v>49</v>
      </c>
      <c r="B852">
        <v>1</v>
      </c>
      <c r="E852" t="s">
        <v>3347</v>
      </c>
      <c r="F852" t="s">
        <v>3344</v>
      </c>
      <c r="G852" t="s">
        <v>3348</v>
      </c>
      <c r="I852" t="s">
        <v>3338</v>
      </c>
      <c r="L852" t="s">
        <v>193</v>
      </c>
      <c r="N852" t="s">
        <v>3366</v>
      </c>
      <c r="O852" t="s">
        <v>3367</v>
      </c>
      <c r="P852">
        <v>41315606</v>
      </c>
    </row>
    <row r="853" spans="1:16">
      <c r="A853" t="s">
        <v>49</v>
      </c>
      <c r="B853">
        <v>2</v>
      </c>
      <c r="E853" t="s">
        <v>3366</v>
      </c>
      <c r="F853" t="s">
        <v>3367</v>
      </c>
      <c r="G853" t="s">
        <v>3368</v>
      </c>
      <c r="I853" t="s">
        <v>3338</v>
      </c>
      <c r="J853" t="s">
        <v>2421</v>
      </c>
      <c r="K853" t="s">
        <v>3354</v>
      </c>
      <c r="L853" t="s">
        <v>3369</v>
      </c>
      <c r="N853" t="s">
        <v>3370</v>
      </c>
      <c r="O853" t="s">
        <v>3359</v>
      </c>
      <c r="P853">
        <v>41315606</v>
      </c>
    </row>
    <row r="854" spans="1:16">
      <c r="A854" t="s">
        <v>49</v>
      </c>
      <c r="B854">
        <v>2</v>
      </c>
      <c r="E854" t="s">
        <v>3366</v>
      </c>
      <c r="F854" t="s">
        <v>3367</v>
      </c>
      <c r="G854" t="s">
        <v>3368</v>
      </c>
      <c r="I854" t="s">
        <v>3338</v>
      </c>
      <c r="J854" t="s">
        <v>2421</v>
      </c>
      <c r="K854" t="s">
        <v>3354</v>
      </c>
      <c r="L854" t="s">
        <v>3369</v>
      </c>
      <c r="N854" t="s">
        <v>3371</v>
      </c>
      <c r="O854" t="s">
        <v>3372</v>
      </c>
      <c r="P854">
        <v>41315606</v>
      </c>
    </row>
    <row r="855" spans="1:16">
      <c r="A855" t="s">
        <v>49</v>
      </c>
      <c r="B855">
        <v>2</v>
      </c>
      <c r="E855" t="s">
        <v>3366</v>
      </c>
      <c r="F855" t="s">
        <v>3367</v>
      </c>
      <c r="G855" t="s">
        <v>3368</v>
      </c>
      <c r="I855" t="s">
        <v>3338</v>
      </c>
      <c r="J855" t="s">
        <v>2421</v>
      </c>
      <c r="K855" t="s">
        <v>3354</v>
      </c>
      <c r="L855" t="s">
        <v>3369</v>
      </c>
      <c r="N855" t="s">
        <v>3373</v>
      </c>
      <c r="O855" t="s">
        <v>3374</v>
      </c>
      <c r="P855">
        <v>41315606</v>
      </c>
    </row>
    <row r="856" spans="1:16">
      <c r="A856" t="s">
        <v>49</v>
      </c>
      <c r="B856">
        <v>2</v>
      </c>
      <c r="E856" t="s">
        <v>3366</v>
      </c>
      <c r="F856" t="s">
        <v>3367</v>
      </c>
      <c r="G856" t="s">
        <v>3368</v>
      </c>
      <c r="I856" t="s">
        <v>3338</v>
      </c>
      <c r="J856" t="s">
        <v>2236</v>
      </c>
      <c r="K856" t="s">
        <v>3362</v>
      </c>
      <c r="L856" t="s">
        <v>3363</v>
      </c>
      <c r="N856" t="s">
        <v>3375</v>
      </c>
      <c r="O856" t="s">
        <v>3376</v>
      </c>
      <c r="P856">
        <v>41315606</v>
      </c>
    </row>
    <row r="857" spans="1:16">
      <c r="A857" t="s">
        <v>49</v>
      </c>
      <c r="B857">
        <v>0</v>
      </c>
      <c r="G857" t="s">
        <v>3338</v>
      </c>
      <c r="I857" t="s">
        <v>3338</v>
      </c>
      <c r="N857" t="s">
        <v>3377</v>
      </c>
      <c r="O857" t="s">
        <v>3346</v>
      </c>
      <c r="P857">
        <v>41315606</v>
      </c>
    </row>
    <row r="858" spans="1:16">
      <c r="A858" t="s">
        <v>49</v>
      </c>
      <c r="B858">
        <v>1</v>
      </c>
      <c r="E858" t="s">
        <v>3377</v>
      </c>
      <c r="F858" t="s">
        <v>3346</v>
      </c>
      <c r="G858" t="s">
        <v>3378</v>
      </c>
      <c r="I858" t="s">
        <v>3338</v>
      </c>
      <c r="L858" t="s">
        <v>193</v>
      </c>
      <c r="N858" t="s">
        <v>3379</v>
      </c>
      <c r="O858" t="s">
        <v>3380</v>
      </c>
      <c r="P858">
        <v>41315606</v>
      </c>
    </row>
    <row r="859" spans="1:16">
      <c r="A859" t="s">
        <v>49</v>
      </c>
      <c r="B859">
        <v>2</v>
      </c>
      <c r="E859" t="s">
        <v>3379</v>
      </c>
      <c r="F859" t="s">
        <v>3380</v>
      </c>
      <c r="G859" t="s">
        <v>3381</v>
      </c>
      <c r="I859" t="s">
        <v>3338</v>
      </c>
      <c r="J859" t="s">
        <v>2421</v>
      </c>
      <c r="K859" t="s">
        <v>3354</v>
      </c>
      <c r="L859" t="s">
        <v>3369</v>
      </c>
      <c r="N859" t="s">
        <v>3382</v>
      </c>
      <c r="O859" t="s">
        <v>3352</v>
      </c>
      <c r="P859">
        <v>41315606</v>
      </c>
    </row>
    <row r="860" spans="1:16">
      <c r="A860" t="s">
        <v>49</v>
      </c>
      <c r="B860">
        <v>2</v>
      </c>
      <c r="E860" t="s">
        <v>3379</v>
      </c>
      <c r="F860" t="s">
        <v>3380</v>
      </c>
      <c r="G860" t="s">
        <v>3381</v>
      </c>
      <c r="I860" t="s">
        <v>3338</v>
      </c>
      <c r="L860" t="s">
        <v>3383</v>
      </c>
      <c r="N860" t="s">
        <v>3384</v>
      </c>
      <c r="O860" t="s">
        <v>3385</v>
      </c>
      <c r="P860">
        <v>41315606</v>
      </c>
    </row>
    <row r="861" spans="1:16">
      <c r="A861" t="s">
        <v>49</v>
      </c>
      <c r="B861">
        <v>2</v>
      </c>
      <c r="E861" t="s">
        <v>3379</v>
      </c>
      <c r="F861" t="s">
        <v>3380</v>
      </c>
      <c r="G861" t="s">
        <v>3381</v>
      </c>
      <c r="I861" t="s">
        <v>3338</v>
      </c>
      <c r="J861" t="s">
        <v>2232</v>
      </c>
      <c r="K861" t="s">
        <v>2233</v>
      </c>
      <c r="L861" t="s">
        <v>3342</v>
      </c>
      <c r="N861" t="s">
        <v>3386</v>
      </c>
      <c r="O861" t="s">
        <v>3350</v>
      </c>
      <c r="P861">
        <v>41315606</v>
      </c>
    </row>
    <row r="862" spans="1:16">
      <c r="A862" t="s">
        <v>49</v>
      </c>
      <c r="B862">
        <v>1</v>
      </c>
      <c r="E862" t="s">
        <v>3377</v>
      </c>
      <c r="F862" t="s">
        <v>3346</v>
      </c>
      <c r="G862" t="s">
        <v>3378</v>
      </c>
      <c r="I862" t="s">
        <v>3338</v>
      </c>
      <c r="L862" t="s">
        <v>193</v>
      </c>
      <c r="N862" t="s">
        <v>3387</v>
      </c>
      <c r="O862" t="s">
        <v>3388</v>
      </c>
      <c r="P862">
        <v>41315606</v>
      </c>
    </row>
    <row r="863" spans="1:16">
      <c r="A863" t="s">
        <v>49</v>
      </c>
      <c r="B863">
        <v>2</v>
      </c>
      <c r="E863" t="s">
        <v>3387</v>
      </c>
      <c r="F863" t="s">
        <v>3388</v>
      </c>
      <c r="G863" t="s">
        <v>3389</v>
      </c>
      <c r="I863" t="s">
        <v>3338</v>
      </c>
      <c r="L863" t="s">
        <v>3369</v>
      </c>
      <c r="N863" t="s">
        <v>3390</v>
      </c>
      <c r="O863" t="s">
        <v>3352</v>
      </c>
      <c r="P863">
        <v>41315606</v>
      </c>
    </row>
    <row r="864" spans="1:16">
      <c r="A864" t="s">
        <v>49</v>
      </c>
      <c r="B864">
        <v>2</v>
      </c>
      <c r="E864" t="s">
        <v>3387</v>
      </c>
      <c r="F864" t="s">
        <v>3388</v>
      </c>
      <c r="G864" t="s">
        <v>3389</v>
      </c>
      <c r="I864" t="s">
        <v>3338</v>
      </c>
      <c r="L864" t="s">
        <v>3342</v>
      </c>
      <c r="N864" t="s">
        <v>3391</v>
      </c>
      <c r="O864" t="s">
        <v>3392</v>
      </c>
      <c r="P864">
        <v>41315606</v>
      </c>
    </row>
    <row r="865" spans="1:16">
      <c r="A865" t="s">
        <v>49</v>
      </c>
      <c r="B865">
        <v>2</v>
      </c>
      <c r="E865" t="s">
        <v>3387</v>
      </c>
      <c r="F865" t="s">
        <v>3388</v>
      </c>
      <c r="G865" t="s">
        <v>3389</v>
      </c>
      <c r="I865" t="s">
        <v>3338</v>
      </c>
      <c r="L865" t="s">
        <v>3383</v>
      </c>
      <c r="N865" t="s">
        <v>3393</v>
      </c>
      <c r="O865" t="s">
        <v>3385</v>
      </c>
      <c r="P865">
        <v>41315606</v>
      </c>
    </row>
    <row r="866" spans="1:16">
      <c r="A866" t="s">
        <v>49</v>
      </c>
      <c r="B866">
        <v>2</v>
      </c>
      <c r="E866" t="s">
        <v>3387</v>
      </c>
      <c r="F866" t="s">
        <v>3388</v>
      </c>
      <c r="G866" t="s">
        <v>3389</v>
      </c>
      <c r="I866" t="s">
        <v>3338</v>
      </c>
      <c r="L866" t="s">
        <v>3342</v>
      </c>
      <c r="N866" t="s">
        <v>3394</v>
      </c>
      <c r="O866" t="s">
        <v>3350</v>
      </c>
      <c r="P866">
        <v>41315606</v>
      </c>
    </row>
    <row r="867" spans="1:16">
      <c r="A867" t="s">
        <v>49</v>
      </c>
      <c r="B867">
        <v>0</v>
      </c>
      <c r="G867" t="s">
        <v>3338</v>
      </c>
      <c r="I867" t="s">
        <v>3338</v>
      </c>
      <c r="N867" t="s">
        <v>3395</v>
      </c>
      <c r="O867" t="s">
        <v>3396</v>
      </c>
      <c r="P867">
        <v>41315606</v>
      </c>
    </row>
    <row r="868" spans="1:16">
      <c r="A868" t="s">
        <v>49</v>
      </c>
      <c r="B868">
        <v>1</v>
      </c>
      <c r="E868" t="s">
        <v>3395</v>
      </c>
      <c r="F868" t="s">
        <v>3396</v>
      </c>
      <c r="G868" t="s">
        <v>3397</v>
      </c>
      <c r="I868" t="s">
        <v>3338</v>
      </c>
      <c r="L868" t="s">
        <v>3342</v>
      </c>
      <c r="N868" t="s">
        <v>3398</v>
      </c>
      <c r="O868" t="s">
        <v>3399</v>
      </c>
      <c r="P868">
        <v>41315606</v>
      </c>
    </row>
    <row r="869" spans="1:16">
      <c r="A869" t="s">
        <v>49</v>
      </c>
      <c r="B869">
        <v>1</v>
      </c>
      <c r="E869" t="s">
        <v>3395</v>
      </c>
      <c r="F869" t="s">
        <v>3396</v>
      </c>
      <c r="G869" t="s">
        <v>3397</v>
      </c>
      <c r="I869" t="s">
        <v>3338</v>
      </c>
      <c r="J869" t="s">
        <v>2232</v>
      </c>
      <c r="K869" t="s">
        <v>2233</v>
      </c>
      <c r="L869" t="s">
        <v>3342</v>
      </c>
      <c r="N869" t="s">
        <v>3400</v>
      </c>
      <c r="O869" t="s">
        <v>3401</v>
      </c>
      <c r="P869">
        <v>41315606</v>
      </c>
    </row>
    <row r="870" spans="1:16">
      <c r="A870" t="s">
        <v>49</v>
      </c>
      <c r="B870">
        <v>1</v>
      </c>
      <c r="E870" t="s">
        <v>3395</v>
      </c>
      <c r="F870" t="s">
        <v>3396</v>
      </c>
      <c r="G870" t="s">
        <v>3397</v>
      </c>
      <c r="I870" t="s">
        <v>3338</v>
      </c>
      <c r="L870" t="s">
        <v>3342</v>
      </c>
      <c r="N870" t="s">
        <v>3402</v>
      </c>
      <c r="O870" t="s">
        <v>3403</v>
      </c>
      <c r="P870">
        <v>41315606</v>
      </c>
    </row>
    <row r="871" spans="1:16">
      <c r="A871" t="s">
        <v>49</v>
      </c>
      <c r="B871">
        <v>1</v>
      </c>
      <c r="E871" t="s">
        <v>3395</v>
      </c>
      <c r="F871" t="s">
        <v>3396</v>
      </c>
      <c r="G871" t="s">
        <v>3397</v>
      </c>
      <c r="I871" t="s">
        <v>3338</v>
      </c>
      <c r="J871" t="s">
        <v>2232</v>
      </c>
      <c r="K871" t="s">
        <v>2233</v>
      </c>
      <c r="L871" t="s">
        <v>3342</v>
      </c>
      <c r="N871" t="s">
        <v>3404</v>
      </c>
      <c r="O871" t="s">
        <v>3405</v>
      </c>
      <c r="P871">
        <v>41315606</v>
      </c>
    </row>
    <row r="872" spans="1:16">
      <c r="A872" t="s">
        <v>49</v>
      </c>
      <c r="B872">
        <v>0</v>
      </c>
      <c r="G872" t="s">
        <v>3338</v>
      </c>
      <c r="I872" t="s">
        <v>3338</v>
      </c>
      <c r="N872" t="s">
        <v>3406</v>
      </c>
      <c r="O872" t="s">
        <v>3407</v>
      </c>
      <c r="P872">
        <v>41315606</v>
      </c>
    </row>
    <row r="873" spans="1:16">
      <c r="A873" t="s">
        <v>49</v>
      </c>
      <c r="B873">
        <v>1</v>
      </c>
      <c r="E873" t="s">
        <v>3406</v>
      </c>
      <c r="F873" t="s">
        <v>3407</v>
      </c>
      <c r="G873" t="s">
        <v>3408</v>
      </c>
      <c r="I873" t="s">
        <v>3338</v>
      </c>
      <c r="J873" t="s">
        <v>2421</v>
      </c>
      <c r="K873" t="s">
        <v>3354</v>
      </c>
      <c r="L873" t="s">
        <v>3369</v>
      </c>
      <c r="N873" t="s">
        <v>3409</v>
      </c>
      <c r="O873" t="s">
        <v>3410</v>
      </c>
      <c r="P873">
        <v>41315606</v>
      </c>
    </row>
    <row r="874" spans="1:16">
      <c r="A874" t="s">
        <v>49</v>
      </c>
      <c r="B874">
        <v>1</v>
      </c>
      <c r="E874" t="s">
        <v>3406</v>
      </c>
      <c r="F874" t="s">
        <v>3407</v>
      </c>
      <c r="G874" t="s">
        <v>3408</v>
      </c>
      <c r="I874" t="s">
        <v>3338</v>
      </c>
      <c r="L874" t="s">
        <v>193</v>
      </c>
      <c r="N874" t="s">
        <v>3411</v>
      </c>
      <c r="O874" t="s">
        <v>3412</v>
      </c>
      <c r="P874">
        <v>41315606</v>
      </c>
    </row>
    <row r="875" spans="1:16">
      <c r="A875" t="s">
        <v>49</v>
      </c>
      <c r="B875">
        <v>2</v>
      </c>
      <c r="E875" t="s">
        <v>3411</v>
      </c>
      <c r="F875" t="s">
        <v>3412</v>
      </c>
      <c r="G875" t="s">
        <v>3413</v>
      </c>
      <c r="I875" t="s">
        <v>3338</v>
      </c>
      <c r="L875" t="s">
        <v>3342</v>
      </c>
      <c r="N875" t="s">
        <v>3414</v>
      </c>
      <c r="O875" t="s">
        <v>3415</v>
      </c>
      <c r="P875">
        <v>41315606</v>
      </c>
    </row>
    <row r="876" spans="1:16">
      <c r="A876" t="s">
        <v>49</v>
      </c>
      <c r="B876">
        <v>2</v>
      </c>
      <c r="E876" t="s">
        <v>3411</v>
      </c>
      <c r="F876" t="s">
        <v>3412</v>
      </c>
      <c r="G876" t="s">
        <v>3413</v>
      </c>
      <c r="I876" t="s">
        <v>3338</v>
      </c>
      <c r="J876" t="s">
        <v>2232</v>
      </c>
      <c r="K876" t="s">
        <v>2233</v>
      </c>
      <c r="L876" t="s">
        <v>3342</v>
      </c>
      <c r="N876" t="s">
        <v>3416</v>
      </c>
      <c r="O876" t="s">
        <v>3417</v>
      </c>
      <c r="P876">
        <v>41315606</v>
      </c>
    </row>
    <row r="877" spans="1:16">
      <c r="A877" t="s">
        <v>49</v>
      </c>
      <c r="B877">
        <v>2</v>
      </c>
      <c r="E877" t="s">
        <v>3411</v>
      </c>
      <c r="F877" t="s">
        <v>3412</v>
      </c>
      <c r="G877" t="s">
        <v>3413</v>
      </c>
      <c r="I877" t="s">
        <v>3338</v>
      </c>
      <c r="J877" t="s">
        <v>2232</v>
      </c>
      <c r="K877" t="s">
        <v>2233</v>
      </c>
      <c r="L877" t="s">
        <v>3342</v>
      </c>
      <c r="N877" t="s">
        <v>3418</v>
      </c>
      <c r="O877" t="s">
        <v>3419</v>
      </c>
      <c r="P877">
        <v>41315606</v>
      </c>
    </row>
    <row r="878" spans="1:16">
      <c r="A878" t="s">
        <v>49</v>
      </c>
      <c r="B878">
        <v>2</v>
      </c>
      <c r="E878" t="s">
        <v>3411</v>
      </c>
      <c r="F878" t="s">
        <v>3412</v>
      </c>
      <c r="G878" t="s">
        <v>3413</v>
      </c>
      <c r="I878" t="s">
        <v>3338</v>
      </c>
      <c r="L878" t="s">
        <v>3342</v>
      </c>
      <c r="N878" t="s">
        <v>3420</v>
      </c>
      <c r="O878" t="s">
        <v>3421</v>
      </c>
      <c r="P878">
        <v>41315606</v>
      </c>
    </row>
    <row r="879" spans="1:16">
      <c r="A879" t="s">
        <v>49</v>
      </c>
      <c r="B879">
        <v>2</v>
      </c>
      <c r="E879" t="s">
        <v>3411</v>
      </c>
      <c r="F879" t="s">
        <v>3412</v>
      </c>
      <c r="G879" t="s">
        <v>3413</v>
      </c>
      <c r="I879" t="s">
        <v>3338</v>
      </c>
      <c r="J879" t="s">
        <v>2232</v>
      </c>
      <c r="K879" t="s">
        <v>2233</v>
      </c>
      <c r="L879" t="s">
        <v>3342</v>
      </c>
      <c r="N879" t="s">
        <v>3422</v>
      </c>
      <c r="O879" t="s">
        <v>3423</v>
      </c>
      <c r="P879">
        <v>41315606</v>
      </c>
    </row>
    <row r="880" spans="1:16">
      <c r="A880" t="s">
        <v>49</v>
      </c>
      <c r="B880">
        <v>0</v>
      </c>
      <c r="G880" t="s">
        <v>3338</v>
      </c>
      <c r="I880" t="s">
        <v>3338</v>
      </c>
      <c r="N880" t="s">
        <v>3424</v>
      </c>
      <c r="O880" t="s">
        <v>3425</v>
      </c>
      <c r="P880">
        <v>41315606</v>
      </c>
    </row>
    <row r="881" spans="1:16">
      <c r="A881" t="s">
        <v>49</v>
      </c>
      <c r="B881">
        <v>1</v>
      </c>
      <c r="E881" t="s">
        <v>3424</v>
      </c>
      <c r="F881" t="s">
        <v>3425</v>
      </c>
      <c r="G881" t="s">
        <v>3426</v>
      </c>
      <c r="I881" t="s">
        <v>3338</v>
      </c>
      <c r="J881" t="s">
        <v>2421</v>
      </c>
      <c r="K881" t="s">
        <v>3354</v>
      </c>
      <c r="L881" t="s">
        <v>3369</v>
      </c>
      <c r="N881" t="s">
        <v>3427</v>
      </c>
      <c r="O881" t="s">
        <v>3428</v>
      </c>
      <c r="P881">
        <v>41315606</v>
      </c>
    </row>
    <row r="882" spans="1:16">
      <c r="A882" t="s">
        <v>49</v>
      </c>
      <c r="B882">
        <v>1</v>
      </c>
      <c r="E882" t="s">
        <v>3424</v>
      </c>
      <c r="F882" t="s">
        <v>3425</v>
      </c>
      <c r="G882" t="s">
        <v>3426</v>
      </c>
      <c r="I882" t="s">
        <v>3338</v>
      </c>
      <c r="J882" t="s">
        <v>2421</v>
      </c>
      <c r="K882" t="s">
        <v>3354</v>
      </c>
      <c r="L882" t="s">
        <v>3369</v>
      </c>
      <c r="N882" t="s">
        <v>3429</v>
      </c>
      <c r="O882" t="s">
        <v>3430</v>
      </c>
      <c r="P882">
        <v>41315606</v>
      </c>
    </row>
    <row r="883" spans="1:16">
      <c r="A883" t="s">
        <v>49</v>
      </c>
      <c r="B883">
        <v>1</v>
      </c>
      <c r="E883" t="s">
        <v>3424</v>
      </c>
      <c r="F883" t="s">
        <v>3425</v>
      </c>
      <c r="G883" t="s">
        <v>3426</v>
      </c>
      <c r="I883" t="s">
        <v>3338</v>
      </c>
      <c r="J883" t="s">
        <v>2232</v>
      </c>
      <c r="K883" t="s">
        <v>2233</v>
      </c>
      <c r="L883" t="s">
        <v>3342</v>
      </c>
      <c r="N883" t="s">
        <v>3431</v>
      </c>
      <c r="O883" t="s">
        <v>3432</v>
      </c>
      <c r="P883">
        <v>41315606</v>
      </c>
    </row>
    <row r="884" spans="1:16">
      <c r="A884" t="s">
        <v>49</v>
      </c>
      <c r="B884">
        <v>0</v>
      </c>
      <c r="G884" t="s">
        <v>3338</v>
      </c>
      <c r="I884" t="s">
        <v>3338</v>
      </c>
      <c r="N884" t="s">
        <v>3433</v>
      </c>
      <c r="O884" t="s">
        <v>3434</v>
      </c>
      <c r="P884">
        <v>41315606</v>
      </c>
    </row>
    <row r="885" spans="1:16">
      <c r="A885" t="s">
        <v>49</v>
      </c>
      <c r="B885">
        <v>1</v>
      </c>
      <c r="E885" t="s">
        <v>3433</v>
      </c>
      <c r="F885" t="s">
        <v>3434</v>
      </c>
      <c r="G885" t="s">
        <v>3435</v>
      </c>
      <c r="I885" t="s">
        <v>3338</v>
      </c>
      <c r="J885" t="s">
        <v>2232</v>
      </c>
      <c r="K885" t="s">
        <v>2233</v>
      </c>
      <c r="L885" t="s">
        <v>3342</v>
      </c>
      <c r="N885" t="s">
        <v>3436</v>
      </c>
      <c r="O885" t="s">
        <v>3437</v>
      </c>
      <c r="P885">
        <v>41315606</v>
      </c>
    </row>
    <row r="886" spans="1:16">
      <c r="A886" t="s">
        <v>49</v>
      </c>
      <c r="B886">
        <v>1</v>
      </c>
      <c r="E886" t="s">
        <v>3433</v>
      </c>
      <c r="F886" t="s">
        <v>3434</v>
      </c>
      <c r="G886" t="s">
        <v>3435</v>
      </c>
      <c r="I886" t="s">
        <v>3338</v>
      </c>
      <c r="J886" t="s">
        <v>2232</v>
      </c>
      <c r="K886" t="s">
        <v>2233</v>
      </c>
      <c r="L886" t="s">
        <v>3342</v>
      </c>
      <c r="N886" t="s">
        <v>3438</v>
      </c>
      <c r="O886" t="s">
        <v>3439</v>
      </c>
      <c r="P886">
        <v>41315606</v>
      </c>
    </row>
    <row r="887" spans="1:16">
      <c r="A887" t="s">
        <v>49</v>
      </c>
      <c r="B887">
        <v>1</v>
      </c>
      <c r="E887" t="s">
        <v>3433</v>
      </c>
      <c r="F887" t="s">
        <v>3434</v>
      </c>
      <c r="G887" t="s">
        <v>3435</v>
      </c>
      <c r="I887" t="s">
        <v>3338</v>
      </c>
      <c r="J887" t="s">
        <v>2232</v>
      </c>
      <c r="K887" t="s">
        <v>2233</v>
      </c>
      <c r="L887" t="s">
        <v>3342</v>
      </c>
      <c r="N887" t="s">
        <v>3440</v>
      </c>
      <c r="O887" t="s">
        <v>3441</v>
      </c>
      <c r="P887">
        <v>41315606</v>
      </c>
    </row>
    <row r="888" spans="1:16">
      <c r="A888" t="s">
        <v>49</v>
      </c>
      <c r="B888">
        <v>1</v>
      </c>
      <c r="E888" t="s">
        <v>3433</v>
      </c>
      <c r="F888" t="s">
        <v>3434</v>
      </c>
      <c r="G888" t="s">
        <v>3435</v>
      </c>
      <c r="I888" t="s">
        <v>3338</v>
      </c>
      <c r="J888" t="s">
        <v>2232</v>
      </c>
      <c r="K888" t="s">
        <v>2233</v>
      </c>
      <c r="L888" t="s">
        <v>3342</v>
      </c>
      <c r="N888" t="s">
        <v>3442</v>
      </c>
      <c r="O888" t="s">
        <v>3443</v>
      </c>
      <c r="P888">
        <v>41315606</v>
      </c>
    </row>
    <row r="889" spans="1:16">
      <c r="A889" t="s">
        <v>49</v>
      </c>
      <c r="B889">
        <v>1</v>
      </c>
      <c r="E889" t="s">
        <v>3433</v>
      </c>
      <c r="F889" t="s">
        <v>3434</v>
      </c>
      <c r="G889" t="s">
        <v>3435</v>
      </c>
      <c r="I889" t="s">
        <v>3338</v>
      </c>
      <c r="J889" t="s">
        <v>2232</v>
      </c>
      <c r="K889" t="s">
        <v>2233</v>
      </c>
      <c r="L889" t="s">
        <v>3342</v>
      </c>
      <c r="N889" t="s">
        <v>3444</v>
      </c>
      <c r="O889" t="s">
        <v>3445</v>
      </c>
      <c r="P889">
        <v>41315606</v>
      </c>
    </row>
    <row r="890" spans="1:16">
      <c r="A890" t="s">
        <v>49</v>
      </c>
      <c r="B890">
        <v>1</v>
      </c>
      <c r="E890" t="s">
        <v>3433</v>
      </c>
      <c r="F890" t="s">
        <v>3434</v>
      </c>
      <c r="G890" t="s">
        <v>3435</v>
      </c>
      <c r="I890" t="s">
        <v>3338</v>
      </c>
      <c r="J890" t="s">
        <v>2232</v>
      </c>
      <c r="K890" t="s">
        <v>2233</v>
      </c>
      <c r="L890" t="s">
        <v>3342</v>
      </c>
      <c r="N890" t="s">
        <v>3446</v>
      </c>
      <c r="O890" t="s">
        <v>3447</v>
      </c>
      <c r="P890">
        <v>41315606</v>
      </c>
    </row>
    <row r="891" spans="1:16">
      <c r="A891" t="s">
        <v>49</v>
      </c>
      <c r="B891">
        <v>0</v>
      </c>
      <c r="G891" t="s">
        <v>3338</v>
      </c>
      <c r="I891" t="s">
        <v>3338</v>
      </c>
      <c r="N891" t="s">
        <v>3448</v>
      </c>
      <c r="O891" t="s">
        <v>3449</v>
      </c>
      <c r="P891">
        <v>41315606</v>
      </c>
    </row>
    <row r="892" spans="1:16">
      <c r="A892" t="s">
        <v>49</v>
      </c>
      <c r="B892">
        <v>1</v>
      </c>
      <c r="E892" t="s">
        <v>3448</v>
      </c>
      <c r="F892" t="s">
        <v>3449</v>
      </c>
      <c r="G892" t="s">
        <v>3450</v>
      </c>
      <c r="I892" t="s">
        <v>3338</v>
      </c>
      <c r="J892" t="s">
        <v>2421</v>
      </c>
      <c r="K892" t="s">
        <v>3354</v>
      </c>
      <c r="L892" t="s">
        <v>3451</v>
      </c>
      <c r="N892" t="s">
        <v>3452</v>
      </c>
      <c r="O892" t="s">
        <v>3453</v>
      </c>
      <c r="P892">
        <v>41315606</v>
      </c>
    </row>
    <row r="893" spans="1:16">
      <c r="A893" t="s">
        <v>51</v>
      </c>
      <c r="B893">
        <v>0</v>
      </c>
      <c r="G893" t="s">
        <v>3338</v>
      </c>
      <c r="I893" t="s">
        <v>3338</v>
      </c>
      <c r="N893" t="s">
        <v>3339</v>
      </c>
      <c r="O893" t="s">
        <v>3340</v>
      </c>
      <c r="P893">
        <v>41313544</v>
      </c>
    </row>
    <row r="894" spans="1:16">
      <c r="A894" t="s">
        <v>51</v>
      </c>
      <c r="B894">
        <v>1</v>
      </c>
      <c r="E894" t="s">
        <v>3339</v>
      </c>
      <c r="F894" t="s">
        <v>3340</v>
      </c>
      <c r="G894" t="s">
        <v>3341</v>
      </c>
      <c r="I894" t="s">
        <v>3338</v>
      </c>
      <c r="J894" t="s">
        <v>2232</v>
      </c>
      <c r="K894" t="s">
        <v>2233</v>
      </c>
      <c r="L894" t="s">
        <v>3342</v>
      </c>
      <c r="N894" t="s">
        <v>3343</v>
      </c>
      <c r="O894" t="s">
        <v>3344</v>
      </c>
      <c r="P894">
        <v>41313544</v>
      </c>
    </row>
    <row r="895" spans="1:16">
      <c r="A895" t="s">
        <v>51</v>
      </c>
      <c r="B895">
        <v>1</v>
      </c>
      <c r="E895" t="s">
        <v>3339</v>
      </c>
      <c r="F895" t="s">
        <v>3340</v>
      </c>
      <c r="G895" t="s">
        <v>3341</v>
      </c>
      <c r="I895" t="s">
        <v>3338</v>
      </c>
      <c r="J895" t="s">
        <v>2232</v>
      </c>
      <c r="K895" t="s">
        <v>2233</v>
      </c>
      <c r="L895" t="s">
        <v>3342</v>
      </c>
      <c r="N895" t="s">
        <v>3345</v>
      </c>
      <c r="O895" t="s">
        <v>3346</v>
      </c>
      <c r="P895">
        <v>41313544</v>
      </c>
    </row>
    <row r="896" spans="1:16">
      <c r="A896" t="s">
        <v>51</v>
      </c>
      <c r="B896">
        <v>0</v>
      </c>
      <c r="G896" t="s">
        <v>3338</v>
      </c>
      <c r="I896" t="s">
        <v>3338</v>
      </c>
      <c r="N896" t="s">
        <v>3347</v>
      </c>
      <c r="O896" t="s">
        <v>3344</v>
      </c>
      <c r="P896">
        <v>41313544</v>
      </c>
    </row>
    <row r="897" spans="1:16">
      <c r="A897" t="s">
        <v>51</v>
      </c>
      <c r="B897">
        <v>1</v>
      </c>
      <c r="E897" t="s">
        <v>3347</v>
      </c>
      <c r="F897" t="s">
        <v>3344</v>
      </c>
      <c r="G897" t="s">
        <v>3348</v>
      </c>
      <c r="I897" t="s">
        <v>3338</v>
      </c>
      <c r="J897" t="s">
        <v>2232</v>
      </c>
      <c r="K897" t="s">
        <v>2233</v>
      </c>
      <c r="L897" t="s">
        <v>3342</v>
      </c>
      <c r="N897" t="s">
        <v>3349</v>
      </c>
      <c r="O897" t="s">
        <v>3350</v>
      </c>
      <c r="P897">
        <v>41313544</v>
      </c>
    </row>
    <row r="898" spans="1:16">
      <c r="A898" t="s">
        <v>51</v>
      </c>
      <c r="B898">
        <v>1</v>
      </c>
      <c r="E898" t="s">
        <v>3347</v>
      </c>
      <c r="F898" t="s">
        <v>3344</v>
      </c>
      <c r="G898" t="s">
        <v>3348</v>
      </c>
      <c r="I898" t="s">
        <v>3338</v>
      </c>
      <c r="L898" t="s">
        <v>193</v>
      </c>
      <c r="N898" t="s">
        <v>3351</v>
      </c>
      <c r="O898" t="s">
        <v>3352</v>
      </c>
      <c r="P898">
        <v>41313544</v>
      </c>
    </row>
    <row r="899" spans="1:16">
      <c r="A899" t="s">
        <v>51</v>
      </c>
      <c r="B899">
        <v>2</v>
      </c>
      <c r="E899" t="s">
        <v>3351</v>
      </c>
      <c r="F899" t="s">
        <v>3352</v>
      </c>
      <c r="G899" t="s">
        <v>3353</v>
      </c>
      <c r="I899" t="s">
        <v>3338</v>
      </c>
      <c r="J899" t="s">
        <v>2421</v>
      </c>
      <c r="K899" t="s">
        <v>3354</v>
      </c>
      <c r="L899" t="s">
        <v>3355</v>
      </c>
      <c r="N899" t="s">
        <v>3356</v>
      </c>
      <c r="O899" t="s">
        <v>3357</v>
      </c>
      <c r="P899">
        <v>41313544</v>
      </c>
    </row>
    <row r="900" spans="1:16">
      <c r="A900" t="s">
        <v>51</v>
      </c>
      <c r="B900">
        <v>2</v>
      </c>
      <c r="E900" t="s">
        <v>3351</v>
      </c>
      <c r="F900" t="s">
        <v>3352</v>
      </c>
      <c r="G900" t="s">
        <v>3353</v>
      </c>
      <c r="I900" t="s">
        <v>3338</v>
      </c>
      <c r="J900" t="s">
        <v>2421</v>
      </c>
      <c r="K900" t="s">
        <v>3354</v>
      </c>
      <c r="L900" t="s">
        <v>3355</v>
      </c>
      <c r="N900" t="s">
        <v>3358</v>
      </c>
      <c r="O900" t="s">
        <v>3359</v>
      </c>
      <c r="P900">
        <v>41313544</v>
      </c>
    </row>
    <row r="901" spans="1:16">
      <c r="A901" t="s">
        <v>51</v>
      </c>
      <c r="B901">
        <v>2</v>
      </c>
      <c r="E901" t="s">
        <v>3351</v>
      </c>
      <c r="F901" t="s">
        <v>3352</v>
      </c>
      <c r="G901" t="s">
        <v>3353</v>
      </c>
      <c r="I901" t="s">
        <v>3338</v>
      </c>
      <c r="J901" t="s">
        <v>2421</v>
      </c>
      <c r="K901" t="s">
        <v>3354</v>
      </c>
      <c r="L901" t="s">
        <v>3355</v>
      </c>
      <c r="N901" t="s">
        <v>3360</v>
      </c>
      <c r="O901" t="s">
        <v>3361</v>
      </c>
      <c r="P901">
        <v>41313544</v>
      </c>
    </row>
    <row r="902" spans="1:16">
      <c r="A902" t="s">
        <v>51</v>
      </c>
      <c r="B902">
        <v>1</v>
      </c>
      <c r="E902" t="s">
        <v>3347</v>
      </c>
      <c r="F902" t="s">
        <v>3344</v>
      </c>
      <c r="G902" t="s">
        <v>3348</v>
      </c>
      <c r="I902" t="s">
        <v>3338</v>
      </c>
      <c r="J902" t="s">
        <v>2236</v>
      </c>
      <c r="K902" t="s">
        <v>3362</v>
      </c>
      <c r="L902" t="s">
        <v>3363</v>
      </c>
      <c r="N902" t="s">
        <v>3364</v>
      </c>
      <c r="O902" t="s">
        <v>3365</v>
      </c>
      <c r="P902">
        <v>41313544</v>
      </c>
    </row>
    <row r="903" spans="1:16">
      <c r="A903" t="s">
        <v>51</v>
      </c>
      <c r="B903">
        <v>1</v>
      </c>
      <c r="E903" t="s">
        <v>3347</v>
      </c>
      <c r="F903" t="s">
        <v>3344</v>
      </c>
      <c r="G903" t="s">
        <v>3348</v>
      </c>
      <c r="I903" t="s">
        <v>3338</v>
      </c>
      <c r="L903" t="s">
        <v>193</v>
      </c>
      <c r="N903" t="s">
        <v>3366</v>
      </c>
      <c r="O903" t="s">
        <v>3367</v>
      </c>
      <c r="P903">
        <v>41313544</v>
      </c>
    </row>
    <row r="904" spans="1:16">
      <c r="A904" t="s">
        <v>51</v>
      </c>
      <c r="B904">
        <v>2</v>
      </c>
      <c r="E904" t="s">
        <v>3366</v>
      </c>
      <c r="F904" t="s">
        <v>3367</v>
      </c>
      <c r="G904" t="s">
        <v>3368</v>
      </c>
      <c r="I904" t="s">
        <v>3338</v>
      </c>
      <c r="J904" t="s">
        <v>2421</v>
      </c>
      <c r="K904" t="s">
        <v>3354</v>
      </c>
      <c r="L904" t="s">
        <v>3369</v>
      </c>
      <c r="N904" t="s">
        <v>3370</v>
      </c>
      <c r="O904" t="s">
        <v>3359</v>
      </c>
      <c r="P904">
        <v>41313544</v>
      </c>
    </row>
    <row r="905" spans="1:16">
      <c r="A905" t="s">
        <v>51</v>
      </c>
      <c r="B905">
        <v>2</v>
      </c>
      <c r="E905" t="s">
        <v>3366</v>
      </c>
      <c r="F905" t="s">
        <v>3367</v>
      </c>
      <c r="G905" t="s">
        <v>3368</v>
      </c>
      <c r="I905" t="s">
        <v>3338</v>
      </c>
      <c r="J905" t="s">
        <v>2421</v>
      </c>
      <c r="K905" t="s">
        <v>3354</v>
      </c>
      <c r="L905" t="s">
        <v>3369</v>
      </c>
      <c r="N905" t="s">
        <v>3371</v>
      </c>
      <c r="O905" t="s">
        <v>3372</v>
      </c>
      <c r="P905">
        <v>41313544</v>
      </c>
    </row>
    <row r="906" spans="1:16">
      <c r="A906" t="s">
        <v>51</v>
      </c>
      <c r="B906">
        <v>2</v>
      </c>
      <c r="E906" t="s">
        <v>3366</v>
      </c>
      <c r="F906" t="s">
        <v>3367</v>
      </c>
      <c r="G906" t="s">
        <v>3368</v>
      </c>
      <c r="I906" t="s">
        <v>3338</v>
      </c>
      <c r="J906" t="s">
        <v>2421</v>
      </c>
      <c r="K906" t="s">
        <v>3354</v>
      </c>
      <c r="L906" t="s">
        <v>3369</v>
      </c>
      <c r="N906" t="s">
        <v>3373</v>
      </c>
      <c r="O906" t="s">
        <v>3374</v>
      </c>
      <c r="P906">
        <v>41313544</v>
      </c>
    </row>
    <row r="907" spans="1:16">
      <c r="A907" t="s">
        <v>51</v>
      </c>
      <c r="B907">
        <v>2</v>
      </c>
      <c r="E907" t="s">
        <v>3366</v>
      </c>
      <c r="F907" t="s">
        <v>3367</v>
      </c>
      <c r="G907" t="s">
        <v>3368</v>
      </c>
      <c r="I907" t="s">
        <v>3338</v>
      </c>
      <c r="J907" t="s">
        <v>2236</v>
      </c>
      <c r="K907" t="s">
        <v>3362</v>
      </c>
      <c r="L907" t="s">
        <v>3363</v>
      </c>
      <c r="N907" t="s">
        <v>3375</v>
      </c>
      <c r="O907" t="s">
        <v>3376</v>
      </c>
      <c r="P907">
        <v>41313544</v>
      </c>
    </row>
    <row r="908" spans="1:16">
      <c r="A908" t="s">
        <v>51</v>
      </c>
      <c r="B908">
        <v>0</v>
      </c>
      <c r="G908" t="s">
        <v>3338</v>
      </c>
      <c r="I908" t="s">
        <v>3338</v>
      </c>
      <c r="N908" t="s">
        <v>3377</v>
      </c>
      <c r="O908" t="s">
        <v>3346</v>
      </c>
      <c r="P908">
        <v>41313544</v>
      </c>
    </row>
    <row r="909" spans="1:16">
      <c r="A909" t="s">
        <v>51</v>
      </c>
      <c r="B909">
        <v>1</v>
      </c>
      <c r="E909" t="s">
        <v>3377</v>
      </c>
      <c r="F909" t="s">
        <v>3346</v>
      </c>
      <c r="G909" t="s">
        <v>3378</v>
      </c>
      <c r="I909" t="s">
        <v>3338</v>
      </c>
      <c r="L909" t="s">
        <v>193</v>
      </c>
      <c r="N909" t="s">
        <v>3379</v>
      </c>
      <c r="O909" t="s">
        <v>3380</v>
      </c>
      <c r="P909">
        <v>41313544</v>
      </c>
    </row>
    <row r="910" spans="1:16">
      <c r="A910" t="s">
        <v>51</v>
      </c>
      <c r="B910">
        <v>2</v>
      </c>
      <c r="E910" t="s">
        <v>3379</v>
      </c>
      <c r="F910" t="s">
        <v>3380</v>
      </c>
      <c r="G910" t="s">
        <v>3381</v>
      </c>
      <c r="I910" t="s">
        <v>3338</v>
      </c>
      <c r="J910" t="s">
        <v>2421</v>
      </c>
      <c r="K910" t="s">
        <v>3354</v>
      </c>
      <c r="L910" t="s">
        <v>3369</v>
      </c>
      <c r="N910" t="s">
        <v>3382</v>
      </c>
      <c r="O910" t="s">
        <v>3352</v>
      </c>
      <c r="P910">
        <v>41313544</v>
      </c>
    </row>
    <row r="911" spans="1:16">
      <c r="A911" t="s">
        <v>51</v>
      </c>
      <c r="B911">
        <v>2</v>
      </c>
      <c r="E911" t="s">
        <v>3379</v>
      </c>
      <c r="F911" t="s">
        <v>3380</v>
      </c>
      <c r="G911" t="s">
        <v>3381</v>
      </c>
      <c r="I911" t="s">
        <v>3338</v>
      </c>
      <c r="L911" t="s">
        <v>3383</v>
      </c>
      <c r="N911" t="s">
        <v>3384</v>
      </c>
      <c r="O911" t="s">
        <v>3385</v>
      </c>
      <c r="P911">
        <v>41313544</v>
      </c>
    </row>
    <row r="912" spans="1:16">
      <c r="A912" t="s">
        <v>51</v>
      </c>
      <c r="B912">
        <v>2</v>
      </c>
      <c r="E912" t="s">
        <v>3379</v>
      </c>
      <c r="F912" t="s">
        <v>3380</v>
      </c>
      <c r="G912" t="s">
        <v>3381</v>
      </c>
      <c r="I912" t="s">
        <v>3338</v>
      </c>
      <c r="J912" t="s">
        <v>2232</v>
      </c>
      <c r="K912" t="s">
        <v>2233</v>
      </c>
      <c r="L912" t="s">
        <v>3342</v>
      </c>
      <c r="N912" t="s">
        <v>3386</v>
      </c>
      <c r="O912" t="s">
        <v>3350</v>
      </c>
      <c r="P912">
        <v>41313544</v>
      </c>
    </row>
    <row r="913" spans="1:16">
      <c r="A913" t="s">
        <v>51</v>
      </c>
      <c r="B913">
        <v>0</v>
      </c>
      <c r="G913" t="s">
        <v>3338</v>
      </c>
      <c r="I913" t="s">
        <v>3338</v>
      </c>
      <c r="N913" t="s">
        <v>3395</v>
      </c>
      <c r="O913" t="s">
        <v>3396</v>
      </c>
      <c r="P913">
        <v>41313544</v>
      </c>
    </row>
    <row r="914" spans="1:16">
      <c r="A914" t="s">
        <v>51</v>
      </c>
      <c r="B914">
        <v>1</v>
      </c>
      <c r="E914" t="s">
        <v>3395</v>
      </c>
      <c r="F914" t="s">
        <v>3396</v>
      </c>
      <c r="G914" t="s">
        <v>3397</v>
      </c>
      <c r="I914" t="s">
        <v>3338</v>
      </c>
      <c r="L914" t="s">
        <v>3342</v>
      </c>
      <c r="N914" t="s">
        <v>3398</v>
      </c>
      <c r="O914" t="s">
        <v>3399</v>
      </c>
      <c r="P914">
        <v>41313544</v>
      </c>
    </row>
    <row r="915" spans="1:16">
      <c r="A915" t="s">
        <v>51</v>
      </c>
      <c r="B915">
        <v>1</v>
      </c>
      <c r="E915" t="s">
        <v>3395</v>
      </c>
      <c r="F915" t="s">
        <v>3396</v>
      </c>
      <c r="G915" t="s">
        <v>3397</v>
      </c>
      <c r="I915" t="s">
        <v>3338</v>
      </c>
      <c r="J915" t="s">
        <v>2232</v>
      </c>
      <c r="K915" t="s">
        <v>2233</v>
      </c>
      <c r="L915" t="s">
        <v>3342</v>
      </c>
      <c r="N915" t="s">
        <v>3400</v>
      </c>
      <c r="O915" t="s">
        <v>3401</v>
      </c>
      <c r="P915">
        <v>41313544</v>
      </c>
    </row>
    <row r="916" spans="1:16">
      <c r="A916" t="s">
        <v>51</v>
      </c>
      <c r="B916">
        <v>1</v>
      </c>
      <c r="E916" t="s">
        <v>3395</v>
      </c>
      <c r="F916" t="s">
        <v>3396</v>
      </c>
      <c r="G916" t="s">
        <v>3397</v>
      </c>
      <c r="I916" t="s">
        <v>3338</v>
      </c>
      <c r="L916" t="s">
        <v>3342</v>
      </c>
      <c r="N916" t="s">
        <v>3402</v>
      </c>
      <c r="O916" t="s">
        <v>3403</v>
      </c>
      <c r="P916">
        <v>41313544</v>
      </c>
    </row>
    <row r="917" spans="1:16">
      <c r="A917" t="s">
        <v>51</v>
      </c>
      <c r="B917">
        <v>1</v>
      </c>
      <c r="E917" t="s">
        <v>3395</v>
      </c>
      <c r="F917" t="s">
        <v>3396</v>
      </c>
      <c r="G917" t="s">
        <v>3397</v>
      </c>
      <c r="I917" t="s">
        <v>3338</v>
      </c>
      <c r="L917" t="s">
        <v>3342</v>
      </c>
      <c r="N917" t="s">
        <v>3404</v>
      </c>
      <c r="O917" t="s">
        <v>3405</v>
      </c>
      <c r="P917">
        <v>41313544</v>
      </c>
    </row>
    <row r="918" spans="1:16">
      <c r="A918" t="s">
        <v>51</v>
      </c>
      <c r="B918">
        <v>0</v>
      </c>
      <c r="G918" t="s">
        <v>3338</v>
      </c>
      <c r="I918" t="s">
        <v>3338</v>
      </c>
      <c r="N918" t="s">
        <v>3406</v>
      </c>
      <c r="O918" t="s">
        <v>3407</v>
      </c>
      <c r="P918">
        <v>41313544</v>
      </c>
    </row>
    <row r="919" spans="1:16">
      <c r="A919" t="s">
        <v>51</v>
      </c>
      <c r="B919">
        <v>1</v>
      </c>
      <c r="E919" t="s">
        <v>3406</v>
      </c>
      <c r="F919" t="s">
        <v>3407</v>
      </c>
      <c r="G919" t="s">
        <v>3408</v>
      </c>
      <c r="I919" t="s">
        <v>3338</v>
      </c>
      <c r="J919" t="s">
        <v>2421</v>
      </c>
      <c r="K919" t="s">
        <v>3354</v>
      </c>
      <c r="L919" t="s">
        <v>3369</v>
      </c>
      <c r="N919" t="s">
        <v>3409</v>
      </c>
      <c r="O919" t="s">
        <v>3410</v>
      </c>
      <c r="P919">
        <v>41313544</v>
      </c>
    </row>
    <row r="920" spans="1:16">
      <c r="A920" t="s">
        <v>51</v>
      </c>
      <c r="B920">
        <v>1</v>
      </c>
      <c r="E920" t="s">
        <v>3406</v>
      </c>
      <c r="F920" t="s">
        <v>3407</v>
      </c>
      <c r="G920" t="s">
        <v>3408</v>
      </c>
      <c r="I920" t="s">
        <v>3338</v>
      </c>
      <c r="L920" t="s">
        <v>193</v>
      </c>
      <c r="N920" t="s">
        <v>3411</v>
      </c>
      <c r="O920" t="s">
        <v>3412</v>
      </c>
      <c r="P920">
        <v>41313544</v>
      </c>
    </row>
    <row r="921" spans="1:16">
      <c r="A921" t="s">
        <v>51</v>
      </c>
      <c r="B921">
        <v>2</v>
      </c>
      <c r="E921" t="s">
        <v>3411</v>
      </c>
      <c r="F921" t="s">
        <v>3412</v>
      </c>
      <c r="G921" t="s">
        <v>3413</v>
      </c>
      <c r="I921" t="s">
        <v>3338</v>
      </c>
      <c r="L921" t="s">
        <v>3342</v>
      </c>
      <c r="N921" t="s">
        <v>3414</v>
      </c>
      <c r="O921" t="s">
        <v>3415</v>
      </c>
      <c r="P921">
        <v>41313544</v>
      </c>
    </row>
    <row r="922" spans="1:16">
      <c r="A922" t="s">
        <v>51</v>
      </c>
      <c r="B922">
        <v>2</v>
      </c>
      <c r="E922" t="s">
        <v>3411</v>
      </c>
      <c r="F922" t="s">
        <v>3412</v>
      </c>
      <c r="G922" t="s">
        <v>3413</v>
      </c>
      <c r="I922" t="s">
        <v>3338</v>
      </c>
      <c r="J922" t="s">
        <v>2232</v>
      </c>
      <c r="K922" t="s">
        <v>2233</v>
      </c>
      <c r="L922" t="s">
        <v>3342</v>
      </c>
      <c r="N922" t="s">
        <v>3416</v>
      </c>
      <c r="O922" t="s">
        <v>3417</v>
      </c>
      <c r="P922">
        <v>41313544</v>
      </c>
    </row>
    <row r="923" spans="1:16">
      <c r="A923" t="s">
        <v>51</v>
      </c>
      <c r="B923">
        <v>2</v>
      </c>
      <c r="E923" t="s">
        <v>3411</v>
      </c>
      <c r="F923" t="s">
        <v>3412</v>
      </c>
      <c r="G923" t="s">
        <v>3413</v>
      </c>
      <c r="I923" t="s">
        <v>3338</v>
      </c>
      <c r="J923" t="s">
        <v>2232</v>
      </c>
      <c r="K923" t="s">
        <v>2233</v>
      </c>
      <c r="L923" t="s">
        <v>3342</v>
      </c>
      <c r="N923" t="s">
        <v>3418</v>
      </c>
      <c r="O923" t="s">
        <v>3419</v>
      </c>
      <c r="P923">
        <v>41313544</v>
      </c>
    </row>
    <row r="924" spans="1:16">
      <c r="A924" t="s">
        <v>51</v>
      </c>
      <c r="B924">
        <v>2</v>
      </c>
      <c r="E924" t="s">
        <v>3411</v>
      </c>
      <c r="F924" t="s">
        <v>3412</v>
      </c>
      <c r="G924" t="s">
        <v>3413</v>
      </c>
      <c r="I924" t="s">
        <v>3338</v>
      </c>
      <c r="L924" t="s">
        <v>3342</v>
      </c>
      <c r="N924" t="s">
        <v>3420</v>
      </c>
      <c r="O924" t="s">
        <v>3421</v>
      </c>
      <c r="P924">
        <v>41313544</v>
      </c>
    </row>
    <row r="925" spans="1:16">
      <c r="A925" t="s">
        <v>51</v>
      </c>
      <c r="B925">
        <v>2</v>
      </c>
      <c r="E925" t="s">
        <v>3411</v>
      </c>
      <c r="F925" t="s">
        <v>3412</v>
      </c>
      <c r="G925" t="s">
        <v>3413</v>
      </c>
      <c r="I925" t="s">
        <v>3338</v>
      </c>
      <c r="J925" t="s">
        <v>2232</v>
      </c>
      <c r="K925" t="s">
        <v>2233</v>
      </c>
      <c r="L925" t="s">
        <v>3342</v>
      </c>
      <c r="N925" t="s">
        <v>3422</v>
      </c>
      <c r="O925" t="s">
        <v>3423</v>
      </c>
      <c r="P925">
        <v>41313544</v>
      </c>
    </row>
    <row r="926" spans="1:16">
      <c r="A926" t="s">
        <v>51</v>
      </c>
      <c r="B926">
        <v>0</v>
      </c>
      <c r="G926" t="s">
        <v>3338</v>
      </c>
      <c r="I926" t="s">
        <v>3338</v>
      </c>
      <c r="N926" t="s">
        <v>3424</v>
      </c>
      <c r="O926" t="s">
        <v>3425</v>
      </c>
      <c r="P926">
        <v>41313544</v>
      </c>
    </row>
    <row r="927" spans="1:16">
      <c r="A927" t="s">
        <v>51</v>
      </c>
      <c r="B927">
        <v>1</v>
      </c>
      <c r="E927" t="s">
        <v>3424</v>
      </c>
      <c r="F927" t="s">
        <v>3425</v>
      </c>
      <c r="G927" t="s">
        <v>3426</v>
      </c>
      <c r="I927" t="s">
        <v>3338</v>
      </c>
      <c r="J927" t="s">
        <v>2421</v>
      </c>
      <c r="K927" t="s">
        <v>3354</v>
      </c>
      <c r="L927" t="s">
        <v>3369</v>
      </c>
      <c r="N927" t="s">
        <v>3427</v>
      </c>
      <c r="O927" t="s">
        <v>3428</v>
      </c>
      <c r="P927">
        <v>41313544</v>
      </c>
    </row>
    <row r="928" spans="1:16">
      <c r="A928" t="s">
        <v>51</v>
      </c>
      <c r="B928">
        <v>1</v>
      </c>
      <c r="E928" t="s">
        <v>3424</v>
      </c>
      <c r="F928" t="s">
        <v>3425</v>
      </c>
      <c r="G928" t="s">
        <v>3426</v>
      </c>
      <c r="I928" t="s">
        <v>3338</v>
      </c>
      <c r="J928" t="s">
        <v>2421</v>
      </c>
      <c r="K928" t="s">
        <v>3354</v>
      </c>
      <c r="L928" t="s">
        <v>3369</v>
      </c>
      <c r="N928" t="s">
        <v>3429</v>
      </c>
      <c r="O928" t="s">
        <v>3430</v>
      </c>
      <c r="P928">
        <v>41313544</v>
      </c>
    </row>
    <row r="929" spans="1:16">
      <c r="A929" t="s">
        <v>51</v>
      </c>
      <c r="B929">
        <v>1</v>
      </c>
      <c r="E929" t="s">
        <v>3424</v>
      </c>
      <c r="F929" t="s">
        <v>3425</v>
      </c>
      <c r="G929" t="s">
        <v>3426</v>
      </c>
      <c r="I929" t="s">
        <v>3338</v>
      </c>
      <c r="J929" t="s">
        <v>2232</v>
      </c>
      <c r="K929" t="s">
        <v>2233</v>
      </c>
      <c r="L929" t="s">
        <v>3342</v>
      </c>
      <c r="N929" t="s">
        <v>3431</v>
      </c>
      <c r="O929" t="s">
        <v>3432</v>
      </c>
      <c r="P929">
        <v>41313544</v>
      </c>
    </row>
    <row r="930" spans="1:16">
      <c r="A930" t="s">
        <v>51</v>
      </c>
      <c r="B930">
        <v>0</v>
      </c>
      <c r="G930" t="s">
        <v>3338</v>
      </c>
      <c r="I930" t="s">
        <v>3338</v>
      </c>
      <c r="N930" t="s">
        <v>3433</v>
      </c>
      <c r="O930" t="s">
        <v>3434</v>
      </c>
      <c r="P930">
        <v>41313544</v>
      </c>
    </row>
    <row r="931" spans="1:16">
      <c r="A931" t="s">
        <v>51</v>
      </c>
      <c r="B931">
        <v>1</v>
      </c>
      <c r="E931" t="s">
        <v>3433</v>
      </c>
      <c r="F931" t="s">
        <v>3434</v>
      </c>
      <c r="G931" t="s">
        <v>3435</v>
      </c>
      <c r="I931" t="s">
        <v>3338</v>
      </c>
      <c r="J931" t="s">
        <v>2232</v>
      </c>
      <c r="K931" t="s">
        <v>2233</v>
      </c>
      <c r="L931" t="s">
        <v>3342</v>
      </c>
      <c r="N931" t="s">
        <v>3436</v>
      </c>
      <c r="O931" t="s">
        <v>3437</v>
      </c>
      <c r="P931">
        <v>41313544</v>
      </c>
    </row>
    <row r="932" spans="1:16">
      <c r="A932" t="s">
        <v>51</v>
      </c>
      <c r="B932">
        <v>1</v>
      </c>
      <c r="E932" t="s">
        <v>3433</v>
      </c>
      <c r="F932" t="s">
        <v>3434</v>
      </c>
      <c r="G932" t="s">
        <v>3435</v>
      </c>
      <c r="I932" t="s">
        <v>3338</v>
      </c>
      <c r="J932" t="s">
        <v>2232</v>
      </c>
      <c r="K932" t="s">
        <v>2233</v>
      </c>
      <c r="L932" t="s">
        <v>3342</v>
      </c>
      <c r="N932" t="s">
        <v>3438</v>
      </c>
      <c r="O932" t="s">
        <v>3439</v>
      </c>
      <c r="P932">
        <v>41313544</v>
      </c>
    </row>
    <row r="933" spans="1:16">
      <c r="A933" t="s">
        <v>51</v>
      </c>
      <c r="B933">
        <v>1</v>
      </c>
      <c r="E933" t="s">
        <v>3433</v>
      </c>
      <c r="F933" t="s">
        <v>3434</v>
      </c>
      <c r="G933" t="s">
        <v>3435</v>
      </c>
      <c r="I933" t="s">
        <v>3338</v>
      </c>
      <c r="J933" t="s">
        <v>2232</v>
      </c>
      <c r="K933" t="s">
        <v>2233</v>
      </c>
      <c r="L933" t="s">
        <v>3342</v>
      </c>
      <c r="N933" t="s">
        <v>3440</v>
      </c>
      <c r="O933" t="s">
        <v>3441</v>
      </c>
      <c r="P933">
        <v>41313544</v>
      </c>
    </row>
    <row r="934" spans="1:16">
      <c r="A934" t="s">
        <v>51</v>
      </c>
      <c r="B934">
        <v>1</v>
      </c>
      <c r="E934" t="s">
        <v>3433</v>
      </c>
      <c r="F934" t="s">
        <v>3434</v>
      </c>
      <c r="G934" t="s">
        <v>3435</v>
      </c>
      <c r="I934" t="s">
        <v>3338</v>
      </c>
      <c r="J934" t="s">
        <v>2232</v>
      </c>
      <c r="K934" t="s">
        <v>2233</v>
      </c>
      <c r="L934" t="s">
        <v>3342</v>
      </c>
      <c r="N934" t="s">
        <v>3442</v>
      </c>
      <c r="O934" t="s">
        <v>3443</v>
      </c>
      <c r="P934">
        <v>41313544</v>
      </c>
    </row>
    <row r="935" spans="1:16">
      <c r="A935" t="s">
        <v>51</v>
      </c>
      <c r="B935">
        <v>1</v>
      </c>
      <c r="E935" t="s">
        <v>3433</v>
      </c>
      <c r="F935" t="s">
        <v>3434</v>
      </c>
      <c r="G935" t="s">
        <v>3435</v>
      </c>
      <c r="I935" t="s">
        <v>3338</v>
      </c>
      <c r="J935" t="s">
        <v>2232</v>
      </c>
      <c r="K935" t="s">
        <v>2233</v>
      </c>
      <c r="L935" t="s">
        <v>3342</v>
      </c>
      <c r="N935" t="s">
        <v>3444</v>
      </c>
      <c r="O935" t="s">
        <v>3445</v>
      </c>
      <c r="P935">
        <v>41313544</v>
      </c>
    </row>
    <row r="936" spans="1:16">
      <c r="A936" t="s">
        <v>51</v>
      </c>
      <c r="B936">
        <v>1</v>
      </c>
      <c r="E936" t="s">
        <v>3433</v>
      </c>
      <c r="F936" t="s">
        <v>3434</v>
      </c>
      <c r="G936" t="s">
        <v>3435</v>
      </c>
      <c r="I936" t="s">
        <v>3338</v>
      </c>
      <c r="J936" t="s">
        <v>2232</v>
      </c>
      <c r="K936" t="s">
        <v>2233</v>
      </c>
      <c r="L936" t="s">
        <v>3342</v>
      </c>
      <c r="N936" t="s">
        <v>3446</v>
      </c>
      <c r="O936" t="s">
        <v>3447</v>
      </c>
      <c r="P936">
        <v>41313544</v>
      </c>
    </row>
    <row r="937" spans="1:16">
      <c r="A937" t="s">
        <v>51</v>
      </c>
      <c r="B937">
        <v>0</v>
      </c>
      <c r="G937" t="s">
        <v>3338</v>
      </c>
      <c r="I937" t="s">
        <v>3338</v>
      </c>
      <c r="N937" t="s">
        <v>3448</v>
      </c>
      <c r="O937" t="s">
        <v>3449</v>
      </c>
      <c r="P937">
        <v>41313544</v>
      </c>
    </row>
    <row r="938" spans="1:16">
      <c r="A938" t="s">
        <v>51</v>
      </c>
      <c r="B938">
        <v>1</v>
      </c>
      <c r="E938" t="s">
        <v>3448</v>
      </c>
      <c r="F938" t="s">
        <v>3449</v>
      </c>
      <c r="G938" t="s">
        <v>3450</v>
      </c>
      <c r="I938" t="s">
        <v>3338</v>
      </c>
      <c r="J938" t="s">
        <v>2421</v>
      </c>
      <c r="K938" t="s">
        <v>3354</v>
      </c>
      <c r="L938" t="s">
        <v>3451</v>
      </c>
      <c r="N938" t="s">
        <v>3452</v>
      </c>
      <c r="O938" t="s">
        <v>3453</v>
      </c>
      <c r="P938">
        <v>41313544</v>
      </c>
    </row>
    <row r="939" spans="1:16">
      <c r="A939" t="s">
        <v>51</v>
      </c>
      <c r="B939">
        <v>0</v>
      </c>
      <c r="G939" t="s">
        <v>3456</v>
      </c>
      <c r="I939" t="s">
        <v>3456</v>
      </c>
      <c r="M939" t="s">
        <v>3460</v>
      </c>
      <c r="N939" t="s">
        <v>3479</v>
      </c>
      <c r="O939" t="s">
        <v>3480</v>
      </c>
      <c r="P939">
        <v>41313544</v>
      </c>
    </row>
    <row r="940" spans="1:16">
      <c r="A940" t="s">
        <v>51</v>
      </c>
      <c r="B940">
        <v>0</v>
      </c>
      <c r="G940" t="s">
        <v>3456</v>
      </c>
      <c r="I940" t="s">
        <v>3456</v>
      </c>
      <c r="M940" t="s">
        <v>3463</v>
      </c>
      <c r="N940" t="s">
        <v>3461</v>
      </c>
      <c r="O940" t="s">
        <v>3462</v>
      </c>
      <c r="P940">
        <v>41313544</v>
      </c>
    </row>
    <row r="941" spans="1:16">
      <c r="A941" t="s">
        <v>51</v>
      </c>
      <c r="B941">
        <v>0</v>
      </c>
      <c r="G941" t="s">
        <v>3456</v>
      </c>
      <c r="I941" t="s">
        <v>3456</v>
      </c>
      <c r="M941" t="s">
        <v>3463</v>
      </c>
      <c r="N941" t="s">
        <v>3481</v>
      </c>
      <c r="O941" t="s">
        <v>3482</v>
      </c>
      <c r="P941">
        <v>41313544</v>
      </c>
    </row>
    <row r="942" spans="1:16">
      <c r="A942" t="s">
        <v>51</v>
      </c>
      <c r="B942">
        <v>0</v>
      </c>
      <c r="G942" t="s">
        <v>3456</v>
      </c>
      <c r="I942" t="s">
        <v>3456</v>
      </c>
      <c r="M942" t="s">
        <v>3460</v>
      </c>
      <c r="N942" t="s">
        <v>3464</v>
      </c>
      <c r="O942" t="s">
        <v>3465</v>
      </c>
      <c r="P942">
        <v>41313544</v>
      </c>
    </row>
    <row r="943" spans="1:16">
      <c r="A943" t="s">
        <v>53</v>
      </c>
      <c r="B943">
        <v>0</v>
      </c>
      <c r="G943" t="s">
        <v>3338</v>
      </c>
      <c r="I943" t="s">
        <v>3338</v>
      </c>
      <c r="N943" t="s">
        <v>3339</v>
      </c>
      <c r="O943" t="s">
        <v>3340</v>
      </c>
      <c r="P943">
        <v>41135028</v>
      </c>
    </row>
    <row r="944" spans="1:16">
      <c r="A944" t="s">
        <v>53</v>
      </c>
      <c r="B944">
        <v>1</v>
      </c>
      <c r="E944" t="s">
        <v>3339</v>
      </c>
      <c r="F944" t="s">
        <v>3340</v>
      </c>
      <c r="G944" t="s">
        <v>3341</v>
      </c>
      <c r="I944" t="s">
        <v>3338</v>
      </c>
      <c r="J944" t="s">
        <v>2232</v>
      </c>
      <c r="K944" t="s">
        <v>2233</v>
      </c>
      <c r="L944" t="s">
        <v>3342</v>
      </c>
      <c r="N944" t="s">
        <v>3343</v>
      </c>
      <c r="O944" t="s">
        <v>3344</v>
      </c>
      <c r="P944">
        <v>41135028</v>
      </c>
    </row>
    <row r="945" spans="1:16">
      <c r="A945" t="s">
        <v>53</v>
      </c>
      <c r="B945">
        <v>1</v>
      </c>
      <c r="E945" t="s">
        <v>3339</v>
      </c>
      <c r="F945" t="s">
        <v>3340</v>
      </c>
      <c r="G945" t="s">
        <v>3341</v>
      </c>
      <c r="I945" t="s">
        <v>3338</v>
      </c>
      <c r="J945" t="s">
        <v>2232</v>
      </c>
      <c r="K945" t="s">
        <v>2233</v>
      </c>
      <c r="L945" t="s">
        <v>3342</v>
      </c>
      <c r="N945" t="s">
        <v>3345</v>
      </c>
      <c r="O945" t="s">
        <v>3346</v>
      </c>
      <c r="P945">
        <v>41135028</v>
      </c>
    </row>
    <row r="946" spans="1:16">
      <c r="A946" t="s">
        <v>53</v>
      </c>
      <c r="B946">
        <v>0</v>
      </c>
      <c r="G946" t="s">
        <v>3338</v>
      </c>
      <c r="I946" t="s">
        <v>3338</v>
      </c>
      <c r="N946" t="s">
        <v>3347</v>
      </c>
      <c r="O946" t="s">
        <v>3344</v>
      </c>
      <c r="P946">
        <v>41135028</v>
      </c>
    </row>
    <row r="947" spans="1:16">
      <c r="A947" t="s">
        <v>53</v>
      </c>
      <c r="B947">
        <v>1</v>
      </c>
      <c r="E947" t="s">
        <v>3347</v>
      </c>
      <c r="F947" t="s">
        <v>3344</v>
      </c>
      <c r="G947" t="s">
        <v>3348</v>
      </c>
      <c r="I947" t="s">
        <v>3338</v>
      </c>
      <c r="J947" t="s">
        <v>2232</v>
      </c>
      <c r="K947" t="s">
        <v>2233</v>
      </c>
      <c r="L947" t="s">
        <v>3342</v>
      </c>
      <c r="N947" t="s">
        <v>3349</v>
      </c>
      <c r="O947" t="s">
        <v>3350</v>
      </c>
      <c r="P947">
        <v>41135028</v>
      </c>
    </row>
    <row r="948" spans="1:16">
      <c r="A948" t="s">
        <v>53</v>
      </c>
      <c r="B948">
        <v>1</v>
      </c>
      <c r="E948" t="s">
        <v>3347</v>
      </c>
      <c r="F948" t="s">
        <v>3344</v>
      </c>
      <c r="G948" t="s">
        <v>3348</v>
      </c>
      <c r="I948" t="s">
        <v>3338</v>
      </c>
      <c r="L948" t="s">
        <v>193</v>
      </c>
      <c r="N948" t="s">
        <v>3351</v>
      </c>
      <c r="O948" t="s">
        <v>3352</v>
      </c>
      <c r="P948">
        <v>41135028</v>
      </c>
    </row>
    <row r="949" spans="1:16">
      <c r="A949" t="s">
        <v>53</v>
      </c>
      <c r="B949">
        <v>2</v>
      </c>
      <c r="E949" t="s">
        <v>3351</v>
      </c>
      <c r="F949" t="s">
        <v>3352</v>
      </c>
      <c r="G949" t="s">
        <v>3353</v>
      </c>
      <c r="I949" t="s">
        <v>3338</v>
      </c>
      <c r="J949" t="s">
        <v>2421</v>
      </c>
      <c r="K949" t="s">
        <v>3354</v>
      </c>
      <c r="L949" t="s">
        <v>3355</v>
      </c>
      <c r="N949" t="s">
        <v>3356</v>
      </c>
      <c r="O949" t="s">
        <v>3357</v>
      </c>
      <c r="P949">
        <v>41135028</v>
      </c>
    </row>
    <row r="950" spans="1:16">
      <c r="A950" t="s">
        <v>53</v>
      </c>
      <c r="B950">
        <v>2</v>
      </c>
      <c r="E950" t="s">
        <v>3351</v>
      </c>
      <c r="F950" t="s">
        <v>3352</v>
      </c>
      <c r="G950" t="s">
        <v>3353</v>
      </c>
      <c r="I950" t="s">
        <v>3338</v>
      </c>
      <c r="J950" t="s">
        <v>2421</v>
      </c>
      <c r="K950" t="s">
        <v>3354</v>
      </c>
      <c r="L950" t="s">
        <v>3355</v>
      </c>
      <c r="N950" t="s">
        <v>3358</v>
      </c>
      <c r="O950" t="s">
        <v>3359</v>
      </c>
      <c r="P950">
        <v>41135028</v>
      </c>
    </row>
    <row r="951" spans="1:16">
      <c r="A951" t="s">
        <v>53</v>
      </c>
      <c r="B951">
        <v>2</v>
      </c>
      <c r="E951" t="s">
        <v>3351</v>
      </c>
      <c r="F951" t="s">
        <v>3352</v>
      </c>
      <c r="G951" t="s">
        <v>3353</v>
      </c>
      <c r="I951" t="s">
        <v>3338</v>
      </c>
      <c r="J951" t="s">
        <v>2421</v>
      </c>
      <c r="K951" t="s">
        <v>3354</v>
      </c>
      <c r="L951" t="s">
        <v>3355</v>
      </c>
      <c r="N951" t="s">
        <v>3360</v>
      </c>
      <c r="O951" t="s">
        <v>3361</v>
      </c>
      <c r="P951">
        <v>41135028</v>
      </c>
    </row>
    <row r="952" spans="1:16">
      <c r="A952" t="s">
        <v>53</v>
      </c>
      <c r="B952">
        <v>1</v>
      </c>
      <c r="E952" t="s">
        <v>3347</v>
      </c>
      <c r="F952" t="s">
        <v>3344</v>
      </c>
      <c r="G952" t="s">
        <v>3348</v>
      </c>
      <c r="I952" t="s">
        <v>3338</v>
      </c>
      <c r="J952" t="s">
        <v>2236</v>
      </c>
      <c r="K952" t="s">
        <v>3362</v>
      </c>
      <c r="L952" t="s">
        <v>3363</v>
      </c>
      <c r="N952" t="s">
        <v>3364</v>
      </c>
      <c r="O952" t="s">
        <v>3365</v>
      </c>
      <c r="P952">
        <v>41135028</v>
      </c>
    </row>
    <row r="953" spans="1:16">
      <c r="A953" t="s">
        <v>53</v>
      </c>
      <c r="B953">
        <v>1</v>
      </c>
      <c r="E953" t="s">
        <v>3347</v>
      </c>
      <c r="F953" t="s">
        <v>3344</v>
      </c>
      <c r="G953" t="s">
        <v>3348</v>
      </c>
      <c r="I953" t="s">
        <v>3338</v>
      </c>
      <c r="L953" t="s">
        <v>193</v>
      </c>
      <c r="N953" t="s">
        <v>3366</v>
      </c>
      <c r="O953" t="s">
        <v>3367</v>
      </c>
      <c r="P953">
        <v>41135028</v>
      </c>
    </row>
    <row r="954" spans="1:16">
      <c r="A954" t="s">
        <v>53</v>
      </c>
      <c r="B954">
        <v>2</v>
      </c>
      <c r="E954" t="s">
        <v>3366</v>
      </c>
      <c r="F954" t="s">
        <v>3367</v>
      </c>
      <c r="G954" t="s">
        <v>3368</v>
      </c>
      <c r="I954" t="s">
        <v>3338</v>
      </c>
      <c r="J954" t="s">
        <v>2421</v>
      </c>
      <c r="K954" t="s">
        <v>3354</v>
      </c>
      <c r="L954" t="s">
        <v>3369</v>
      </c>
      <c r="N954" t="s">
        <v>3370</v>
      </c>
      <c r="O954" t="s">
        <v>3359</v>
      </c>
      <c r="P954">
        <v>41135028</v>
      </c>
    </row>
    <row r="955" spans="1:16">
      <c r="A955" t="s">
        <v>53</v>
      </c>
      <c r="B955">
        <v>2</v>
      </c>
      <c r="E955" t="s">
        <v>3366</v>
      </c>
      <c r="F955" t="s">
        <v>3367</v>
      </c>
      <c r="G955" t="s">
        <v>3368</v>
      </c>
      <c r="I955" t="s">
        <v>3338</v>
      </c>
      <c r="J955" t="s">
        <v>2421</v>
      </c>
      <c r="K955" t="s">
        <v>3354</v>
      </c>
      <c r="L955" t="s">
        <v>3369</v>
      </c>
      <c r="N955" t="s">
        <v>3371</v>
      </c>
      <c r="O955" t="s">
        <v>3372</v>
      </c>
      <c r="P955">
        <v>41135028</v>
      </c>
    </row>
    <row r="956" spans="1:16">
      <c r="A956" t="s">
        <v>53</v>
      </c>
      <c r="B956">
        <v>2</v>
      </c>
      <c r="E956" t="s">
        <v>3366</v>
      </c>
      <c r="F956" t="s">
        <v>3367</v>
      </c>
      <c r="G956" t="s">
        <v>3368</v>
      </c>
      <c r="I956" t="s">
        <v>3338</v>
      </c>
      <c r="J956" t="s">
        <v>2421</v>
      </c>
      <c r="K956" t="s">
        <v>3354</v>
      </c>
      <c r="L956" t="s">
        <v>3369</v>
      </c>
      <c r="N956" t="s">
        <v>3373</v>
      </c>
      <c r="O956" t="s">
        <v>3374</v>
      </c>
      <c r="P956">
        <v>41135028</v>
      </c>
    </row>
    <row r="957" spans="1:16">
      <c r="A957" t="s">
        <v>53</v>
      </c>
      <c r="B957">
        <v>2</v>
      </c>
      <c r="E957" t="s">
        <v>3366</v>
      </c>
      <c r="F957" t="s">
        <v>3367</v>
      </c>
      <c r="G957" t="s">
        <v>3368</v>
      </c>
      <c r="I957" t="s">
        <v>3338</v>
      </c>
      <c r="J957" t="s">
        <v>2236</v>
      </c>
      <c r="K957" t="s">
        <v>3362</v>
      </c>
      <c r="L957" t="s">
        <v>3363</v>
      </c>
      <c r="N957" t="s">
        <v>3375</v>
      </c>
      <c r="O957" t="s">
        <v>3376</v>
      </c>
      <c r="P957">
        <v>41135028</v>
      </c>
    </row>
    <row r="958" spans="1:16">
      <c r="A958" t="s">
        <v>53</v>
      </c>
      <c r="B958">
        <v>0</v>
      </c>
      <c r="G958" t="s">
        <v>3338</v>
      </c>
      <c r="I958" t="s">
        <v>3338</v>
      </c>
      <c r="N958" t="s">
        <v>3377</v>
      </c>
      <c r="O958" t="s">
        <v>3346</v>
      </c>
      <c r="P958">
        <v>41135028</v>
      </c>
    </row>
    <row r="959" spans="1:16">
      <c r="A959" t="s">
        <v>53</v>
      </c>
      <c r="B959">
        <v>1</v>
      </c>
      <c r="E959" t="s">
        <v>3377</v>
      </c>
      <c r="F959" t="s">
        <v>3346</v>
      </c>
      <c r="G959" t="s">
        <v>3378</v>
      </c>
      <c r="I959" t="s">
        <v>3338</v>
      </c>
      <c r="L959" t="s">
        <v>193</v>
      </c>
      <c r="N959" t="s">
        <v>3379</v>
      </c>
      <c r="O959" t="s">
        <v>3380</v>
      </c>
      <c r="P959">
        <v>41135028</v>
      </c>
    </row>
    <row r="960" spans="1:16">
      <c r="A960" t="s">
        <v>53</v>
      </c>
      <c r="B960">
        <v>2</v>
      </c>
      <c r="E960" t="s">
        <v>3379</v>
      </c>
      <c r="F960" t="s">
        <v>3380</v>
      </c>
      <c r="G960" t="s">
        <v>3381</v>
      </c>
      <c r="I960" t="s">
        <v>3338</v>
      </c>
      <c r="J960" t="s">
        <v>2421</v>
      </c>
      <c r="K960" t="s">
        <v>3354</v>
      </c>
      <c r="L960" t="s">
        <v>3369</v>
      </c>
      <c r="N960" t="s">
        <v>3382</v>
      </c>
      <c r="O960" t="s">
        <v>3352</v>
      </c>
      <c r="P960">
        <v>41135028</v>
      </c>
    </row>
    <row r="961" spans="1:16">
      <c r="A961" t="s">
        <v>53</v>
      </c>
      <c r="B961">
        <v>2</v>
      </c>
      <c r="E961" t="s">
        <v>3379</v>
      </c>
      <c r="F961" t="s">
        <v>3380</v>
      </c>
      <c r="G961" t="s">
        <v>3381</v>
      </c>
      <c r="I961" t="s">
        <v>3338</v>
      </c>
      <c r="L961" t="s">
        <v>3383</v>
      </c>
      <c r="N961" t="s">
        <v>3384</v>
      </c>
      <c r="O961" t="s">
        <v>3385</v>
      </c>
      <c r="P961">
        <v>41135028</v>
      </c>
    </row>
    <row r="962" spans="1:16">
      <c r="A962" t="s">
        <v>53</v>
      </c>
      <c r="B962">
        <v>2</v>
      </c>
      <c r="E962" t="s">
        <v>3379</v>
      </c>
      <c r="F962" t="s">
        <v>3380</v>
      </c>
      <c r="G962" t="s">
        <v>3381</v>
      </c>
      <c r="I962" t="s">
        <v>3338</v>
      </c>
      <c r="J962" t="s">
        <v>2232</v>
      </c>
      <c r="K962" t="s">
        <v>2233</v>
      </c>
      <c r="L962" t="s">
        <v>3342</v>
      </c>
      <c r="N962" t="s">
        <v>3386</v>
      </c>
      <c r="O962" t="s">
        <v>3350</v>
      </c>
      <c r="P962">
        <v>41135028</v>
      </c>
    </row>
    <row r="963" spans="1:16">
      <c r="A963" t="s">
        <v>53</v>
      </c>
      <c r="B963">
        <v>1</v>
      </c>
      <c r="E963" t="s">
        <v>3377</v>
      </c>
      <c r="F963" t="s">
        <v>3346</v>
      </c>
      <c r="G963" t="s">
        <v>3378</v>
      </c>
      <c r="I963" t="s">
        <v>3338</v>
      </c>
      <c r="L963" t="s">
        <v>193</v>
      </c>
      <c r="N963" t="s">
        <v>3387</v>
      </c>
      <c r="O963" t="s">
        <v>3388</v>
      </c>
      <c r="P963">
        <v>41135028</v>
      </c>
    </row>
    <row r="964" spans="1:16">
      <c r="A964" t="s">
        <v>53</v>
      </c>
      <c r="B964">
        <v>2</v>
      </c>
      <c r="E964" t="s">
        <v>3387</v>
      </c>
      <c r="F964" t="s">
        <v>3388</v>
      </c>
      <c r="G964" t="s">
        <v>3389</v>
      </c>
      <c r="I964" t="s">
        <v>3338</v>
      </c>
      <c r="L964" t="s">
        <v>3369</v>
      </c>
      <c r="N964" t="s">
        <v>3390</v>
      </c>
      <c r="O964" t="s">
        <v>3352</v>
      </c>
      <c r="P964">
        <v>41135028</v>
      </c>
    </row>
    <row r="965" spans="1:16">
      <c r="A965" t="s">
        <v>53</v>
      </c>
      <c r="B965">
        <v>2</v>
      </c>
      <c r="E965" t="s">
        <v>3387</v>
      </c>
      <c r="F965" t="s">
        <v>3388</v>
      </c>
      <c r="G965" t="s">
        <v>3389</v>
      </c>
      <c r="I965" t="s">
        <v>3338</v>
      </c>
      <c r="L965" t="s">
        <v>3342</v>
      </c>
      <c r="N965" t="s">
        <v>3391</v>
      </c>
      <c r="O965" t="s">
        <v>3392</v>
      </c>
      <c r="P965">
        <v>41135028</v>
      </c>
    </row>
    <row r="966" spans="1:16">
      <c r="A966" t="s">
        <v>53</v>
      </c>
      <c r="B966">
        <v>2</v>
      </c>
      <c r="E966" t="s">
        <v>3387</v>
      </c>
      <c r="F966" t="s">
        <v>3388</v>
      </c>
      <c r="G966" t="s">
        <v>3389</v>
      </c>
      <c r="I966" t="s">
        <v>3338</v>
      </c>
      <c r="L966" t="s">
        <v>3383</v>
      </c>
      <c r="N966" t="s">
        <v>3393</v>
      </c>
      <c r="O966" t="s">
        <v>3385</v>
      </c>
      <c r="P966">
        <v>41135028</v>
      </c>
    </row>
    <row r="967" spans="1:16">
      <c r="A967" t="s">
        <v>53</v>
      </c>
      <c r="B967">
        <v>2</v>
      </c>
      <c r="E967" t="s">
        <v>3387</v>
      </c>
      <c r="F967" t="s">
        <v>3388</v>
      </c>
      <c r="G967" t="s">
        <v>3389</v>
      </c>
      <c r="I967" t="s">
        <v>3338</v>
      </c>
      <c r="L967" t="s">
        <v>3342</v>
      </c>
      <c r="N967" t="s">
        <v>3394</v>
      </c>
      <c r="O967" t="s">
        <v>3350</v>
      </c>
      <c r="P967">
        <v>41135028</v>
      </c>
    </row>
    <row r="968" spans="1:16">
      <c r="A968" t="s">
        <v>53</v>
      </c>
      <c r="B968">
        <v>0</v>
      </c>
      <c r="G968" t="s">
        <v>3338</v>
      </c>
      <c r="I968" t="s">
        <v>3338</v>
      </c>
      <c r="N968" t="s">
        <v>3395</v>
      </c>
      <c r="O968" t="s">
        <v>3396</v>
      </c>
      <c r="P968">
        <v>41135028</v>
      </c>
    </row>
    <row r="969" spans="1:16">
      <c r="A969" t="s">
        <v>53</v>
      </c>
      <c r="B969">
        <v>1</v>
      </c>
      <c r="E969" t="s">
        <v>3395</v>
      </c>
      <c r="F969" t="s">
        <v>3396</v>
      </c>
      <c r="G969" t="s">
        <v>3397</v>
      </c>
      <c r="I969" t="s">
        <v>3338</v>
      </c>
      <c r="L969" t="s">
        <v>3342</v>
      </c>
      <c r="N969" t="s">
        <v>3398</v>
      </c>
      <c r="O969" t="s">
        <v>3399</v>
      </c>
      <c r="P969">
        <v>41135028</v>
      </c>
    </row>
    <row r="970" spans="1:16">
      <c r="A970" t="s">
        <v>53</v>
      </c>
      <c r="B970">
        <v>1</v>
      </c>
      <c r="E970" t="s">
        <v>3395</v>
      </c>
      <c r="F970" t="s">
        <v>3396</v>
      </c>
      <c r="G970" t="s">
        <v>3397</v>
      </c>
      <c r="I970" t="s">
        <v>3338</v>
      </c>
      <c r="J970" t="s">
        <v>2232</v>
      </c>
      <c r="K970" t="s">
        <v>2233</v>
      </c>
      <c r="L970" t="s">
        <v>3342</v>
      </c>
      <c r="N970" t="s">
        <v>3400</v>
      </c>
      <c r="O970" t="s">
        <v>3401</v>
      </c>
      <c r="P970">
        <v>41135028</v>
      </c>
    </row>
    <row r="971" spans="1:16">
      <c r="A971" t="s">
        <v>53</v>
      </c>
      <c r="B971">
        <v>1</v>
      </c>
      <c r="E971" t="s">
        <v>3395</v>
      </c>
      <c r="F971" t="s">
        <v>3396</v>
      </c>
      <c r="G971" t="s">
        <v>3397</v>
      </c>
      <c r="I971" t="s">
        <v>3338</v>
      </c>
      <c r="L971" t="s">
        <v>3342</v>
      </c>
      <c r="N971" t="s">
        <v>3402</v>
      </c>
      <c r="O971" t="s">
        <v>3403</v>
      </c>
      <c r="P971">
        <v>41135028</v>
      </c>
    </row>
    <row r="972" spans="1:16">
      <c r="A972" t="s">
        <v>53</v>
      </c>
      <c r="B972">
        <v>1</v>
      </c>
      <c r="E972" t="s">
        <v>3395</v>
      </c>
      <c r="F972" t="s">
        <v>3396</v>
      </c>
      <c r="G972" t="s">
        <v>3397</v>
      </c>
      <c r="I972" t="s">
        <v>3338</v>
      </c>
      <c r="J972" t="s">
        <v>2232</v>
      </c>
      <c r="K972" t="s">
        <v>2233</v>
      </c>
      <c r="L972" t="s">
        <v>3342</v>
      </c>
      <c r="N972" t="s">
        <v>3404</v>
      </c>
      <c r="O972" t="s">
        <v>3405</v>
      </c>
      <c r="P972">
        <v>41135028</v>
      </c>
    </row>
    <row r="973" spans="1:16">
      <c r="A973" t="s">
        <v>53</v>
      </c>
      <c r="B973">
        <v>0</v>
      </c>
      <c r="G973" t="s">
        <v>3338</v>
      </c>
      <c r="I973" t="s">
        <v>3338</v>
      </c>
      <c r="N973" t="s">
        <v>3406</v>
      </c>
      <c r="O973" t="s">
        <v>3407</v>
      </c>
      <c r="P973">
        <v>41135028</v>
      </c>
    </row>
    <row r="974" spans="1:16">
      <c r="A974" t="s">
        <v>53</v>
      </c>
      <c r="B974">
        <v>1</v>
      </c>
      <c r="E974" t="s">
        <v>3406</v>
      </c>
      <c r="F974" t="s">
        <v>3407</v>
      </c>
      <c r="G974" t="s">
        <v>3408</v>
      </c>
      <c r="I974" t="s">
        <v>3338</v>
      </c>
      <c r="J974" t="s">
        <v>2421</v>
      </c>
      <c r="K974" t="s">
        <v>3354</v>
      </c>
      <c r="L974" t="s">
        <v>3369</v>
      </c>
      <c r="N974" t="s">
        <v>3409</v>
      </c>
      <c r="O974" t="s">
        <v>3410</v>
      </c>
      <c r="P974">
        <v>41135028</v>
      </c>
    </row>
    <row r="975" spans="1:16">
      <c r="A975" t="s">
        <v>53</v>
      </c>
      <c r="B975">
        <v>1</v>
      </c>
      <c r="E975" t="s">
        <v>3406</v>
      </c>
      <c r="F975" t="s">
        <v>3407</v>
      </c>
      <c r="G975" t="s">
        <v>3408</v>
      </c>
      <c r="I975" t="s">
        <v>3338</v>
      </c>
      <c r="L975" t="s">
        <v>193</v>
      </c>
      <c r="N975" t="s">
        <v>3411</v>
      </c>
      <c r="O975" t="s">
        <v>3412</v>
      </c>
      <c r="P975">
        <v>41135028</v>
      </c>
    </row>
    <row r="976" spans="1:16">
      <c r="A976" t="s">
        <v>53</v>
      </c>
      <c r="B976">
        <v>2</v>
      </c>
      <c r="E976" t="s">
        <v>3411</v>
      </c>
      <c r="F976" t="s">
        <v>3412</v>
      </c>
      <c r="G976" t="s">
        <v>3413</v>
      </c>
      <c r="I976" t="s">
        <v>3338</v>
      </c>
      <c r="L976" t="s">
        <v>3342</v>
      </c>
      <c r="N976" t="s">
        <v>3414</v>
      </c>
      <c r="O976" t="s">
        <v>3415</v>
      </c>
      <c r="P976">
        <v>41135028</v>
      </c>
    </row>
    <row r="977" spans="1:16">
      <c r="A977" t="s">
        <v>53</v>
      </c>
      <c r="B977">
        <v>2</v>
      </c>
      <c r="E977" t="s">
        <v>3411</v>
      </c>
      <c r="F977" t="s">
        <v>3412</v>
      </c>
      <c r="G977" t="s">
        <v>3413</v>
      </c>
      <c r="I977" t="s">
        <v>3338</v>
      </c>
      <c r="J977" t="s">
        <v>2232</v>
      </c>
      <c r="K977" t="s">
        <v>2233</v>
      </c>
      <c r="L977" t="s">
        <v>3342</v>
      </c>
      <c r="N977" t="s">
        <v>3416</v>
      </c>
      <c r="O977" t="s">
        <v>3417</v>
      </c>
      <c r="P977">
        <v>41135028</v>
      </c>
    </row>
    <row r="978" spans="1:16">
      <c r="A978" t="s">
        <v>53</v>
      </c>
      <c r="B978">
        <v>2</v>
      </c>
      <c r="E978" t="s">
        <v>3411</v>
      </c>
      <c r="F978" t="s">
        <v>3412</v>
      </c>
      <c r="G978" t="s">
        <v>3413</v>
      </c>
      <c r="I978" t="s">
        <v>3338</v>
      </c>
      <c r="J978" t="s">
        <v>2232</v>
      </c>
      <c r="K978" t="s">
        <v>2233</v>
      </c>
      <c r="L978" t="s">
        <v>3342</v>
      </c>
      <c r="N978" t="s">
        <v>3418</v>
      </c>
      <c r="O978" t="s">
        <v>3419</v>
      </c>
      <c r="P978">
        <v>41135028</v>
      </c>
    </row>
    <row r="979" spans="1:16">
      <c r="A979" t="s">
        <v>53</v>
      </c>
      <c r="B979">
        <v>2</v>
      </c>
      <c r="E979" t="s">
        <v>3411</v>
      </c>
      <c r="F979" t="s">
        <v>3412</v>
      </c>
      <c r="G979" t="s">
        <v>3413</v>
      </c>
      <c r="I979" t="s">
        <v>3338</v>
      </c>
      <c r="L979" t="s">
        <v>3342</v>
      </c>
      <c r="N979" t="s">
        <v>3420</v>
      </c>
      <c r="O979" t="s">
        <v>3421</v>
      </c>
      <c r="P979">
        <v>41135028</v>
      </c>
    </row>
    <row r="980" spans="1:16">
      <c r="A980" t="s">
        <v>53</v>
      </c>
      <c r="B980">
        <v>2</v>
      </c>
      <c r="E980" t="s">
        <v>3411</v>
      </c>
      <c r="F980" t="s">
        <v>3412</v>
      </c>
      <c r="G980" t="s">
        <v>3413</v>
      </c>
      <c r="I980" t="s">
        <v>3338</v>
      </c>
      <c r="J980" t="s">
        <v>2232</v>
      </c>
      <c r="K980" t="s">
        <v>2233</v>
      </c>
      <c r="L980" t="s">
        <v>3342</v>
      </c>
      <c r="N980" t="s">
        <v>3422</v>
      </c>
      <c r="O980" t="s">
        <v>3423</v>
      </c>
      <c r="P980">
        <v>41135028</v>
      </c>
    </row>
    <row r="981" spans="1:16">
      <c r="A981" t="s">
        <v>53</v>
      </c>
      <c r="B981">
        <v>0</v>
      </c>
      <c r="G981" t="s">
        <v>3338</v>
      </c>
      <c r="I981" t="s">
        <v>3338</v>
      </c>
      <c r="N981" t="s">
        <v>3424</v>
      </c>
      <c r="O981" t="s">
        <v>3425</v>
      </c>
      <c r="P981">
        <v>41135028</v>
      </c>
    </row>
    <row r="982" spans="1:16">
      <c r="A982" t="s">
        <v>53</v>
      </c>
      <c r="B982">
        <v>1</v>
      </c>
      <c r="E982" t="s">
        <v>3424</v>
      </c>
      <c r="F982" t="s">
        <v>3425</v>
      </c>
      <c r="G982" t="s">
        <v>3426</v>
      </c>
      <c r="I982" t="s">
        <v>3338</v>
      </c>
      <c r="J982" t="s">
        <v>2421</v>
      </c>
      <c r="K982" t="s">
        <v>3354</v>
      </c>
      <c r="L982" t="s">
        <v>3369</v>
      </c>
      <c r="N982" t="s">
        <v>3427</v>
      </c>
      <c r="O982" t="s">
        <v>3428</v>
      </c>
      <c r="P982">
        <v>41135028</v>
      </c>
    </row>
    <row r="983" spans="1:16">
      <c r="A983" t="s">
        <v>53</v>
      </c>
      <c r="B983">
        <v>1</v>
      </c>
      <c r="E983" t="s">
        <v>3424</v>
      </c>
      <c r="F983" t="s">
        <v>3425</v>
      </c>
      <c r="G983" t="s">
        <v>3426</v>
      </c>
      <c r="I983" t="s">
        <v>3338</v>
      </c>
      <c r="J983" t="s">
        <v>2421</v>
      </c>
      <c r="K983" t="s">
        <v>3354</v>
      </c>
      <c r="L983" t="s">
        <v>3369</v>
      </c>
      <c r="N983" t="s">
        <v>3429</v>
      </c>
      <c r="O983" t="s">
        <v>3430</v>
      </c>
      <c r="P983">
        <v>41135028</v>
      </c>
    </row>
    <row r="984" spans="1:16">
      <c r="A984" t="s">
        <v>53</v>
      </c>
      <c r="B984">
        <v>1</v>
      </c>
      <c r="E984" t="s">
        <v>3424</v>
      </c>
      <c r="F984" t="s">
        <v>3425</v>
      </c>
      <c r="G984" t="s">
        <v>3426</v>
      </c>
      <c r="I984" t="s">
        <v>3338</v>
      </c>
      <c r="J984" t="s">
        <v>2232</v>
      </c>
      <c r="K984" t="s">
        <v>2233</v>
      </c>
      <c r="L984" t="s">
        <v>3342</v>
      </c>
      <c r="N984" t="s">
        <v>3431</v>
      </c>
      <c r="O984" t="s">
        <v>3432</v>
      </c>
      <c r="P984">
        <v>41135028</v>
      </c>
    </row>
    <row r="985" spans="1:16">
      <c r="A985" t="s">
        <v>53</v>
      </c>
      <c r="B985">
        <v>0</v>
      </c>
      <c r="G985" t="s">
        <v>3338</v>
      </c>
      <c r="I985" t="s">
        <v>3338</v>
      </c>
      <c r="N985" t="s">
        <v>3433</v>
      </c>
      <c r="O985" t="s">
        <v>3434</v>
      </c>
      <c r="P985">
        <v>41135028</v>
      </c>
    </row>
    <row r="986" spans="1:16">
      <c r="A986" t="s">
        <v>53</v>
      </c>
      <c r="B986">
        <v>1</v>
      </c>
      <c r="E986" t="s">
        <v>3433</v>
      </c>
      <c r="F986" t="s">
        <v>3434</v>
      </c>
      <c r="G986" t="s">
        <v>3435</v>
      </c>
      <c r="I986" t="s">
        <v>3338</v>
      </c>
      <c r="J986" t="s">
        <v>2232</v>
      </c>
      <c r="K986" t="s">
        <v>2233</v>
      </c>
      <c r="L986" t="s">
        <v>3342</v>
      </c>
      <c r="N986" t="s">
        <v>3436</v>
      </c>
      <c r="O986" t="s">
        <v>3437</v>
      </c>
      <c r="P986">
        <v>41135028</v>
      </c>
    </row>
    <row r="987" spans="1:16">
      <c r="A987" t="s">
        <v>53</v>
      </c>
      <c r="B987">
        <v>1</v>
      </c>
      <c r="E987" t="s">
        <v>3433</v>
      </c>
      <c r="F987" t="s">
        <v>3434</v>
      </c>
      <c r="G987" t="s">
        <v>3435</v>
      </c>
      <c r="I987" t="s">
        <v>3338</v>
      </c>
      <c r="J987" t="s">
        <v>2232</v>
      </c>
      <c r="K987" t="s">
        <v>2233</v>
      </c>
      <c r="L987" t="s">
        <v>3342</v>
      </c>
      <c r="N987" t="s">
        <v>3438</v>
      </c>
      <c r="O987" t="s">
        <v>3439</v>
      </c>
      <c r="P987">
        <v>41135028</v>
      </c>
    </row>
    <row r="988" spans="1:16">
      <c r="A988" t="s">
        <v>53</v>
      </c>
      <c r="B988">
        <v>1</v>
      </c>
      <c r="E988" t="s">
        <v>3433</v>
      </c>
      <c r="F988" t="s">
        <v>3434</v>
      </c>
      <c r="G988" t="s">
        <v>3435</v>
      </c>
      <c r="I988" t="s">
        <v>3338</v>
      </c>
      <c r="J988" t="s">
        <v>2232</v>
      </c>
      <c r="K988" t="s">
        <v>2233</v>
      </c>
      <c r="L988" t="s">
        <v>3342</v>
      </c>
      <c r="N988" t="s">
        <v>3440</v>
      </c>
      <c r="O988" t="s">
        <v>3441</v>
      </c>
      <c r="P988">
        <v>41135028</v>
      </c>
    </row>
    <row r="989" spans="1:16">
      <c r="A989" t="s">
        <v>53</v>
      </c>
      <c r="B989">
        <v>1</v>
      </c>
      <c r="E989" t="s">
        <v>3433</v>
      </c>
      <c r="F989" t="s">
        <v>3434</v>
      </c>
      <c r="G989" t="s">
        <v>3435</v>
      </c>
      <c r="I989" t="s">
        <v>3338</v>
      </c>
      <c r="J989" t="s">
        <v>2232</v>
      </c>
      <c r="K989" t="s">
        <v>2233</v>
      </c>
      <c r="L989" t="s">
        <v>3342</v>
      </c>
      <c r="N989" t="s">
        <v>3442</v>
      </c>
      <c r="O989" t="s">
        <v>3443</v>
      </c>
      <c r="P989">
        <v>41135028</v>
      </c>
    </row>
    <row r="990" spans="1:16">
      <c r="A990" t="s">
        <v>53</v>
      </c>
      <c r="B990">
        <v>1</v>
      </c>
      <c r="E990" t="s">
        <v>3433</v>
      </c>
      <c r="F990" t="s">
        <v>3434</v>
      </c>
      <c r="G990" t="s">
        <v>3435</v>
      </c>
      <c r="I990" t="s">
        <v>3338</v>
      </c>
      <c r="J990" t="s">
        <v>2232</v>
      </c>
      <c r="K990" t="s">
        <v>2233</v>
      </c>
      <c r="L990" t="s">
        <v>3342</v>
      </c>
      <c r="N990" t="s">
        <v>3444</v>
      </c>
      <c r="O990" t="s">
        <v>3445</v>
      </c>
      <c r="P990">
        <v>41135028</v>
      </c>
    </row>
    <row r="991" spans="1:16">
      <c r="A991" t="s">
        <v>53</v>
      </c>
      <c r="B991">
        <v>1</v>
      </c>
      <c r="E991" t="s">
        <v>3433</v>
      </c>
      <c r="F991" t="s">
        <v>3434</v>
      </c>
      <c r="G991" t="s">
        <v>3435</v>
      </c>
      <c r="I991" t="s">
        <v>3338</v>
      </c>
      <c r="J991" t="s">
        <v>2232</v>
      </c>
      <c r="K991" t="s">
        <v>2233</v>
      </c>
      <c r="L991" t="s">
        <v>3342</v>
      </c>
      <c r="N991" t="s">
        <v>3446</v>
      </c>
      <c r="O991" t="s">
        <v>3447</v>
      </c>
      <c r="P991">
        <v>41135028</v>
      </c>
    </row>
    <row r="992" spans="1:16">
      <c r="A992" t="s">
        <v>53</v>
      </c>
      <c r="B992">
        <v>0</v>
      </c>
      <c r="G992" t="s">
        <v>3338</v>
      </c>
      <c r="I992" t="s">
        <v>3338</v>
      </c>
      <c r="N992" t="s">
        <v>3448</v>
      </c>
      <c r="O992" t="s">
        <v>3449</v>
      </c>
      <c r="P992">
        <v>41135028</v>
      </c>
    </row>
    <row r="993" spans="1:16">
      <c r="A993" t="s">
        <v>53</v>
      </c>
      <c r="B993">
        <v>1</v>
      </c>
      <c r="E993" t="s">
        <v>3448</v>
      </c>
      <c r="F993" t="s">
        <v>3449</v>
      </c>
      <c r="G993" t="s">
        <v>3450</v>
      </c>
      <c r="I993" t="s">
        <v>3338</v>
      </c>
      <c r="J993" t="s">
        <v>2421</v>
      </c>
      <c r="K993" t="s">
        <v>3354</v>
      </c>
      <c r="L993" t="s">
        <v>3451</v>
      </c>
      <c r="N993" t="s">
        <v>3452</v>
      </c>
      <c r="O993" t="s">
        <v>3453</v>
      </c>
      <c r="P993">
        <v>41135028</v>
      </c>
    </row>
    <row r="994" spans="1:16">
      <c r="A994" t="s">
        <v>53</v>
      </c>
      <c r="B994">
        <v>0</v>
      </c>
      <c r="G994" t="s">
        <v>3456</v>
      </c>
      <c r="I994" t="s">
        <v>3456</v>
      </c>
      <c r="M994" t="s">
        <v>3463</v>
      </c>
      <c r="N994" t="s">
        <v>3479</v>
      </c>
      <c r="O994" t="s">
        <v>3480</v>
      </c>
      <c r="P994">
        <v>41135028</v>
      </c>
    </row>
    <row r="995" spans="1:16">
      <c r="A995" t="s">
        <v>53</v>
      </c>
      <c r="B995">
        <v>0</v>
      </c>
      <c r="G995" t="s">
        <v>3456</v>
      </c>
      <c r="I995" t="s">
        <v>3456</v>
      </c>
      <c r="M995" t="s">
        <v>3463</v>
      </c>
      <c r="N995" t="s">
        <v>3481</v>
      </c>
      <c r="O995" t="s">
        <v>3482</v>
      </c>
      <c r="P995">
        <v>41135028</v>
      </c>
    </row>
    <row r="996" spans="1:16">
      <c r="A996" t="s">
        <v>55</v>
      </c>
      <c r="B996">
        <v>0</v>
      </c>
      <c r="G996" t="s">
        <v>3338</v>
      </c>
      <c r="I996" t="s">
        <v>3338</v>
      </c>
      <c r="N996" t="s">
        <v>3339</v>
      </c>
      <c r="O996" t="s">
        <v>3340</v>
      </c>
      <c r="P996">
        <v>41393779</v>
      </c>
    </row>
    <row r="997" spans="1:16">
      <c r="A997" t="s">
        <v>55</v>
      </c>
      <c r="B997">
        <v>1</v>
      </c>
      <c r="E997" t="s">
        <v>3339</v>
      </c>
      <c r="F997" t="s">
        <v>3340</v>
      </c>
      <c r="G997" t="s">
        <v>3341</v>
      </c>
      <c r="I997" t="s">
        <v>3338</v>
      </c>
      <c r="J997" t="s">
        <v>2232</v>
      </c>
      <c r="K997" t="s">
        <v>2233</v>
      </c>
      <c r="L997" t="s">
        <v>3342</v>
      </c>
      <c r="N997" t="s">
        <v>3343</v>
      </c>
      <c r="O997" t="s">
        <v>3344</v>
      </c>
      <c r="P997">
        <v>41393779</v>
      </c>
    </row>
    <row r="998" spans="1:16">
      <c r="A998" t="s">
        <v>55</v>
      </c>
      <c r="B998">
        <v>1</v>
      </c>
      <c r="E998" t="s">
        <v>3339</v>
      </c>
      <c r="F998" t="s">
        <v>3340</v>
      </c>
      <c r="G998" t="s">
        <v>3341</v>
      </c>
      <c r="I998" t="s">
        <v>3338</v>
      </c>
      <c r="J998" t="s">
        <v>2232</v>
      </c>
      <c r="K998" t="s">
        <v>2233</v>
      </c>
      <c r="L998" t="s">
        <v>3342</v>
      </c>
      <c r="N998" t="s">
        <v>3345</v>
      </c>
      <c r="O998" t="s">
        <v>3346</v>
      </c>
      <c r="P998">
        <v>41393779</v>
      </c>
    </row>
    <row r="999" spans="1:16">
      <c r="A999" t="s">
        <v>55</v>
      </c>
      <c r="B999">
        <v>0</v>
      </c>
      <c r="G999" t="s">
        <v>3338</v>
      </c>
      <c r="I999" t="s">
        <v>3338</v>
      </c>
      <c r="N999" t="s">
        <v>3347</v>
      </c>
      <c r="O999" t="s">
        <v>3344</v>
      </c>
      <c r="P999">
        <v>41393779</v>
      </c>
    </row>
    <row r="1000" spans="1:16">
      <c r="A1000" t="s">
        <v>55</v>
      </c>
      <c r="B1000">
        <v>1</v>
      </c>
      <c r="E1000" t="s">
        <v>3347</v>
      </c>
      <c r="F1000" t="s">
        <v>3344</v>
      </c>
      <c r="G1000" t="s">
        <v>3348</v>
      </c>
      <c r="I1000" t="s">
        <v>3338</v>
      </c>
      <c r="J1000" t="s">
        <v>2232</v>
      </c>
      <c r="K1000" t="s">
        <v>2233</v>
      </c>
      <c r="L1000" t="s">
        <v>3342</v>
      </c>
      <c r="N1000" t="s">
        <v>3349</v>
      </c>
      <c r="O1000" t="s">
        <v>3350</v>
      </c>
      <c r="P1000">
        <v>41393779</v>
      </c>
    </row>
    <row r="1001" spans="1:16">
      <c r="A1001" t="s">
        <v>55</v>
      </c>
      <c r="B1001">
        <v>1</v>
      </c>
      <c r="E1001" t="s">
        <v>3347</v>
      </c>
      <c r="F1001" t="s">
        <v>3344</v>
      </c>
      <c r="G1001" t="s">
        <v>3348</v>
      </c>
      <c r="I1001" t="s">
        <v>3338</v>
      </c>
      <c r="L1001" t="s">
        <v>193</v>
      </c>
      <c r="N1001" t="s">
        <v>3351</v>
      </c>
      <c r="O1001" t="s">
        <v>3352</v>
      </c>
      <c r="P1001">
        <v>41393779</v>
      </c>
    </row>
    <row r="1002" spans="1:16">
      <c r="A1002" t="s">
        <v>55</v>
      </c>
      <c r="B1002">
        <v>2</v>
      </c>
      <c r="E1002" t="s">
        <v>3351</v>
      </c>
      <c r="F1002" t="s">
        <v>3352</v>
      </c>
      <c r="G1002" t="s">
        <v>3353</v>
      </c>
      <c r="I1002" t="s">
        <v>3338</v>
      </c>
      <c r="J1002" t="s">
        <v>2421</v>
      </c>
      <c r="K1002" t="s">
        <v>3354</v>
      </c>
      <c r="L1002" t="s">
        <v>3355</v>
      </c>
      <c r="N1002" t="s">
        <v>3356</v>
      </c>
      <c r="O1002" t="s">
        <v>3357</v>
      </c>
      <c r="P1002">
        <v>41393779</v>
      </c>
    </row>
    <row r="1003" spans="1:16">
      <c r="A1003" t="s">
        <v>55</v>
      </c>
      <c r="B1003">
        <v>2</v>
      </c>
      <c r="E1003" t="s">
        <v>3351</v>
      </c>
      <c r="F1003" t="s">
        <v>3352</v>
      </c>
      <c r="G1003" t="s">
        <v>3353</v>
      </c>
      <c r="I1003" t="s">
        <v>3338</v>
      </c>
      <c r="J1003" t="s">
        <v>2421</v>
      </c>
      <c r="K1003" t="s">
        <v>3354</v>
      </c>
      <c r="L1003" t="s">
        <v>3355</v>
      </c>
      <c r="N1003" t="s">
        <v>3358</v>
      </c>
      <c r="O1003" t="s">
        <v>3359</v>
      </c>
      <c r="P1003">
        <v>41393779</v>
      </c>
    </row>
    <row r="1004" spans="1:16">
      <c r="A1004" t="s">
        <v>55</v>
      </c>
      <c r="B1004">
        <v>2</v>
      </c>
      <c r="E1004" t="s">
        <v>3351</v>
      </c>
      <c r="F1004" t="s">
        <v>3352</v>
      </c>
      <c r="G1004" t="s">
        <v>3353</v>
      </c>
      <c r="I1004" t="s">
        <v>3338</v>
      </c>
      <c r="J1004" t="s">
        <v>2421</v>
      </c>
      <c r="K1004" t="s">
        <v>3354</v>
      </c>
      <c r="L1004" t="s">
        <v>3355</v>
      </c>
      <c r="N1004" t="s">
        <v>3360</v>
      </c>
      <c r="O1004" t="s">
        <v>3361</v>
      </c>
      <c r="P1004">
        <v>41393779</v>
      </c>
    </row>
    <row r="1005" spans="1:16">
      <c r="A1005" t="s">
        <v>55</v>
      </c>
      <c r="B1005">
        <v>1</v>
      </c>
      <c r="E1005" t="s">
        <v>3347</v>
      </c>
      <c r="F1005" t="s">
        <v>3344</v>
      </c>
      <c r="G1005" t="s">
        <v>3348</v>
      </c>
      <c r="I1005" t="s">
        <v>3338</v>
      </c>
      <c r="J1005" t="s">
        <v>2236</v>
      </c>
      <c r="K1005" t="s">
        <v>3362</v>
      </c>
      <c r="L1005" t="s">
        <v>3363</v>
      </c>
      <c r="N1005" t="s">
        <v>3364</v>
      </c>
      <c r="O1005" t="s">
        <v>3365</v>
      </c>
      <c r="P1005">
        <v>41393779</v>
      </c>
    </row>
    <row r="1006" spans="1:16">
      <c r="A1006" t="s">
        <v>55</v>
      </c>
      <c r="B1006">
        <v>1</v>
      </c>
      <c r="E1006" t="s">
        <v>3347</v>
      </c>
      <c r="F1006" t="s">
        <v>3344</v>
      </c>
      <c r="G1006" t="s">
        <v>3348</v>
      </c>
      <c r="I1006" t="s">
        <v>3338</v>
      </c>
      <c r="L1006" t="s">
        <v>193</v>
      </c>
      <c r="N1006" t="s">
        <v>3366</v>
      </c>
      <c r="O1006" t="s">
        <v>3367</v>
      </c>
      <c r="P1006">
        <v>41393779</v>
      </c>
    </row>
    <row r="1007" spans="1:16">
      <c r="A1007" t="s">
        <v>55</v>
      </c>
      <c r="B1007">
        <v>2</v>
      </c>
      <c r="E1007" t="s">
        <v>3366</v>
      </c>
      <c r="F1007" t="s">
        <v>3367</v>
      </c>
      <c r="G1007" t="s">
        <v>3368</v>
      </c>
      <c r="I1007" t="s">
        <v>3338</v>
      </c>
      <c r="J1007" t="s">
        <v>2421</v>
      </c>
      <c r="K1007" t="s">
        <v>3354</v>
      </c>
      <c r="L1007" t="s">
        <v>3369</v>
      </c>
      <c r="N1007" t="s">
        <v>3370</v>
      </c>
      <c r="O1007" t="s">
        <v>3359</v>
      </c>
      <c r="P1007">
        <v>41393779</v>
      </c>
    </row>
    <row r="1008" spans="1:16">
      <c r="A1008" t="s">
        <v>55</v>
      </c>
      <c r="B1008">
        <v>2</v>
      </c>
      <c r="E1008" t="s">
        <v>3366</v>
      </c>
      <c r="F1008" t="s">
        <v>3367</v>
      </c>
      <c r="G1008" t="s">
        <v>3368</v>
      </c>
      <c r="I1008" t="s">
        <v>3338</v>
      </c>
      <c r="J1008" t="s">
        <v>2421</v>
      </c>
      <c r="K1008" t="s">
        <v>3354</v>
      </c>
      <c r="L1008" t="s">
        <v>3369</v>
      </c>
      <c r="N1008" t="s">
        <v>3371</v>
      </c>
      <c r="O1008" t="s">
        <v>3372</v>
      </c>
      <c r="P1008">
        <v>41393779</v>
      </c>
    </row>
    <row r="1009" spans="1:16">
      <c r="A1009" t="s">
        <v>55</v>
      </c>
      <c r="B1009">
        <v>2</v>
      </c>
      <c r="E1009" t="s">
        <v>3366</v>
      </c>
      <c r="F1009" t="s">
        <v>3367</v>
      </c>
      <c r="G1009" t="s">
        <v>3368</v>
      </c>
      <c r="I1009" t="s">
        <v>3338</v>
      </c>
      <c r="J1009" t="s">
        <v>2421</v>
      </c>
      <c r="K1009" t="s">
        <v>3354</v>
      </c>
      <c r="L1009" t="s">
        <v>3369</v>
      </c>
      <c r="N1009" t="s">
        <v>3373</v>
      </c>
      <c r="O1009" t="s">
        <v>3374</v>
      </c>
      <c r="P1009">
        <v>41393779</v>
      </c>
    </row>
    <row r="1010" spans="1:16">
      <c r="A1010" t="s">
        <v>55</v>
      </c>
      <c r="B1010">
        <v>2</v>
      </c>
      <c r="E1010" t="s">
        <v>3366</v>
      </c>
      <c r="F1010" t="s">
        <v>3367</v>
      </c>
      <c r="G1010" t="s">
        <v>3368</v>
      </c>
      <c r="I1010" t="s">
        <v>3338</v>
      </c>
      <c r="J1010" t="s">
        <v>2236</v>
      </c>
      <c r="K1010" t="s">
        <v>3362</v>
      </c>
      <c r="L1010" t="s">
        <v>3363</v>
      </c>
      <c r="N1010" t="s">
        <v>3375</v>
      </c>
      <c r="O1010" t="s">
        <v>3376</v>
      </c>
      <c r="P1010">
        <v>41393779</v>
      </c>
    </row>
    <row r="1011" spans="1:16">
      <c r="A1011" t="s">
        <v>55</v>
      </c>
      <c r="B1011">
        <v>1</v>
      </c>
      <c r="E1011" t="s">
        <v>3347</v>
      </c>
      <c r="F1011" t="s">
        <v>3344</v>
      </c>
      <c r="G1011" t="s">
        <v>3348</v>
      </c>
      <c r="I1011" t="s">
        <v>3338</v>
      </c>
      <c r="J1011" t="s">
        <v>2232</v>
      </c>
      <c r="K1011" t="s">
        <v>2233</v>
      </c>
      <c r="L1011" t="s">
        <v>3342</v>
      </c>
      <c r="N1011" t="s">
        <v>3454</v>
      </c>
      <c r="O1011" t="s">
        <v>3455</v>
      </c>
      <c r="P1011">
        <v>41393779</v>
      </c>
    </row>
    <row r="1012" spans="1:16">
      <c r="A1012" t="s">
        <v>55</v>
      </c>
      <c r="B1012">
        <v>0</v>
      </c>
      <c r="G1012" t="s">
        <v>3338</v>
      </c>
      <c r="I1012" t="s">
        <v>3338</v>
      </c>
      <c r="N1012" t="s">
        <v>3377</v>
      </c>
      <c r="O1012" t="s">
        <v>3346</v>
      </c>
      <c r="P1012">
        <v>41393779</v>
      </c>
    </row>
    <row r="1013" spans="1:16">
      <c r="A1013" t="s">
        <v>55</v>
      </c>
      <c r="B1013">
        <v>1</v>
      </c>
      <c r="E1013" t="s">
        <v>3377</v>
      </c>
      <c r="F1013" t="s">
        <v>3346</v>
      </c>
      <c r="G1013" t="s">
        <v>3378</v>
      </c>
      <c r="I1013" t="s">
        <v>3338</v>
      </c>
      <c r="L1013" t="s">
        <v>193</v>
      </c>
      <c r="N1013" t="s">
        <v>3379</v>
      </c>
      <c r="O1013" t="s">
        <v>3380</v>
      </c>
      <c r="P1013">
        <v>41393779</v>
      </c>
    </row>
    <row r="1014" spans="1:16">
      <c r="A1014" t="s">
        <v>55</v>
      </c>
      <c r="B1014">
        <v>2</v>
      </c>
      <c r="E1014" t="s">
        <v>3379</v>
      </c>
      <c r="F1014" t="s">
        <v>3380</v>
      </c>
      <c r="G1014" t="s">
        <v>3381</v>
      </c>
      <c r="I1014" t="s">
        <v>3338</v>
      </c>
      <c r="J1014" t="s">
        <v>2421</v>
      </c>
      <c r="K1014" t="s">
        <v>3354</v>
      </c>
      <c r="L1014" t="s">
        <v>3369</v>
      </c>
      <c r="N1014" t="s">
        <v>3382</v>
      </c>
      <c r="O1014" t="s">
        <v>3352</v>
      </c>
      <c r="P1014">
        <v>41393779</v>
      </c>
    </row>
    <row r="1015" spans="1:16">
      <c r="A1015" t="s">
        <v>55</v>
      </c>
      <c r="B1015">
        <v>2</v>
      </c>
      <c r="E1015" t="s">
        <v>3379</v>
      </c>
      <c r="F1015" t="s">
        <v>3380</v>
      </c>
      <c r="G1015" t="s">
        <v>3381</v>
      </c>
      <c r="I1015" t="s">
        <v>3338</v>
      </c>
      <c r="L1015" t="s">
        <v>3383</v>
      </c>
      <c r="N1015" t="s">
        <v>3384</v>
      </c>
      <c r="O1015" t="s">
        <v>3385</v>
      </c>
      <c r="P1015">
        <v>41393779</v>
      </c>
    </row>
    <row r="1016" spans="1:16">
      <c r="A1016" t="s">
        <v>55</v>
      </c>
      <c r="B1016">
        <v>2</v>
      </c>
      <c r="E1016" t="s">
        <v>3379</v>
      </c>
      <c r="F1016" t="s">
        <v>3380</v>
      </c>
      <c r="G1016" t="s">
        <v>3381</v>
      </c>
      <c r="I1016" t="s">
        <v>3338</v>
      </c>
      <c r="J1016" t="s">
        <v>2232</v>
      </c>
      <c r="K1016" t="s">
        <v>2233</v>
      </c>
      <c r="L1016" t="s">
        <v>3342</v>
      </c>
      <c r="N1016" t="s">
        <v>3386</v>
      </c>
      <c r="O1016" t="s">
        <v>3350</v>
      </c>
      <c r="P1016">
        <v>41393779</v>
      </c>
    </row>
    <row r="1017" spans="1:16">
      <c r="A1017" t="s">
        <v>55</v>
      </c>
      <c r="B1017">
        <v>0</v>
      </c>
      <c r="G1017" t="s">
        <v>3338</v>
      </c>
      <c r="I1017" t="s">
        <v>3338</v>
      </c>
      <c r="N1017" t="s">
        <v>3395</v>
      </c>
      <c r="O1017" t="s">
        <v>3396</v>
      </c>
      <c r="P1017">
        <v>41393779</v>
      </c>
    </row>
    <row r="1018" spans="1:16">
      <c r="A1018" t="s">
        <v>55</v>
      </c>
      <c r="B1018">
        <v>1</v>
      </c>
      <c r="E1018" t="s">
        <v>3395</v>
      </c>
      <c r="F1018" t="s">
        <v>3396</v>
      </c>
      <c r="G1018" t="s">
        <v>3397</v>
      </c>
      <c r="I1018" t="s">
        <v>3338</v>
      </c>
      <c r="L1018" t="s">
        <v>3342</v>
      </c>
      <c r="N1018" t="s">
        <v>3398</v>
      </c>
      <c r="O1018" t="s">
        <v>3399</v>
      </c>
      <c r="P1018">
        <v>41393779</v>
      </c>
    </row>
    <row r="1019" spans="1:16">
      <c r="A1019" t="s">
        <v>55</v>
      </c>
      <c r="B1019">
        <v>1</v>
      </c>
      <c r="E1019" t="s">
        <v>3395</v>
      </c>
      <c r="F1019" t="s">
        <v>3396</v>
      </c>
      <c r="G1019" t="s">
        <v>3397</v>
      </c>
      <c r="I1019" t="s">
        <v>3338</v>
      </c>
      <c r="J1019" t="s">
        <v>2232</v>
      </c>
      <c r="K1019" t="s">
        <v>2233</v>
      </c>
      <c r="L1019" t="s">
        <v>3342</v>
      </c>
      <c r="N1019" t="s">
        <v>3400</v>
      </c>
      <c r="O1019" t="s">
        <v>3401</v>
      </c>
      <c r="P1019">
        <v>41393779</v>
      </c>
    </row>
    <row r="1020" spans="1:16">
      <c r="A1020" t="s">
        <v>55</v>
      </c>
      <c r="B1020">
        <v>1</v>
      </c>
      <c r="E1020" t="s">
        <v>3395</v>
      </c>
      <c r="F1020" t="s">
        <v>3396</v>
      </c>
      <c r="G1020" t="s">
        <v>3397</v>
      </c>
      <c r="I1020" t="s">
        <v>3338</v>
      </c>
      <c r="L1020" t="s">
        <v>3342</v>
      </c>
      <c r="N1020" t="s">
        <v>3402</v>
      </c>
      <c r="O1020" t="s">
        <v>3403</v>
      </c>
      <c r="P1020">
        <v>41393779</v>
      </c>
    </row>
    <row r="1021" spans="1:16">
      <c r="A1021" t="s">
        <v>55</v>
      </c>
      <c r="B1021">
        <v>1</v>
      </c>
      <c r="E1021" t="s">
        <v>3395</v>
      </c>
      <c r="F1021" t="s">
        <v>3396</v>
      </c>
      <c r="G1021" t="s">
        <v>3397</v>
      </c>
      <c r="I1021" t="s">
        <v>3338</v>
      </c>
      <c r="J1021" t="s">
        <v>2232</v>
      </c>
      <c r="K1021" t="s">
        <v>2233</v>
      </c>
      <c r="L1021" t="s">
        <v>3342</v>
      </c>
      <c r="N1021" t="s">
        <v>3404</v>
      </c>
      <c r="O1021" t="s">
        <v>3405</v>
      </c>
      <c r="P1021">
        <v>41393779</v>
      </c>
    </row>
    <row r="1022" spans="1:16">
      <c r="A1022" t="s">
        <v>55</v>
      </c>
      <c r="B1022">
        <v>0</v>
      </c>
      <c r="G1022" t="s">
        <v>3338</v>
      </c>
      <c r="I1022" t="s">
        <v>3338</v>
      </c>
      <c r="N1022" t="s">
        <v>3406</v>
      </c>
      <c r="O1022" t="s">
        <v>3407</v>
      </c>
      <c r="P1022">
        <v>41393779</v>
      </c>
    </row>
    <row r="1023" spans="1:16">
      <c r="A1023" t="s">
        <v>55</v>
      </c>
      <c r="B1023">
        <v>1</v>
      </c>
      <c r="E1023" t="s">
        <v>3406</v>
      </c>
      <c r="F1023" t="s">
        <v>3407</v>
      </c>
      <c r="G1023" t="s">
        <v>3408</v>
      </c>
      <c r="I1023" t="s">
        <v>3338</v>
      </c>
      <c r="J1023" t="s">
        <v>2421</v>
      </c>
      <c r="K1023" t="s">
        <v>3354</v>
      </c>
      <c r="L1023" t="s">
        <v>3369</v>
      </c>
      <c r="N1023" t="s">
        <v>3409</v>
      </c>
      <c r="O1023" t="s">
        <v>3410</v>
      </c>
      <c r="P1023">
        <v>41393779</v>
      </c>
    </row>
    <row r="1024" spans="1:16">
      <c r="A1024" t="s">
        <v>55</v>
      </c>
      <c r="B1024">
        <v>1</v>
      </c>
      <c r="E1024" t="s">
        <v>3406</v>
      </c>
      <c r="F1024" t="s">
        <v>3407</v>
      </c>
      <c r="G1024" t="s">
        <v>3408</v>
      </c>
      <c r="I1024" t="s">
        <v>3338</v>
      </c>
      <c r="L1024" t="s">
        <v>193</v>
      </c>
      <c r="N1024" t="s">
        <v>3411</v>
      </c>
      <c r="O1024" t="s">
        <v>3412</v>
      </c>
      <c r="P1024">
        <v>41393779</v>
      </c>
    </row>
    <row r="1025" spans="1:16">
      <c r="A1025" t="s">
        <v>55</v>
      </c>
      <c r="B1025">
        <v>2</v>
      </c>
      <c r="E1025" t="s">
        <v>3411</v>
      </c>
      <c r="F1025" t="s">
        <v>3412</v>
      </c>
      <c r="G1025" t="s">
        <v>3413</v>
      </c>
      <c r="I1025" t="s">
        <v>3338</v>
      </c>
      <c r="L1025" t="s">
        <v>3342</v>
      </c>
      <c r="N1025" t="s">
        <v>3414</v>
      </c>
      <c r="O1025" t="s">
        <v>3415</v>
      </c>
      <c r="P1025">
        <v>41393779</v>
      </c>
    </row>
    <row r="1026" spans="1:16">
      <c r="A1026" t="s">
        <v>55</v>
      </c>
      <c r="B1026">
        <v>2</v>
      </c>
      <c r="E1026" t="s">
        <v>3411</v>
      </c>
      <c r="F1026" t="s">
        <v>3412</v>
      </c>
      <c r="G1026" t="s">
        <v>3413</v>
      </c>
      <c r="I1026" t="s">
        <v>3338</v>
      </c>
      <c r="J1026" t="s">
        <v>2232</v>
      </c>
      <c r="K1026" t="s">
        <v>2233</v>
      </c>
      <c r="L1026" t="s">
        <v>3342</v>
      </c>
      <c r="N1026" t="s">
        <v>3416</v>
      </c>
      <c r="O1026" t="s">
        <v>3417</v>
      </c>
      <c r="P1026">
        <v>41393779</v>
      </c>
    </row>
    <row r="1027" spans="1:16">
      <c r="A1027" t="s">
        <v>55</v>
      </c>
      <c r="B1027">
        <v>2</v>
      </c>
      <c r="E1027" t="s">
        <v>3411</v>
      </c>
      <c r="F1027" t="s">
        <v>3412</v>
      </c>
      <c r="G1027" t="s">
        <v>3413</v>
      </c>
      <c r="I1027" t="s">
        <v>3338</v>
      </c>
      <c r="J1027" t="s">
        <v>2232</v>
      </c>
      <c r="K1027" t="s">
        <v>2233</v>
      </c>
      <c r="L1027" t="s">
        <v>3342</v>
      </c>
      <c r="N1027" t="s">
        <v>3418</v>
      </c>
      <c r="O1027" t="s">
        <v>3419</v>
      </c>
      <c r="P1027">
        <v>41393779</v>
      </c>
    </row>
    <row r="1028" spans="1:16">
      <c r="A1028" t="s">
        <v>55</v>
      </c>
      <c r="B1028">
        <v>2</v>
      </c>
      <c r="E1028" t="s">
        <v>3411</v>
      </c>
      <c r="F1028" t="s">
        <v>3412</v>
      </c>
      <c r="G1028" t="s">
        <v>3413</v>
      </c>
      <c r="I1028" t="s">
        <v>3338</v>
      </c>
      <c r="L1028" t="s">
        <v>3342</v>
      </c>
      <c r="N1028" t="s">
        <v>3420</v>
      </c>
      <c r="O1028" t="s">
        <v>3421</v>
      </c>
      <c r="P1028">
        <v>41393779</v>
      </c>
    </row>
    <row r="1029" spans="1:16">
      <c r="A1029" t="s">
        <v>55</v>
      </c>
      <c r="B1029">
        <v>2</v>
      </c>
      <c r="E1029" t="s">
        <v>3411</v>
      </c>
      <c r="F1029" t="s">
        <v>3412</v>
      </c>
      <c r="G1029" t="s">
        <v>3413</v>
      </c>
      <c r="I1029" t="s">
        <v>3338</v>
      </c>
      <c r="J1029" t="s">
        <v>2232</v>
      </c>
      <c r="K1029" t="s">
        <v>2233</v>
      </c>
      <c r="L1029" t="s">
        <v>3342</v>
      </c>
      <c r="N1029" t="s">
        <v>3422</v>
      </c>
      <c r="O1029" t="s">
        <v>3423</v>
      </c>
      <c r="P1029">
        <v>41393779</v>
      </c>
    </row>
    <row r="1030" spans="1:16">
      <c r="A1030" t="s">
        <v>55</v>
      </c>
      <c r="B1030">
        <v>0</v>
      </c>
      <c r="G1030" t="s">
        <v>3338</v>
      </c>
      <c r="I1030" t="s">
        <v>3338</v>
      </c>
      <c r="N1030" t="s">
        <v>3424</v>
      </c>
      <c r="O1030" t="s">
        <v>3425</v>
      </c>
      <c r="P1030">
        <v>41393779</v>
      </c>
    </row>
    <row r="1031" spans="1:16">
      <c r="A1031" t="s">
        <v>55</v>
      </c>
      <c r="B1031">
        <v>1</v>
      </c>
      <c r="E1031" t="s">
        <v>3424</v>
      </c>
      <c r="F1031" t="s">
        <v>3425</v>
      </c>
      <c r="G1031" t="s">
        <v>3426</v>
      </c>
      <c r="I1031" t="s">
        <v>3338</v>
      </c>
      <c r="J1031" t="s">
        <v>2421</v>
      </c>
      <c r="K1031" t="s">
        <v>3354</v>
      </c>
      <c r="L1031" t="s">
        <v>3369</v>
      </c>
      <c r="N1031" t="s">
        <v>3427</v>
      </c>
      <c r="O1031" t="s">
        <v>3428</v>
      </c>
      <c r="P1031">
        <v>41393779</v>
      </c>
    </row>
    <row r="1032" spans="1:16">
      <c r="A1032" t="s">
        <v>55</v>
      </c>
      <c r="B1032">
        <v>1</v>
      </c>
      <c r="E1032" t="s">
        <v>3424</v>
      </c>
      <c r="F1032" t="s">
        <v>3425</v>
      </c>
      <c r="G1032" t="s">
        <v>3426</v>
      </c>
      <c r="I1032" t="s">
        <v>3338</v>
      </c>
      <c r="J1032" t="s">
        <v>2421</v>
      </c>
      <c r="K1032" t="s">
        <v>3354</v>
      </c>
      <c r="L1032" t="s">
        <v>3369</v>
      </c>
      <c r="N1032" t="s">
        <v>3429</v>
      </c>
      <c r="O1032" t="s">
        <v>3430</v>
      </c>
      <c r="P1032">
        <v>41393779</v>
      </c>
    </row>
    <row r="1033" spans="1:16">
      <c r="A1033" t="s">
        <v>55</v>
      </c>
      <c r="B1033">
        <v>1</v>
      </c>
      <c r="E1033" t="s">
        <v>3424</v>
      </c>
      <c r="F1033" t="s">
        <v>3425</v>
      </c>
      <c r="G1033" t="s">
        <v>3426</v>
      </c>
      <c r="I1033" t="s">
        <v>3338</v>
      </c>
      <c r="J1033" t="s">
        <v>2232</v>
      </c>
      <c r="K1033" t="s">
        <v>2233</v>
      </c>
      <c r="L1033" t="s">
        <v>3342</v>
      </c>
      <c r="N1033" t="s">
        <v>3431</v>
      </c>
      <c r="O1033" t="s">
        <v>3432</v>
      </c>
      <c r="P1033">
        <v>41393779</v>
      </c>
    </row>
    <row r="1034" spans="1:16">
      <c r="A1034" t="s">
        <v>55</v>
      </c>
      <c r="B1034">
        <v>0</v>
      </c>
      <c r="G1034" t="s">
        <v>3338</v>
      </c>
      <c r="I1034" t="s">
        <v>3338</v>
      </c>
      <c r="N1034" t="s">
        <v>3433</v>
      </c>
      <c r="O1034" t="s">
        <v>3434</v>
      </c>
      <c r="P1034">
        <v>41393779</v>
      </c>
    </row>
    <row r="1035" spans="1:16">
      <c r="A1035" t="s">
        <v>55</v>
      </c>
      <c r="B1035">
        <v>1</v>
      </c>
      <c r="E1035" t="s">
        <v>3433</v>
      </c>
      <c r="F1035" t="s">
        <v>3434</v>
      </c>
      <c r="G1035" t="s">
        <v>3435</v>
      </c>
      <c r="I1035" t="s">
        <v>3338</v>
      </c>
      <c r="J1035" t="s">
        <v>2232</v>
      </c>
      <c r="K1035" t="s">
        <v>2233</v>
      </c>
      <c r="L1035" t="s">
        <v>3342</v>
      </c>
      <c r="N1035" t="s">
        <v>3436</v>
      </c>
      <c r="O1035" t="s">
        <v>3437</v>
      </c>
      <c r="P1035">
        <v>41393779</v>
      </c>
    </row>
    <row r="1036" spans="1:16">
      <c r="A1036" t="s">
        <v>55</v>
      </c>
      <c r="B1036">
        <v>1</v>
      </c>
      <c r="E1036" t="s">
        <v>3433</v>
      </c>
      <c r="F1036" t="s">
        <v>3434</v>
      </c>
      <c r="G1036" t="s">
        <v>3435</v>
      </c>
      <c r="I1036" t="s">
        <v>3338</v>
      </c>
      <c r="J1036" t="s">
        <v>2232</v>
      </c>
      <c r="K1036" t="s">
        <v>2233</v>
      </c>
      <c r="L1036" t="s">
        <v>3342</v>
      </c>
      <c r="N1036" t="s">
        <v>3438</v>
      </c>
      <c r="O1036" t="s">
        <v>3439</v>
      </c>
      <c r="P1036">
        <v>41393779</v>
      </c>
    </row>
    <row r="1037" spans="1:16">
      <c r="A1037" t="s">
        <v>55</v>
      </c>
      <c r="B1037">
        <v>1</v>
      </c>
      <c r="E1037" t="s">
        <v>3433</v>
      </c>
      <c r="F1037" t="s">
        <v>3434</v>
      </c>
      <c r="G1037" t="s">
        <v>3435</v>
      </c>
      <c r="I1037" t="s">
        <v>3338</v>
      </c>
      <c r="J1037" t="s">
        <v>2232</v>
      </c>
      <c r="K1037" t="s">
        <v>2233</v>
      </c>
      <c r="L1037" t="s">
        <v>3342</v>
      </c>
      <c r="N1037" t="s">
        <v>3440</v>
      </c>
      <c r="O1037" t="s">
        <v>3441</v>
      </c>
      <c r="P1037">
        <v>41393779</v>
      </c>
    </row>
    <row r="1038" spans="1:16">
      <c r="A1038" t="s">
        <v>55</v>
      </c>
      <c r="B1038">
        <v>1</v>
      </c>
      <c r="E1038" t="s">
        <v>3433</v>
      </c>
      <c r="F1038" t="s">
        <v>3434</v>
      </c>
      <c r="G1038" t="s">
        <v>3435</v>
      </c>
      <c r="I1038" t="s">
        <v>3338</v>
      </c>
      <c r="J1038" t="s">
        <v>2232</v>
      </c>
      <c r="K1038" t="s">
        <v>2233</v>
      </c>
      <c r="L1038" t="s">
        <v>3342</v>
      </c>
      <c r="N1038" t="s">
        <v>3442</v>
      </c>
      <c r="O1038" t="s">
        <v>3443</v>
      </c>
      <c r="P1038">
        <v>41393779</v>
      </c>
    </row>
    <row r="1039" spans="1:16">
      <c r="A1039" t="s">
        <v>55</v>
      </c>
      <c r="B1039">
        <v>1</v>
      </c>
      <c r="E1039" t="s">
        <v>3433</v>
      </c>
      <c r="F1039" t="s">
        <v>3434</v>
      </c>
      <c r="G1039" t="s">
        <v>3435</v>
      </c>
      <c r="I1039" t="s">
        <v>3338</v>
      </c>
      <c r="J1039" t="s">
        <v>2232</v>
      </c>
      <c r="K1039" t="s">
        <v>2233</v>
      </c>
      <c r="L1039" t="s">
        <v>3342</v>
      </c>
      <c r="N1039" t="s">
        <v>3444</v>
      </c>
      <c r="O1039" t="s">
        <v>3445</v>
      </c>
      <c r="P1039">
        <v>41393779</v>
      </c>
    </row>
    <row r="1040" spans="1:16">
      <c r="A1040" t="s">
        <v>55</v>
      </c>
      <c r="B1040">
        <v>1</v>
      </c>
      <c r="E1040" t="s">
        <v>3433</v>
      </c>
      <c r="F1040" t="s">
        <v>3434</v>
      </c>
      <c r="G1040" t="s">
        <v>3435</v>
      </c>
      <c r="I1040" t="s">
        <v>3338</v>
      </c>
      <c r="J1040" t="s">
        <v>2232</v>
      </c>
      <c r="K1040" t="s">
        <v>2233</v>
      </c>
      <c r="L1040" t="s">
        <v>3342</v>
      </c>
      <c r="N1040" t="s">
        <v>3446</v>
      </c>
      <c r="O1040" t="s">
        <v>3447</v>
      </c>
      <c r="P1040">
        <v>41393779</v>
      </c>
    </row>
    <row r="1041" spans="1:16">
      <c r="A1041" t="s">
        <v>55</v>
      </c>
      <c r="B1041">
        <v>0</v>
      </c>
      <c r="G1041" t="s">
        <v>3338</v>
      </c>
      <c r="I1041" t="s">
        <v>3338</v>
      </c>
      <c r="N1041" t="s">
        <v>3448</v>
      </c>
      <c r="O1041" t="s">
        <v>3449</v>
      </c>
      <c r="P1041">
        <v>41393779</v>
      </c>
    </row>
    <row r="1042" spans="1:16">
      <c r="A1042" t="s">
        <v>55</v>
      </c>
      <c r="B1042">
        <v>1</v>
      </c>
      <c r="E1042" t="s">
        <v>3448</v>
      </c>
      <c r="F1042" t="s">
        <v>3449</v>
      </c>
      <c r="G1042" t="s">
        <v>3450</v>
      </c>
      <c r="I1042" t="s">
        <v>3338</v>
      </c>
      <c r="J1042" t="s">
        <v>2421</v>
      </c>
      <c r="K1042" t="s">
        <v>3354</v>
      </c>
      <c r="L1042" t="s">
        <v>3451</v>
      </c>
      <c r="N1042" t="s">
        <v>3452</v>
      </c>
      <c r="O1042" t="s">
        <v>3453</v>
      </c>
      <c r="P1042">
        <v>41393779</v>
      </c>
    </row>
    <row r="1043" spans="1:16">
      <c r="A1043" t="s">
        <v>55</v>
      </c>
      <c r="B1043">
        <v>0</v>
      </c>
      <c r="G1043" t="s">
        <v>3456</v>
      </c>
      <c r="I1043" t="s">
        <v>3456</v>
      </c>
      <c r="M1043" t="s">
        <v>3460</v>
      </c>
      <c r="N1043" t="s">
        <v>3461</v>
      </c>
      <c r="O1043" t="s">
        <v>3462</v>
      </c>
      <c r="P1043">
        <v>41393779</v>
      </c>
    </row>
    <row r="1044" spans="1:16">
      <c r="A1044" t="s">
        <v>55</v>
      </c>
      <c r="B1044">
        <v>0</v>
      </c>
      <c r="G1044" t="s">
        <v>3456</v>
      </c>
      <c r="I1044" t="s">
        <v>3456</v>
      </c>
      <c r="M1044" t="s">
        <v>3463</v>
      </c>
      <c r="N1044" t="s">
        <v>3483</v>
      </c>
      <c r="O1044" t="s">
        <v>3484</v>
      </c>
      <c r="P1044">
        <v>41393779</v>
      </c>
    </row>
    <row r="1045" spans="1:16">
      <c r="A1045" t="s">
        <v>57</v>
      </c>
      <c r="B1045">
        <v>0</v>
      </c>
      <c r="G1045" t="s">
        <v>3338</v>
      </c>
      <c r="I1045" t="s">
        <v>3338</v>
      </c>
      <c r="N1045" t="s">
        <v>3339</v>
      </c>
      <c r="O1045" t="s">
        <v>3340</v>
      </c>
      <c r="P1045">
        <v>41359860</v>
      </c>
    </row>
    <row r="1046" spans="1:16">
      <c r="A1046" t="s">
        <v>57</v>
      </c>
      <c r="B1046">
        <v>1</v>
      </c>
      <c r="E1046" t="s">
        <v>3339</v>
      </c>
      <c r="F1046" t="s">
        <v>3340</v>
      </c>
      <c r="G1046" t="s">
        <v>3341</v>
      </c>
      <c r="I1046" t="s">
        <v>3338</v>
      </c>
      <c r="J1046" t="s">
        <v>2232</v>
      </c>
      <c r="K1046" t="s">
        <v>2233</v>
      </c>
      <c r="L1046" t="s">
        <v>3342</v>
      </c>
      <c r="N1046" t="s">
        <v>3343</v>
      </c>
      <c r="O1046" t="s">
        <v>3344</v>
      </c>
      <c r="P1046">
        <v>41359860</v>
      </c>
    </row>
    <row r="1047" spans="1:16">
      <c r="A1047" t="s">
        <v>57</v>
      </c>
      <c r="B1047">
        <v>1</v>
      </c>
      <c r="E1047" t="s">
        <v>3339</v>
      </c>
      <c r="F1047" t="s">
        <v>3340</v>
      </c>
      <c r="G1047" t="s">
        <v>3341</v>
      </c>
      <c r="I1047" t="s">
        <v>3338</v>
      </c>
      <c r="J1047" t="s">
        <v>2232</v>
      </c>
      <c r="K1047" t="s">
        <v>2233</v>
      </c>
      <c r="L1047" t="s">
        <v>3342</v>
      </c>
      <c r="N1047" t="s">
        <v>3345</v>
      </c>
      <c r="O1047" t="s">
        <v>3346</v>
      </c>
      <c r="P1047">
        <v>41359860</v>
      </c>
    </row>
    <row r="1048" spans="1:16">
      <c r="A1048" t="s">
        <v>57</v>
      </c>
      <c r="B1048">
        <v>0</v>
      </c>
      <c r="G1048" t="s">
        <v>3338</v>
      </c>
      <c r="I1048" t="s">
        <v>3338</v>
      </c>
      <c r="N1048" t="s">
        <v>3347</v>
      </c>
      <c r="O1048" t="s">
        <v>3344</v>
      </c>
      <c r="P1048">
        <v>41359860</v>
      </c>
    </row>
    <row r="1049" spans="1:16">
      <c r="A1049" t="s">
        <v>57</v>
      </c>
      <c r="B1049">
        <v>1</v>
      </c>
      <c r="E1049" t="s">
        <v>3347</v>
      </c>
      <c r="F1049" t="s">
        <v>3344</v>
      </c>
      <c r="G1049" t="s">
        <v>3348</v>
      </c>
      <c r="I1049" t="s">
        <v>3338</v>
      </c>
      <c r="J1049" t="s">
        <v>2232</v>
      </c>
      <c r="K1049" t="s">
        <v>2233</v>
      </c>
      <c r="L1049" t="s">
        <v>3342</v>
      </c>
      <c r="N1049" t="s">
        <v>3349</v>
      </c>
      <c r="O1049" t="s">
        <v>3350</v>
      </c>
      <c r="P1049">
        <v>41359860</v>
      </c>
    </row>
    <row r="1050" spans="1:16">
      <c r="A1050" t="s">
        <v>57</v>
      </c>
      <c r="B1050">
        <v>1</v>
      </c>
      <c r="E1050" t="s">
        <v>3347</v>
      </c>
      <c r="F1050" t="s">
        <v>3344</v>
      </c>
      <c r="G1050" t="s">
        <v>3348</v>
      </c>
      <c r="I1050" t="s">
        <v>3338</v>
      </c>
      <c r="L1050" t="s">
        <v>193</v>
      </c>
      <c r="N1050" t="s">
        <v>3351</v>
      </c>
      <c r="O1050" t="s">
        <v>3352</v>
      </c>
      <c r="P1050">
        <v>41359860</v>
      </c>
    </row>
    <row r="1051" spans="1:16">
      <c r="A1051" t="s">
        <v>57</v>
      </c>
      <c r="B1051">
        <v>2</v>
      </c>
      <c r="E1051" t="s">
        <v>3351</v>
      </c>
      <c r="F1051" t="s">
        <v>3352</v>
      </c>
      <c r="G1051" t="s">
        <v>3353</v>
      </c>
      <c r="I1051" t="s">
        <v>3338</v>
      </c>
      <c r="J1051" t="s">
        <v>2421</v>
      </c>
      <c r="K1051" t="s">
        <v>3354</v>
      </c>
      <c r="L1051" t="s">
        <v>3355</v>
      </c>
      <c r="N1051" t="s">
        <v>3356</v>
      </c>
      <c r="O1051" t="s">
        <v>3357</v>
      </c>
      <c r="P1051">
        <v>41359860</v>
      </c>
    </row>
    <row r="1052" spans="1:16">
      <c r="A1052" t="s">
        <v>57</v>
      </c>
      <c r="B1052">
        <v>2</v>
      </c>
      <c r="E1052" t="s">
        <v>3351</v>
      </c>
      <c r="F1052" t="s">
        <v>3352</v>
      </c>
      <c r="G1052" t="s">
        <v>3353</v>
      </c>
      <c r="I1052" t="s">
        <v>3338</v>
      </c>
      <c r="J1052" t="s">
        <v>2421</v>
      </c>
      <c r="K1052" t="s">
        <v>3354</v>
      </c>
      <c r="L1052" t="s">
        <v>3355</v>
      </c>
      <c r="N1052" t="s">
        <v>3358</v>
      </c>
      <c r="O1052" t="s">
        <v>3359</v>
      </c>
      <c r="P1052">
        <v>41359860</v>
      </c>
    </row>
    <row r="1053" spans="1:16">
      <c r="A1053" t="s">
        <v>57</v>
      </c>
      <c r="B1053">
        <v>2</v>
      </c>
      <c r="E1053" t="s">
        <v>3351</v>
      </c>
      <c r="F1053" t="s">
        <v>3352</v>
      </c>
      <c r="G1053" t="s">
        <v>3353</v>
      </c>
      <c r="I1053" t="s">
        <v>3338</v>
      </c>
      <c r="J1053" t="s">
        <v>2421</v>
      </c>
      <c r="K1053" t="s">
        <v>3354</v>
      </c>
      <c r="L1053" t="s">
        <v>3355</v>
      </c>
      <c r="N1053" t="s">
        <v>3360</v>
      </c>
      <c r="O1053" t="s">
        <v>3361</v>
      </c>
      <c r="P1053">
        <v>41359860</v>
      </c>
    </row>
    <row r="1054" spans="1:16">
      <c r="A1054" t="s">
        <v>57</v>
      </c>
      <c r="B1054">
        <v>1</v>
      </c>
      <c r="E1054" t="s">
        <v>3347</v>
      </c>
      <c r="F1054" t="s">
        <v>3344</v>
      </c>
      <c r="G1054" t="s">
        <v>3348</v>
      </c>
      <c r="I1054" t="s">
        <v>3338</v>
      </c>
      <c r="J1054" t="s">
        <v>2236</v>
      </c>
      <c r="K1054" t="s">
        <v>3362</v>
      </c>
      <c r="L1054" t="s">
        <v>3363</v>
      </c>
      <c r="N1054" t="s">
        <v>3364</v>
      </c>
      <c r="O1054" t="s">
        <v>3365</v>
      </c>
      <c r="P1054">
        <v>41359860</v>
      </c>
    </row>
    <row r="1055" spans="1:16">
      <c r="A1055" t="s">
        <v>57</v>
      </c>
      <c r="B1055">
        <v>1</v>
      </c>
      <c r="E1055" t="s">
        <v>3347</v>
      </c>
      <c r="F1055" t="s">
        <v>3344</v>
      </c>
      <c r="G1055" t="s">
        <v>3348</v>
      </c>
      <c r="I1055" t="s">
        <v>3338</v>
      </c>
      <c r="L1055" t="s">
        <v>193</v>
      </c>
      <c r="N1055" t="s">
        <v>3366</v>
      </c>
      <c r="O1055" t="s">
        <v>3367</v>
      </c>
      <c r="P1055">
        <v>41359860</v>
      </c>
    </row>
    <row r="1056" spans="1:16">
      <c r="A1056" t="s">
        <v>57</v>
      </c>
      <c r="B1056">
        <v>2</v>
      </c>
      <c r="E1056" t="s">
        <v>3366</v>
      </c>
      <c r="F1056" t="s">
        <v>3367</v>
      </c>
      <c r="G1056" t="s">
        <v>3368</v>
      </c>
      <c r="I1056" t="s">
        <v>3338</v>
      </c>
      <c r="J1056" t="s">
        <v>2421</v>
      </c>
      <c r="K1056" t="s">
        <v>3354</v>
      </c>
      <c r="L1056" t="s">
        <v>3369</v>
      </c>
      <c r="N1056" t="s">
        <v>3370</v>
      </c>
      <c r="O1056" t="s">
        <v>3359</v>
      </c>
      <c r="P1056">
        <v>41359860</v>
      </c>
    </row>
    <row r="1057" spans="1:16">
      <c r="A1057" t="s">
        <v>57</v>
      </c>
      <c r="B1057">
        <v>2</v>
      </c>
      <c r="E1057" t="s">
        <v>3366</v>
      </c>
      <c r="F1057" t="s">
        <v>3367</v>
      </c>
      <c r="G1057" t="s">
        <v>3368</v>
      </c>
      <c r="I1057" t="s">
        <v>3338</v>
      </c>
      <c r="J1057" t="s">
        <v>2421</v>
      </c>
      <c r="K1057" t="s">
        <v>3354</v>
      </c>
      <c r="L1057" t="s">
        <v>3369</v>
      </c>
      <c r="N1057" t="s">
        <v>3371</v>
      </c>
      <c r="O1057" t="s">
        <v>3372</v>
      </c>
      <c r="P1057">
        <v>41359860</v>
      </c>
    </row>
    <row r="1058" spans="1:16">
      <c r="A1058" t="s">
        <v>57</v>
      </c>
      <c r="B1058">
        <v>2</v>
      </c>
      <c r="E1058" t="s">
        <v>3366</v>
      </c>
      <c r="F1058" t="s">
        <v>3367</v>
      </c>
      <c r="G1058" t="s">
        <v>3368</v>
      </c>
      <c r="I1058" t="s">
        <v>3338</v>
      </c>
      <c r="J1058" t="s">
        <v>2421</v>
      </c>
      <c r="K1058" t="s">
        <v>3354</v>
      </c>
      <c r="L1058" t="s">
        <v>3369</v>
      </c>
      <c r="N1058" t="s">
        <v>3373</v>
      </c>
      <c r="O1058" t="s">
        <v>3374</v>
      </c>
      <c r="P1058">
        <v>41359860</v>
      </c>
    </row>
    <row r="1059" spans="1:16">
      <c r="A1059" t="s">
        <v>57</v>
      </c>
      <c r="B1059">
        <v>2</v>
      </c>
      <c r="E1059" t="s">
        <v>3366</v>
      </c>
      <c r="F1059" t="s">
        <v>3367</v>
      </c>
      <c r="G1059" t="s">
        <v>3368</v>
      </c>
      <c r="I1059" t="s">
        <v>3338</v>
      </c>
      <c r="J1059" t="s">
        <v>2236</v>
      </c>
      <c r="K1059" t="s">
        <v>3362</v>
      </c>
      <c r="L1059" t="s">
        <v>3363</v>
      </c>
      <c r="N1059" t="s">
        <v>3375</v>
      </c>
      <c r="O1059" t="s">
        <v>3376</v>
      </c>
      <c r="P1059">
        <v>41359860</v>
      </c>
    </row>
    <row r="1060" spans="1:16">
      <c r="A1060" t="s">
        <v>57</v>
      </c>
      <c r="B1060">
        <v>0</v>
      </c>
      <c r="G1060" t="s">
        <v>3338</v>
      </c>
      <c r="I1060" t="s">
        <v>3338</v>
      </c>
      <c r="N1060" t="s">
        <v>3377</v>
      </c>
      <c r="O1060" t="s">
        <v>3346</v>
      </c>
      <c r="P1060">
        <v>41359860</v>
      </c>
    </row>
    <row r="1061" spans="1:16">
      <c r="A1061" t="s">
        <v>57</v>
      </c>
      <c r="B1061">
        <v>1</v>
      </c>
      <c r="E1061" t="s">
        <v>3377</v>
      </c>
      <c r="F1061" t="s">
        <v>3346</v>
      </c>
      <c r="G1061" t="s">
        <v>3378</v>
      </c>
      <c r="I1061" t="s">
        <v>3338</v>
      </c>
      <c r="L1061" t="s">
        <v>193</v>
      </c>
      <c r="N1061" t="s">
        <v>3379</v>
      </c>
      <c r="O1061" t="s">
        <v>3380</v>
      </c>
      <c r="P1061">
        <v>41359860</v>
      </c>
    </row>
    <row r="1062" spans="1:16">
      <c r="A1062" t="s">
        <v>57</v>
      </c>
      <c r="B1062">
        <v>2</v>
      </c>
      <c r="E1062" t="s">
        <v>3379</v>
      </c>
      <c r="F1062" t="s">
        <v>3380</v>
      </c>
      <c r="G1062" t="s">
        <v>3381</v>
      </c>
      <c r="I1062" t="s">
        <v>3338</v>
      </c>
      <c r="J1062" t="s">
        <v>2421</v>
      </c>
      <c r="K1062" t="s">
        <v>3354</v>
      </c>
      <c r="L1062" t="s">
        <v>3369</v>
      </c>
      <c r="N1062" t="s">
        <v>3382</v>
      </c>
      <c r="O1062" t="s">
        <v>3352</v>
      </c>
      <c r="P1062">
        <v>41359860</v>
      </c>
    </row>
    <row r="1063" spans="1:16">
      <c r="A1063" t="s">
        <v>57</v>
      </c>
      <c r="B1063">
        <v>2</v>
      </c>
      <c r="E1063" t="s">
        <v>3379</v>
      </c>
      <c r="F1063" t="s">
        <v>3380</v>
      </c>
      <c r="G1063" t="s">
        <v>3381</v>
      </c>
      <c r="I1063" t="s">
        <v>3338</v>
      </c>
      <c r="J1063" t="s">
        <v>2236</v>
      </c>
      <c r="K1063" t="s">
        <v>3362</v>
      </c>
      <c r="L1063" t="s">
        <v>3383</v>
      </c>
      <c r="N1063" t="s">
        <v>3384</v>
      </c>
      <c r="O1063" t="s">
        <v>3385</v>
      </c>
      <c r="P1063">
        <v>41359860</v>
      </c>
    </row>
    <row r="1064" spans="1:16">
      <c r="A1064" t="s">
        <v>57</v>
      </c>
      <c r="B1064">
        <v>2</v>
      </c>
      <c r="E1064" t="s">
        <v>3379</v>
      </c>
      <c r="F1064" t="s">
        <v>3380</v>
      </c>
      <c r="G1064" t="s">
        <v>3381</v>
      </c>
      <c r="I1064" t="s">
        <v>3338</v>
      </c>
      <c r="J1064" t="s">
        <v>2232</v>
      </c>
      <c r="K1064" t="s">
        <v>2233</v>
      </c>
      <c r="L1064" t="s">
        <v>3342</v>
      </c>
      <c r="N1064" t="s">
        <v>3386</v>
      </c>
      <c r="O1064" t="s">
        <v>3350</v>
      </c>
      <c r="P1064">
        <v>41359860</v>
      </c>
    </row>
    <row r="1065" spans="1:16">
      <c r="A1065" t="s">
        <v>57</v>
      </c>
      <c r="B1065">
        <v>1</v>
      </c>
      <c r="E1065" t="s">
        <v>3377</v>
      </c>
      <c r="F1065" t="s">
        <v>3346</v>
      </c>
      <c r="G1065" t="s">
        <v>3378</v>
      </c>
      <c r="I1065" t="s">
        <v>3338</v>
      </c>
      <c r="L1065" t="s">
        <v>193</v>
      </c>
      <c r="N1065" t="s">
        <v>3387</v>
      </c>
      <c r="O1065" t="s">
        <v>3388</v>
      </c>
      <c r="P1065">
        <v>41359860</v>
      </c>
    </row>
    <row r="1066" spans="1:16">
      <c r="A1066" t="s">
        <v>57</v>
      </c>
      <c r="B1066">
        <v>2</v>
      </c>
      <c r="E1066" t="s">
        <v>3387</v>
      </c>
      <c r="F1066" t="s">
        <v>3388</v>
      </c>
      <c r="G1066" t="s">
        <v>3389</v>
      </c>
      <c r="I1066" t="s">
        <v>3338</v>
      </c>
      <c r="L1066" t="s">
        <v>3369</v>
      </c>
      <c r="N1066" t="s">
        <v>3390</v>
      </c>
      <c r="O1066" t="s">
        <v>3352</v>
      </c>
      <c r="P1066">
        <v>41359860</v>
      </c>
    </row>
    <row r="1067" spans="1:16">
      <c r="A1067" t="s">
        <v>57</v>
      </c>
      <c r="B1067">
        <v>2</v>
      </c>
      <c r="E1067" t="s">
        <v>3387</v>
      </c>
      <c r="F1067" t="s">
        <v>3388</v>
      </c>
      <c r="G1067" t="s">
        <v>3389</v>
      </c>
      <c r="I1067" t="s">
        <v>3338</v>
      </c>
      <c r="L1067" t="s">
        <v>3342</v>
      </c>
      <c r="N1067" t="s">
        <v>3391</v>
      </c>
      <c r="O1067" t="s">
        <v>3392</v>
      </c>
      <c r="P1067">
        <v>41359860</v>
      </c>
    </row>
    <row r="1068" spans="1:16">
      <c r="A1068" t="s">
        <v>57</v>
      </c>
      <c r="B1068">
        <v>2</v>
      </c>
      <c r="E1068" t="s">
        <v>3387</v>
      </c>
      <c r="F1068" t="s">
        <v>3388</v>
      </c>
      <c r="G1068" t="s">
        <v>3389</v>
      </c>
      <c r="I1068" t="s">
        <v>3338</v>
      </c>
      <c r="L1068" t="s">
        <v>3383</v>
      </c>
      <c r="N1068" t="s">
        <v>3393</v>
      </c>
      <c r="O1068" t="s">
        <v>3385</v>
      </c>
      <c r="P1068">
        <v>41359860</v>
      </c>
    </row>
    <row r="1069" spans="1:16">
      <c r="A1069" t="s">
        <v>57</v>
      </c>
      <c r="B1069">
        <v>2</v>
      </c>
      <c r="E1069" t="s">
        <v>3387</v>
      </c>
      <c r="F1069" t="s">
        <v>3388</v>
      </c>
      <c r="G1069" t="s">
        <v>3389</v>
      </c>
      <c r="I1069" t="s">
        <v>3338</v>
      </c>
      <c r="L1069" t="s">
        <v>3342</v>
      </c>
      <c r="N1069" t="s">
        <v>3394</v>
      </c>
      <c r="O1069" t="s">
        <v>3350</v>
      </c>
      <c r="P1069">
        <v>41359860</v>
      </c>
    </row>
    <row r="1070" spans="1:16">
      <c r="A1070" t="s">
        <v>57</v>
      </c>
      <c r="B1070">
        <v>0</v>
      </c>
      <c r="G1070" t="s">
        <v>3338</v>
      </c>
      <c r="I1070" t="s">
        <v>3338</v>
      </c>
      <c r="N1070" t="s">
        <v>3395</v>
      </c>
      <c r="O1070" t="s">
        <v>3396</v>
      </c>
      <c r="P1070">
        <v>41359860</v>
      </c>
    </row>
    <row r="1071" spans="1:16">
      <c r="A1071" t="s">
        <v>57</v>
      </c>
      <c r="B1071">
        <v>1</v>
      </c>
      <c r="E1071" t="s">
        <v>3395</v>
      </c>
      <c r="F1071" t="s">
        <v>3396</v>
      </c>
      <c r="G1071" t="s">
        <v>3397</v>
      </c>
      <c r="I1071" t="s">
        <v>3338</v>
      </c>
      <c r="L1071" t="s">
        <v>3342</v>
      </c>
      <c r="N1071" t="s">
        <v>3398</v>
      </c>
      <c r="O1071" t="s">
        <v>3399</v>
      </c>
      <c r="P1071">
        <v>41359860</v>
      </c>
    </row>
    <row r="1072" spans="1:16">
      <c r="A1072" t="s">
        <v>57</v>
      </c>
      <c r="B1072">
        <v>1</v>
      </c>
      <c r="E1072" t="s">
        <v>3395</v>
      </c>
      <c r="F1072" t="s">
        <v>3396</v>
      </c>
      <c r="G1072" t="s">
        <v>3397</v>
      </c>
      <c r="I1072" t="s">
        <v>3338</v>
      </c>
      <c r="J1072" t="s">
        <v>2232</v>
      </c>
      <c r="K1072" t="s">
        <v>2233</v>
      </c>
      <c r="L1072" t="s">
        <v>3342</v>
      </c>
      <c r="N1072" t="s">
        <v>3400</v>
      </c>
      <c r="O1072" t="s">
        <v>3401</v>
      </c>
      <c r="P1072">
        <v>41359860</v>
      </c>
    </row>
    <row r="1073" spans="1:16">
      <c r="A1073" t="s">
        <v>57</v>
      </c>
      <c r="B1073">
        <v>1</v>
      </c>
      <c r="E1073" t="s">
        <v>3395</v>
      </c>
      <c r="F1073" t="s">
        <v>3396</v>
      </c>
      <c r="G1073" t="s">
        <v>3397</v>
      </c>
      <c r="I1073" t="s">
        <v>3338</v>
      </c>
      <c r="L1073" t="s">
        <v>3342</v>
      </c>
      <c r="N1073" t="s">
        <v>3402</v>
      </c>
      <c r="O1073" t="s">
        <v>3403</v>
      </c>
      <c r="P1073">
        <v>41359860</v>
      </c>
    </row>
    <row r="1074" spans="1:16">
      <c r="A1074" t="s">
        <v>57</v>
      </c>
      <c r="B1074">
        <v>1</v>
      </c>
      <c r="E1074" t="s">
        <v>3395</v>
      </c>
      <c r="F1074" t="s">
        <v>3396</v>
      </c>
      <c r="G1074" t="s">
        <v>3397</v>
      </c>
      <c r="I1074" t="s">
        <v>3338</v>
      </c>
      <c r="J1074" t="s">
        <v>2232</v>
      </c>
      <c r="K1074" t="s">
        <v>2233</v>
      </c>
      <c r="L1074" t="s">
        <v>3342</v>
      </c>
      <c r="N1074" t="s">
        <v>3404</v>
      </c>
      <c r="O1074" t="s">
        <v>3405</v>
      </c>
      <c r="P1074">
        <v>41359860</v>
      </c>
    </row>
    <row r="1075" spans="1:16">
      <c r="A1075" t="s">
        <v>57</v>
      </c>
      <c r="B1075">
        <v>0</v>
      </c>
      <c r="G1075" t="s">
        <v>3338</v>
      </c>
      <c r="I1075" t="s">
        <v>3338</v>
      </c>
      <c r="N1075" t="s">
        <v>3406</v>
      </c>
      <c r="O1075" t="s">
        <v>3407</v>
      </c>
      <c r="P1075">
        <v>41359860</v>
      </c>
    </row>
    <row r="1076" spans="1:16">
      <c r="A1076" t="s">
        <v>57</v>
      </c>
      <c r="B1076">
        <v>1</v>
      </c>
      <c r="E1076" t="s">
        <v>3406</v>
      </c>
      <c r="F1076" t="s">
        <v>3407</v>
      </c>
      <c r="G1076" t="s">
        <v>3408</v>
      </c>
      <c r="I1076" t="s">
        <v>3338</v>
      </c>
      <c r="J1076" t="s">
        <v>2421</v>
      </c>
      <c r="K1076" t="s">
        <v>3354</v>
      </c>
      <c r="L1076" t="s">
        <v>3369</v>
      </c>
      <c r="N1076" t="s">
        <v>3409</v>
      </c>
      <c r="O1076" t="s">
        <v>3410</v>
      </c>
      <c r="P1076">
        <v>41359860</v>
      </c>
    </row>
    <row r="1077" spans="1:16">
      <c r="A1077" t="s">
        <v>57</v>
      </c>
      <c r="B1077">
        <v>1</v>
      </c>
      <c r="E1077" t="s">
        <v>3406</v>
      </c>
      <c r="F1077" t="s">
        <v>3407</v>
      </c>
      <c r="G1077" t="s">
        <v>3408</v>
      </c>
      <c r="I1077" t="s">
        <v>3338</v>
      </c>
      <c r="L1077" t="s">
        <v>193</v>
      </c>
      <c r="N1077" t="s">
        <v>3411</v>
      </c>
      <c r="O1077" t="s">
        <v>3412</v>
      </c>
      <c r="P1077">
        <v>41359860</v>
      </c>
    </row>
    <row r="1078" spans="1:16">
      <c r="A1078" t="s">
        <v>57</v>
      </c>
      <c r="B1078">
        <v>2</v>
      </c>
      <c r="E1078" t="s">
        <v>3411</v>
      </c>
      <c r="F1078" t="s">
        <v>3412</v>
      </c>
      <c r="G1078" t="s">
        <v>3413</v>
      </c>
      <c r="I1078" t="s">
        <v>3338</v>
      </c>
      <c r="L1078" t="s">
        <v>3342</v>
      </c>
      <c r="N1078" t="s">
        <v>3414</v>
      </c>
      <c r="O1078" t="s">
        <v>3415</v>
      </c>
      <c r="P1078">
        <v>41359860</v>
      </c>
    </row>
    <row r="1079" spans="1:16">
      <c r="A1079" t="s">
        <v>57</v>
      </c>
      <c r="B1079">
        <v>2</v>
      </c>
      <c r="E1079" t="s">
        <v>3411</v>
      </c>
      <c r="F1079" t="s">
        <v>3412</v>
      </c>
      <c r="G1079" t="s">
        <v>3413</v>
      </c>
      <c r="I1079" t="s">
        <v>3338</v>
      </c>
      <c r="J1079" t="s">
        <v>2232</v>
      </c>
      <c r="K1079" t="s">
        <v>2233</v>
      </c>
      <c r="L1079" t="s">
        <v>3342</v>
      </c>
      <c r="N1079" t="s">
        <v>3416</v>
      </c>
      <c r="O1079" t="s">
        <v>3417</v>
      </c>
      <c r="P1079">
        <v>41359860</v>
      </c>
    </row>
    <row r="1080" spans="1:16">
      <c r="A1080" t="s">
        <v>57</v>
      </c>
      <c r="B1080">
        <v>2</v>
      </c>
      <c r="E1080" t="s">
        <v>3411</v>
      </c>
      <c r="F1080" t="s">
        <v>3412</v>
      </c>
      <c r="G1080" t="s">
        <v>3413</v>
      </c>
      <c r="I1080" t="s">
        <v>3338</v>
      </c>
      <c r="J1080" t="s">
        <v>2232</v>
      </c>
      <c r="K1080" t="s">
        <v>2233</v>
      </c>
      <c r="L1080" t="s">
        <v>3342</v>
      </c>
      <c r="N1080" t="s">
        <v>3418</v>
      </c>
      <c r="O1080" t="s">
        <v>3419</v>
      </c>
      <c r="P1080">
        <v>41359860</v>
      </c>
    </row>
    <row r="1081" spans="1:16">
      <c r="A1081" t="s">
        <v>57</v>
      </c>
      <c r="B1081">
        <v>2</v>
      </c>
      <c r="E1081" t="s">
        <v>3411</v>
      </c>
      <c r="F1081" t="s">
        <v>3412</v>
      </c>
      <c r="G1081" t="s">
        <v>3413</v>
      </c>
      <c r="I1081" t="s">
        <v>3338</v>
      </c>
      <c r="J1081" t="s">
        <v>2232</v>
      </c>
      <c r="K1081" t="s">
        <v>2233</v>
      </c>
      <c r="L1081" t="s">
        <v>3342</v>
      </c>
      <c r="N1081" t="s">
        <v>3420</v>
      </c>
      <c r="O1081" t="s">
        <v>3421</v>
      </c>
      <c r="P1081">
        <v>41359860</v>
      </c>
    </row>
    <row r="1082" spans="1:16">
      <c r="A1082" t="s">
        <v>57</v>
      </c>
      <c r="B1082">
        <v>2</v>
      </c>
      <c r="E1082" t="s">
        <v>3411</v>
      </c>
      <c r="F1082" t="s">
        <v>3412</v>
      </c>
      <c r="G1082" t="s">
        <v>3413</v>
      </c>
      <c r="I1082" t="s">
        <v>3338</v>
      </c>
      <c r="J1082" t="s">
        <v>2232</v>
      </c>
      <c r="K1082" t="s">
        <v>2233</v>
      </c>
      <c r="L1082" t="s">
        <v>3342</v>
      </c>
      <c r="N1082" t="s">
        <v>3422</v>
      </c>
      <c r="O1082" t="s">
        <v>3423</v>
      </c>
      <c r="P1082">
        <v>41359860</v>
      </c>
    </row>
    <row r="1083" spans="1:16">
      <c r="A1083" t="s">
        <v>57</v>
      </c>
      <c r="B1083">
        <v>0</v>
      </c>
      <c r="G1083" t="s">
        <v>3338</v>
      </c>
      <c r="I1083" t="s">
        <v>3338</v>
      </c>
      <c r="N1083" t="s">
        <v>3424</v>
      </c>
      <c r="O1083" t="s">
        <v>3425</v>
      </c>
      <c r="P1083">
        <v>41359860</v>
      </c>
    </row>
    <row r="1084" spans="1:16">
      <c r="A1084" t="s">
        <v>57</v>
      </c>
      <c r="B1084">
        <v>1</v>
      </c>
      <c r="E1084" t="s">
        <v>3424</v>
      </c>
      <c r="F1084" t="s">
        <v>3425</v>
      </c>
      <c r="G1084" t="s">
        <v>3426</v>
      </c>
      <c r="I1084" t="s">
        <v>3338</v>
      </c>
      <c r="J1084" t="s">
        <v>2421</v>
      </c>
      <c r="K1084" t="s">
        <v>3354</v>
      </c>
      <c r="L1084" t="s">
        <v>3369</v>
      </c>
      <c r="N1084" t="s">
        <v>3427</v>
      </c>
      <c r="O1084" t="s">
        <v>3428</v>
      </c>
      <c r="P1084">
        <v>41359860</v>
      </c>
    </row>
    <row r="1085" spans="1:16">
      <c r="A1085" t="s">
        <v>57</v>
      </c>
      <c r="B1085">
        <v>1</v>
      </c>
      <c r="E1085" t="s">
        <v>3424</v>
      </c>
      <c r="F1085" t="s">
        <v>3425</v>
      </c>
      <c r="G1085" t="s">
        <v>3426</v>
      </c>
      <c r="I1085" t="s">
        <v>3338</v>
      </c>
      <c r="J1085" t="s">
        <v>2421</v>
      </c>
      <c r="K1085" t="s">
        <v>3354</v>
      </c>
      <c r="L1085" t="s">
        <v>3369</v>
      </c>
      <c r="N1085" t="s">
        <v>3429</v>
      </c>
      <c r="O1085" t="s">
        <v>3430</v>
      </c>
      <c r="P1085">
        <v>41359860</v>
      </c>
    </row>
    <row r="1086" spans="1:16">
      <c r="A1086" t="s">
        <v>57</v>
      </c>
      <c r="B1086">
        <v>1</v>
      </c>
      <c r="E1086" t="s">
        <v>3424</v>
      </c>
      <c r="F1086" t="s">
        <v>3425</v>
      </c>
      <c r="G1086" t="s">
        <v>3426</v>
      </c>
      <c r="I1086" t="s">
        <v>3338</v>
      </c>
      <c r="J1086" t="s">
        <v>2232</v>
      </c>
      <c r="K1086" t="s">
        <v>2233</v>
      </c>
      <c r="L1086" t="s">
        <v>3342</v>
      </c>
      <c r="N1086" t="s">
        <v>3431</v>
      </c>
      <c r="O1086" t="s">
        <v>3432</v>
      </c>
      <c r="P1086">
        <v>41359860</v>
      </c>
    </row>
    <row r="1087" spans="1:16">
      <c r="A1087" t="s">
        <v>57</v>
      </c>
      <c r="B1087">
        <v>0</v>
      </c>
      <c r="G1087" t="s">
        <v>3338</v>
      </c>
      <c r="I1087" t="s">
        <v>3338</v>
      </c>
      <c r="N1087" t="s">
        <v>3433</v>
      </c>
      <c r="O1087" t="s">
        <v>3434</v>
      </c>
      <c r="P1087">
        <v>41359860</v>
      </c>
    </row>
    <row r="1088" spans="1:16">
      <c r="A1088" t="s">
        <v>57</v>
      </c>
      <c r="B1088">
        <v>1</v>
      </c>
      <c r="E1088" t="s">
        <v>3433</v>
      </c>
      <c r="F1088" t="s">
        <v>3434</v>
      </c>
      <c r="G1088" t="s">
        <v>3435</v>
      </c>
      <c r="I1088" t="s">
        <v>3338</v>
      </c>
      <c r="J1088" t="s">
        <v>2232</v>
      </c>
      <c r="K1088" t="s">
        <v>2233</v>
      </c>
      <c r="L1088" t="s">
        <v>3342</v>
      </c>
      <c r="N1088" t="s">
        <v>3436</v>
      </c>
      <c r="O1088" t="s">
        <v>3437</v>
      </c>
      <c r="P1088">
        <v>41359860</v>
      </c>
    </row>
    <row r="1089" spans="1:16">
      <c r="A1089" t="s">
        <v>57</v>
      </c>
      <c r="B1089">
        <v>1</v>
      </c>
      <c r="E1089" t="s">
        <v>3433</v>
      </c>
      <c r="F1089" t="s">
        <v>3434</v>
      </c>
      <c r="G1089" t="s">
        <v>3435</v>
      </c>
      <c r="I1089" t="s">
        <v>3338</v>
      </c>
      <c r="J1089" t="s">
        <v>2232</v>
      </c>
      <c r="K1089" t="s">
        <v>2233</v>
      </c>
      <c r="L1089" t="s">
        <v>3342</v>
      </c>
      <c r="N1089" t="s">
        <v>3438</v>
      </c>
      <c r="O1089" t="s">
        <v>3439</v>
      </c>
      <c r="P1089">
        <v>41359860</v>
      </c>
    </row>
    <row r="1090" spans="1:16">
      <c r="A1090" t="s">
        <v>57</v>
      </c>
      <c r="B1090">
        <v>1</v>
      </c>
      <c r="E1090" t="s">
        <v>3433</v>
      </c>
      <c r="F1090" t="s">
        <v>3434</v>
      </c>
      <c r="G1090" t="s">
        <v>3435</v>
      </c>
      <c r="I1090" t="s">
        <v>3338</v>
      </c>
      <c r="J1090" t="s">
        <v>2232</v>
      </c>
      <c r="K1090" t="s">
        <v>2233</v>
      </c>
      <c r="L1090" t="s">
        <v>3342</v>
      </c>
      <c r="N1090" t="s">
        <v>3440</v>
      </c>
      <c r="O1090" t="s">
        <v>3441</v>
      </c>
      <c r="P1090">
        <v>41359860</v>
      </c>
    </row>
    <row r="1091" spans="1:16">
      <c r="A1091" t="s">
        <v>57</v>
      </c>
      <c r="B1091">
        <v>1</v>
      </c>
      <c r="E1091" t="s">
        <v>3433</v>
      </c>
      <c r="F1091" t="s">
        <v>3434</v>
      </c>
      <c r="G1091" t="s">
        <v>3435</v>
      </c>
      <c r="I1091" t="s">
        <v>3338</v>
      </c>
      <c r="J1091" t="s">
        <v>2232</v>
      </c>
      <c r="K1091" t="s">
        <v>2233</v>
      </c>
      <c r="L1091" t="s">
        <v>3342</v>
      </c>
      <c r="N1091" t="s">
        <v>3442</v>
      </c>
      <c r="O1091" t="s">
        <v>3443</v>
      </c>
      <c r="P1091">
        <v>41359860</v>
      </c>
    </row>
    <row r="1092" spans="1:16">
      <c r="A1092" t="s">
        <v>57</v>
      </c>
      <c r="B1092">
        <v>1</v>
      </c>
      <c r="E1092" t="s">
        <v>3433</v>
      </c>
      <c r="F1092" t="s">
        <v>3434</v>
      </c>
      <c r="G1092" t="s">
        <v>3435</v>
      </c>
      <c r="I1092" t="s">
        <v>3338</v>
      </c>
      <c r="J1092" t="s">
        <v>2232</v>
      </c>
      <c r="K1092" t="s">
        <v>2233</v>
      </c>
      <c r="L1092" t="s">
        <v>3342</v>
      </c>
      <c r="N1092" t="s">
        <v>3444</v>
      </c>
      <c r="O1092" t="s">
        <v>3445</v>
      </c>
      <c r="P1092">
        <v>41359860</v>
      </c>
    </row>
    <row r="1093" spans="1:16">
      <c r="A1093" t="s">
        <v>57</v>
      </c>
      <c r="B1093">
        <v>1</v>
      </c>
      <c r="E1093" t="s">
        <v>3433</v>
      </c>
      <c r="F1093" t="s">
        <v>3434</v>
      </c>
      <c r="G1093" t="s">
        <v>3435</v>
      </c>
      <c r="I1093" t="s">
        <v>3338</v>
      </c>
      <c r="J1093" t="s">
        <v>2232</v>
      </c>
      <c r="K1093" t="s">
        <v>2233</v>
      </c>
      <c r="L1093" t="s">
        <v>3342</v>
      </c>
      <c r="N1093" t="s">
        <v>3446</v>
      </c>
      <c r="O1093" t="s">
        <v>3447</v>
      </c>
      <c r="P1093">
        <v>41359860</v>
      </c>
    </row>
    <row r="1094" spans="1:16">
      <c r="A1094" t="s">
        <v>57</v>
      </c>
      <c r="B1094">
        <v>0</v>
      </c>
      <c r="G1094" t="s">
        <v>3338</v>
      </c>
      <c r="I1094" t="s">
        <v>3338</v>
      </c>
      <c r="N1094" t="s">
        <v>3448</v>
      </c>
      <c r="O1094" t="s">
        <v>3449</v>
      </c>
      <c r="P1094">
        <v>41359860</v>
      </c>
    </row>
    <row r="1095" spans="1:16">
      <c r="A1095" t="s">
        <v>57</v>
      </c>
      <c r="B1095">
        <v>1</v>
      </c>
      <c r="E1095" t="s">
        <v>3448</v>
      </c>
      <c r="F1095" t="s">
        <v>3449</v>
      </c>
      <c r="G1095" t="s">
        <v>3450</v>
      </c>
      <c r="I1095" t="s">
        <v>3338</v>
      </c>
      <c r="J1095" t="s">
        <v>2421</v>
      </c>
      <c r="K1095" t="s">
        <v>3354</v>
      </c>
      <c r="L1095" t="s">
        <v>3451</v>
      </c>
      <c r="N1095" t="s">
        <v>3452</v>
      </c>
      <c r="O1095" t="s">
        <v>3453</v>
      </c>
      <c r="P1095">
        <v>41359860</v>
      </c>
    </row>
    <row r="1096" spans="1:16">
      <c r="A1096" t="s">
        <v>57</v>
      </c>
      <c r="B1096">
        <v>0</v>
      </c>
      <c r="G1096" t="s">
        <v>3456</v>
      </c>
      <c r="I1096" t="s">
        <v>3456</v>
      </c>
      <c r="M1096" t="s">
        <v>3463</v>
      </c>
      <c r="N1096" t="s">
        <v>3485</v>
      </c>
      <c r="O1096" t="s">
        <v>3486</v>
      </c>
      <c r="P1096">
        <v>41359860</v>
      </c>
    </row>
    <row r="1097" spans="1:16">
      <c r="A1097" t="s">
        <v>57</v>
      </c>
      <c r="B1097">
        <v>0</v>
      </c>
      <c r="G1097" t="s">
        <v>3456</v>
      </c>
      <c r="I1097" t="s">
        <v>3456</v>
      </c>
      <c r="M1097" t="s">
        <v>3460</v>
      </c>
      <c r="N1097" t="s">
        <v>3479</v>
      </c>
      <c r="O1097" t="s">
        <v>3480</v>
      </c>
      <c r="P1097">
        <v>41359860</v>
      </c>
    </row>
    <row r="1098" spans="1:16">
      <c r="A1098" t="s">
        <v>57</v>
      </c>
      <c r="B1098">
        <v>0</v>
      </c>
      <c r="G1098" t="s">
        <v>3456</v>
      </c>
      <c r="I1098" t="s">
        <v>3456</v>
      </c>
      <c r="M1098" t="s">
        <v>3463</v>
      </c>
      <c r="N1098" t="s">
        <v>3461</v>
      </c>
      <c r="O1098" t="s">
        <v>3462</v>
      </c>
      <c r="P1098">
        <v>41359860</v>
      </c>
    </row>
    <row r="1099" spans="1:16">
      <c r="A1099" t="s">
        <v>57</v>
      </c>
      <c r="B1099">
        <v>0</v>
      </c>
      <c r="G1099" t="s">
        <v>3456</v>
      </c>
      <c r="I1099" t="s">
        <v>3456</v>
      </c>
      <c r="M1099" t="s">
        <v>3460</v>
      </c>
      <c r="N1099" t="s">
        <v>3458</v>
      </c>
      <c r="O1099" t="s">
        <v>3459</v>
      </c>
      <c r="P1099">
        <v>41359860</v>
      </c>
    </row>
    <row r="1100" spans="1:16">
      <c r="A1100" t="s">
        <v>57</v>
      </c>
      <c r="B1100">
        <v>0</v>
      </c>
      <c r="G1100" t="s">
        <v>3456</v>
      </c>
      <c r="I1100" t="s">
        <v>3456</v>
      </c>
      <c r="M1100" t="s">
        <v>3463</v>
      </c>
      <c r="N1100" t="s">
        <v>3481</v>
      </c>
      <c r="O1100" t="s">
        <v>3482</v>
      </c>
      <c r="P1100">
        <v>41359860</v>
      </c>
    </row>
    <row r="1101" spans="1:16">
      <c r="A1101" t="s">
        <v>57</v>
      </c>
      <c r="B1101">
        <v>0</v>
      </c>
      <c r="G1101" t="s">
        <v>3456</v>
      </c>
      <c r="I1101" t="s">
        <v>3456</v>
      </c>
      <c r="M1101" t="s">
        <v>3463</v>
      </c>
      <c r="N1101" t="s">
        <v>3464</v>
      </c>
      <c r="O1101" t="s">
        <v>3465</v>
      </c>
      <c r="P1101">
        <v>41359860</v>
      </c>
    </row>
    <row r="1102" spans="1:16">
      <c r="A1102" t="s">
        <v>59</v>
      </c>
      <c r="B1102">
        <v>0</v>
      </c>
      <c r="G1102" t="s">
        <v>3338</v>
      </c>
      <c r="I1102" t="s">
        <v>3338</v>
      </c>
      <c r="N1102" t="s">
        <v>3339</v>
      </c>
      <c r="O1102" t="s">
        <v>3340</v>
      </c>
      <c r="P1102">
        <v>39193215</v>
      </c>
    </row>
    <row r="1103" spans="1:16">
      <c r="A1103" t="s">
        <v>59</v>
      </c>
      <c r="B1103">
        <v>1</v>
      </c>
      <c r="E1103" t="s">
        <v>3339</v>
      </c>
      <c r="F1103" t="s">
        <v>3340</v>
      </c>
      <c r="G1103" t="s">
        <v>3341</v>
      </c>
      <c r="I1103" t="s">
        <v>3338</v>
      </c>
      <c r="J1103" t="s">
        <v>2232</v>
      </c>
      <c r="K1103" t="s">
        <v>2233</v>
      </c>
      <c r="L1103" t="s">
        <v>3342</v>
      </c>
      <c r="N1103" t="s">
        <v>3343</v>
      </c>
      <c r="O1103" t="s">
        <v>3344</v>
      </c>
      <c r="P1103">
        <v>39193215</v>
      </c>
    </row>
    <row r="1104" spans="1:16">
      <c r="A1104" t="s">
        <v>59</v>
      </c>
      <c r="B1104">
        <v>1</v>
      </c>
      <c r="E1104" t="s">
        <v>3339</v>
      </c>
      <c r="F1104" t="s">
        <v>3340</v>
      </c>
      <c r="G1104" t="s">
        <v>3341</v>
      </c>
      <c r="I1104" t="s">
        <v>3338</v>
      </c>
      <c r="J1104" t="s">
        <v>2232</v>
      </c>
      <c r="K1104" t="s">
        <v>2233</v>
      </c>
      <c r="L1104" t="s">
        <v>3342</v>
      </c>
      <c r="N1104" t="s">
        <v>3345</v>
      </c>
      <c r="O1104" t="s">
        <v>3346</v>
      </c>
      <c r="P1104">
        <v>39193215</v>
      </c>
    </row>
    <row r="1105" spans="1:16">
      <c r="A1105" t="s">
        <v>59</v>
      </c>
      <c r="B1105">
        <v>0</v>
      </c>
      <c r="G1105" t="s">
        <v>3338</v>
      </c>
      <c r="I1105" t="s">
        <v>3338</v>
      </c>
      <c r="N1105" t="s">
        <v>3347</v>
      </c>
      <c r="O1105" t="s">
        <v>3344</v>
      </c>
      <c r="P1105">
        <v>39193215</v>
      </c>
    </row>
    <row r="1106" spans="1:16">
      <c r="A1106" t="s">
        <v>59</v>
      </c>
      <c r="B1106">
        <v>1</v>
      </c>
      <c r="E1106" t="s">
        <v>3347</v>
      </c>
      <c r="F1106" t="s">
        <v>3344</v>
      </c>
      <c r="G1106" t="s">
        <v>3348</v>
      </c>
      <c r="I1106" t="s">
        <v>3338</v>
      </c>
      <c r="J1106" t="s">
        <v>2232</v>
      </c>
      <c r="K1106" t="s">
        <v>2233</v>
      </c>
      <c r="L1106" t="s">
        <v>3342</v>
      </c>
      <c r="N1106" t="s">
        <v>3349</v>
      </c>
      <c r="O1106" t="s">
        <v>3350</v>
      </c>
      <c r="P1106">
        <v>39193215</v>
      </c>
    </row>
    <row r="1107" spans="1:16">
      <c r="A1107" t="s">
        <v>59</v>
      </c>
      <c r="B1107">
        <v>1</v>
      </c>
      <c r="E1107" t="s">
        <v>3347</v>
      </c>
      <c r="F1107" t="s">
        <v>3344</v>
      </c>
      <c r="G1107" t="s">
        <v>3348</v>
      </c>
      <c r="I1107" t="s">
        <v>3338</v>
      </c>
      <c r="L1107" t="s">
        <v>193</v>
      </c>
      <c r="N1107" t="s">
        <v>3351</v>
      </c>
      <c r="O1107" t="s">
        <v>3352</v>
      </c>
      <c r="P1107">
        <v>39193215</v>
      </c>
    </row>
    <row r="1108" spans="1:16">
      <c r="A1108" t="s">
        <v>59</v>
      </c>
      <c r="B1108">
        <v>2</v>
      </c>
      <c r="E1108" t="s">
        <v>3351</v>
      </c>
      <c r="F1108" t="s">
        <v>3352</v>
      </c>
      <c r="G1108" t="s">
        <v>3353</v>
      </c>
      <c r="I1108" t="s">
        <v>3338</v>
      </c>
      <c r="J1108" t="s">
        <v>2421</v>
      </c>
      <c r="K1108" t="s">
        <v>3354</v>
      </c>
      <c r="L1108" t="s">
        <v>3355</v>
      </c>
      <c r="N1108" t="s">
        <v>3356</v>
      </c>
      <c r="O1108" t="s">
        <v>3357</v>
      </c>
      <c r="P1108">
        <v>39193215</v>
      </c>
    </row>
    <row r="1109" spans="1:16">
      <c r="A1109" t="s">
        <v>59</v>
      </c>
      <c r="B1109">
        <v>2</v>
      </c>
      <c r="E1109" t="s">
        <v>3351</v>
      </c>
      <c r="F1109" t="s">
        <v>3352</v>
      </c>
      <c r="G1109" t="s">
        <v>3353</v>
      </c>
      <c r="I1109" t="s">
        <v>3338</v>
      </c>
      <c r="J1109" t="s">
        <v>2421</v>
      </c>
      <c r="K1109" t="s">
        <v>3354</v>
      </c>
      <c r="L1109" t="s">
        <v>3355</v>
      </c>
      <c r="N1109" t="s">
        <v>3358</v>
      </c>
      <c r="O1109" t="s">
        <v>3359</v>
      </c>
      <c r="P1109">
        <v>39193215</v>
      </c>
    </row>
    <row r="1110" spans="1:16">
      <c r="A1110" t="s">
        <v>59</v>
      </c>
      <c r="B1110">
        <v>2</v>
      </c>
      <c r="E1110" t="s">
        <v>3351</v>
      </c>
      <c r="F1110" t="s">
        <v>3352</v>
      </c>
      <c r="G1110" t="s">
        <v>3353</v>
      </c>
      <c r="I1110" t="s">
        <v>3338</v>
      </c>
      <c r="J1110" t="s">
        <v>2421</v>
      </c>
      <c r="K1110" t="s">
        <v>3354</v>
      </c>
      <c r="L1110" t="s">
        <v>3355</v>
      </c>
      <c r="N1110" t="s">
        <v>3360</v>
      </c>
      <c r="O1110" t="s">
        <v>3361</v>
      </c>
      <c r="P1110">
        <v>39193215</v>
      </c>
    </row>
    <row r="1111" spans="1:16">
      <c r="A1111" t="s">
        <v>59</v>
      </c>
      <c r="B1111">
        <v>1</v>
      </c>
      <c r="E1111" t="s">
        <v>3347</v>
      </c>
      <c r="F1111" t="s">
        <v>3344</v>
      </c>
      <c r="G1111" t="s">
        <v>3348</v>
      </c>
      <c r="I1111" t="s">
        <v>3338</v>
      </c>
      <c r="J1111" t="s">
        <v>2236</v>
      </c>
      <c r="K1111" t="s">
        <v>3362</v>
      </c>
      <c r="L1111" t="s">
        <v>3363</v>
      </c>
      <c r="N1111" t="s">
        <v>3364</v>
      </c>
      <c r="O1111" t="s">
        <v>3365</v>
      </c>
      <c r="P1111">
        <v>39193215</v>
      </c>
    </row>
    <row r="1112" spans="1:16">
      <c r="A1112" t="s">
        <v>59</v>
      </c>
      <c r="B1112">
        <v>1</v>
      </c>
      <c r="E1112" t="s">
        <v>3347</v>
      </c>
      <c r="F1112" t="s">
        <v>3344</v>
      </c>
      <c r="G1112" t="s">
        <v>3348</v>
      </c>
      <c r="I1112" t="s">
        <v>3338</v>
      </c>
      <c r="L1112" t="s">
        <v>193</v>
      </c>
      <c r="N1112" t="s">
        <v>3366</v>
      </c>
      <c r="O1112" t="s">
        <v>3367</v>
      </c>
      <c r="P1112">
        <v>39193215</v>
      </c>
    </row>
    <row r="1113" spans="1:16">
      <c r="A1113" t="s">
        <v>59</v>
      </c>
      <c r="B1113">
        <v>2</v>
      </c>
      <c r="E1113" t="s">
        <v>3366</v>
      </c>
      <c r="F1113" t="s">
        <v>3367</v>
      </c>
      <c r="G1113" t="s">
        <v>3368</v>
      </c>
      <c r="I1113" t="s">
        <v>3338</v>
      </c>
      <c r="J1113" t="s">
        <v>2421</v>
      </c>
      <c r="K1113" t="s">
        <v>3354</v>
      </c>
      <c r="L1113" t="s">
        <v>3369</v>
      </c>
      <c r="N1113" t="s">
        <v>3370</v>
      </c>
      <c r="O1113" t="s">
        <v>3359</v>
      </c>
      <c r="P1113">
        <v>39193215</v>
      </c>
    </row>
    <row r="1114" spans="1:16">
      <c r="A1114" t="s">
        <v>59</v>
      </c>
      <c r="B1114">
        <v>2</v>
      </c>
      <c r="E1114" t="s">
        <v>3366</v>
      </c>
      <c r="F1114" t="s">
        <v>3367</v>
      </c>
      <c r="G1114" t="s">
        <v>3368</v>
      </c>
      <c r="I1114" t="s">
        <v>3338</v>
      </c>
      <c r="J1114" t="s">
        <v>2421</v>
      </c>
      <c r="K1114" t="s">
        <v>3354</v>
      </c>
      <c r="L1114" t="s">
        <v>3369</v>
      </c>
      <c r="N1114" t="s">
        <v>3371</v>
      </c>
      <c r="O1114" t="s">
        <v>3372</v>
      </c>
      <c r="P1114">
        <v>39193215</v>
      </c>
    </row>
    <row r="1115" spans="1:16">
      <c r="A1115" t="s">
        <v>59</v>
      </c>
      <c r="B1115">
        <v>2</v>
      </c>
      <c r="E1115" t="s">
        <v>3366</v>
      </c>
      <c r="F1115" t="s">
        <v>3367</v>
      </c>
      <c r="G1115" t="s">
        <v>3368</v>
      </c>
      <c r="I1115" t="s">
        <v>3338</v>
      </c>
      <c r="J1115" t="s">
        <v>2421</v>
      </c>
      <c r="K1115" t="s">
        <v>3354</v>
      </c>
      <c r="L1115" t="s">
        <v>3369</v>
      </c>
      <c r="N1115" t="s">
        <v>3373</v>
      </c>
      <c r="O1115" t="s">
        <v>3374</v>
      </c>
      <c r="P1115">
        <v>39193215</v>
      </c>
    </row>
    <row r="1116" spans="1:16">
      <c r="A1116" t="s">
        <v>59</v>
      </c>
      <c r="B1116">
        <v>2</v>
      </c>
      <c r="E1116" t="s">
        <v>3366</v>
      </c>
      <c r="F1116" t="s">
        <v>3367</v>
      </c>
      <c r="G1116" t="s">
        <v>3368</v>
      </c>
      <c r="I1116" t="s">
        <v>3338</v>
      </c>
      <c r="J1116" t="s">
        <v>2236</v>
      </c>
      <c r="K1116" t="s">
        <v>3362</v>
      </c>
      <c r="L1116" t="s">
        <v>3363</v>
      </c>
      <c r="N1116" t="s">
        <v>3375</v>
      </c>
      <c r="O1116" t="s">
        <v>3376</v>
      </c>
      <c r="P1116">
        <v>39193215</v>
      </c>
    </row>
    <row r="1117" spans="1:16">
      <c r="A1117" t="s">
        <v>59</v>
      </c>
      <c r="B1117">
        <v>0</v>
      </c>
      <c r="G1117" t="s">
        <v>3338</v>
      </c>
      <c r="I1117" t="s">
        <v>3338</v>
      </c>
      <c r="N1117" t="s">
        <v>3377</v>
      </c>
      <c r="O1117" t="s">
        <v>3346</v>
      </c>
      <c r="P1117">
        <v>39193215</v>
      </c>
    </row>
    <row r="1118" spans="1:16">
      <c r="A1118" t="s">
        <v>59</v>
      </c>
      <c r="B1118">
        <v>1</v>
      </c>
      <c r="E1118" t="s">
        <v>3377</v>
      </c>
      <c r="F1118" t="s">
        <v>3346</v>
      </c>
      <c r="G1118" t="s">
        <v>3378</v>
      </c>
      <c r="I1118" t="s">
        <v>3338</v>
      </c>
      <c r="L1118" t="s">
        <v>193</v>
      </c>
      <c r="N1118" t="s">
        <v>3379</v>
      </c>
      <c r="O1118" t="s">
        <v>3380</v>
      </c>
      <c r="P1118">
        <v>39193215</v>
      </c>
    </row>
    <row r="1119" spans="1:16">
      <c r="A1119" t="s">
        <v>59</v>
      </c>
      <c r="B1119">
        <v>2</v>
      </c>
      <c r="E1119" t="s">
        <v>3379</v>
      </c>
      <c r="F1119" t="s">
        <v>3380</v>
      </c>
      <c r="G1119" t="s">
        <v>3381</v>
      </c>
      <c r="I1119" t="s">
        <v>3338</v>
      </c>
      <c r="J1119" t="s">
        <v>2421</v>
      </c>
      <c r="K1119" t="s">
        <v>3354</v>
      </c>
      <c r="L1119" t="s">
        <v>3369</v>
      </c>
      <c r="N1119" t="s">
        <v>3382</v>
      </c>
      <c r="O1119" t="s">
        <v>3352</v>
      </c>
      <c r="P1119">
        <v>39193215</v>
      </c>
    </row>
    <row r="1120" spans="1:16">
      <c r="A1120" t="s">
        <v>59</v>
      </c>
      <c r="B1120">
        <v>2</v>
      </c>
      <c r="E1120" t="s">
        <v>3379</v>
      </c>
      <c r="F1120" t="s">
        <v>3380</v>
      </c>
      <c r="G1120" t="s">
        <v>3381</v>
      </c>
      <c r="I1120" t="s">
        <v>3338</v>
      </c>
      <c r="L1120" t="s">
        <v>3383</v>
      </c>
      <c r="N1120" t="s">
        <v>3384</v>
      </c>
      <c r="O1120" t="s">
        <v>3385</v>
      </c>
      <c r="P1120">
        <v>39193215</v>
      </c>
    </row>
    <row r="1121" spans="1:16">
      <c r="A1121" t="s">
        <v>59</v>
      </c>
      <c r="B1121">
        <v>2</v>
      </c>
      <c r="E1121" t="s">
        <v>3379</v>
      </c>
      <c r="F1121" t="s">
        <v>3380</v>
      </c>
      <c r="G1121" t="s">
        <v>3381</v>
      </c>
      <c r="I1121" t="s">
        <v>3338</v>
      </c>
      <c r="J1121" t="s">
        <v>2232</v>
      </c>
      <c r="K1121" t="s">
        <v>2233</v>
      </c>
      <c r="L1121" t="s">
        <v>3342</v>
      </c>
      <c r="N1121" t="s">
        <v>3386</v>
      </c>
      <c r="O1121" t="s">
        <v>3350</v>
      </c>
      <c r="P1121">
        <v>39193215</v>
      </c>
    </row>
    <row r="1122" spans="1:16">
      <c r="A1122" t="s">
        <v>59</v>
      </c>
      <c r="B1122">
        <v>1</v>
      </c>
      <c r="E1122" t="s">
        <v>3377</v>
      </c>
      <c r="F1122" t="s">
        <v>3346</v>
      </c>
      <c r="G1122" t="s">
        <v>3378</v>
      </c>
      <c r="I1122" t="s">
        <v>3338</v>
      </c>
      <c r="L1122" t="s">
        <v>193</v>
      </c>
      <c r="N1122" t="s">
        <v>3387</v>
      </c>
      <c r="O1122" t="s">
        <v>3388</v>
      </c>
      <c r="P1122">
        <v>39193215</v>
      </c>
    </row>
    <row r="1123" spans="1:16">
      <c r="A1123" t="s">
        <v>59</v>
      </c>
      <c r="B1123">
        <v>2</v>
      </c>
      <c r="E1123" t="s">
        <v>3387</v>
      </c>
      <c r="F1123" t="s">
        <v>3388</v>
      </c>
      <c r="G1123" t="s">
        <v>3389</v>
      </c>
      <c r="I1123" t="s">
        <v>3338</v>
      </c>
      <c r="L1123" t="s">
        <v>3369</v>
      </c>
      <c r="N1123" t="s">
        <v>3390</v>
      </c>
      <c r="O1123" t="s">
        <v>3352</v>
      </c>
      <c r="P1123">
        <v>39193215</v>
      </c>
    </row>
    <row r="1124" spans="1:16">
      <c r="A1124" t="s">
        <v>59</v>
      </c>
      <c r="B1124">
        <v>2</v>
      </c>
      <c r="E1124" t="s">
        <v>3387</v>
      </c>
      <c r="F1124" t="s">
        <v>3388</v>
      </c>
      <c r="G1124" t="s">
        <v>3389</v>
      </c>
      <c r="I1124" t="s">
        <v>3338</v>
      </c>
      <c r="L1124" t="s">
        <v>3342</v>
      </c>
      <c r="N1124" t="s">
        <v>3391</v>
      </c>
      <c r="O1124" t="s">
        <v>3392</v>
      </c>
      <c r="P1124">
        <v>39193215</v>
      </c>
    </row>
    <row r="1125" spans="1:16">
      <c r="A1125" t="s">
        <v>59</v>
      </c>
      <c r="B1125">
        <v>2</v>
      </c>
      <c r="E1125" t="s">
        <v>3387</v>
      </c>
      <c r="F1125" t="s">
        <v>3388</v>
      </c>
      <c r="G1125" t="s">
        <v>3389</v>
      </c>
      <c r="I1125" t="s">
        <v>3338</v>
      </c>
      <c r="L1125" t="s">
        <v>3383</v>
      </c>
      <c r="N1125" t="s">
        <v>3393</v>
      </c>
      <c r="O1125" t="s">
        <v>3385</v>
      </c>
      <c r="P1125">
        <v>39193215</v>
      </c>
    </row>
    <row r="1126" spans="1:16">
      <c r="A1126" t="s">
        <v>59</v>
      </c>
      <c r="B1126">
        <v>2</v>
      </c>
      <c r="E1126" t="s">
        <v>3387</v>
      </c>
      <c r="F1126" t="s">
        <v>3388</v>
      </c>
      <c r="G1126" t="s">
        <v>3389</v>
      </c>
      <c r="I1126" t="s">
        <v>3338</v>
      </c>
      <c r="L1126" t="s">
        <v>3342</v>
      </c>
      <c r="N1126" t="s">
        <v>3394</v>
      </c>
      <c r="O1126" t="s">
        <v>3350</v>
      </c>
      <c r="P1126">
        <v>39193215</v>
      </c>
    </row>
    <row r="1127" spans="1:16">
      <c r="A1127" t="s">
        <v>59</v>
      </c>
      <c r="B1127">
        <v>0</v>
      </c>
      <c r="G1127" t="s">
        <v>3338</v>
      </c>
      <c r="I1127" t="s">
        <v>3338</v>
      </c>
      <c r="N1127" t="s">
        <v>3395</v>
      </c>
      <c r="O1127" t="s">
        <v>3396</v>
      </c>
      <c r="P1127">
        <v>39193215</v>
      </c>
    </row>
    <row r="1128" spans="1:16">
      <c r="A1128" t="s">
        <v>59</v>
      </c>
      <c r="B1128">
        <v>1</v>
      </c>
      <c r="E1128" t="s">
        <v>3395</v>
      </c>
      <c r="F1128" t="s">
        <v>3396</v>
      </c>
      <c r="G1128" t="s">
        <v>3397</v>
      </c>
      <c r="I1128" t="s">
        <v>3338</v>
      </c>
      <c r="L1128" t="s">
        <v>3342</v>
      </c>
      <c r="N1128" t="s">
        <v>3398</v>
      </c>
      <c r="O1128" t="s">
        <v>3399</v>
      </c>
      <c r="P1128">
        <v>39193215</v>
      </c>
    </row>
    <row r="1129" spans="1:16">
      <c r="A1129" t="s">
        <v>59</v>
      </c>
      <c r="B1129">
        <v>1</v>
      </c>
      <c r="E1129" t="s">
        <v>3395</v>
      </c>
      <c r="F1129" t="s">
        <v>3396</v>
      </c>
      <c r="G1129" t="s">
        <v>3397</v>
      </c>
      <c r="I1129" t="s">
        <v>3338</v>
      </c>
      <c r="J1129" t="s">
        <v>2232</v>
      </c>
      <c r="K1129" t="s">
        <v>2233</v>
      </c>
      <c r="L1129" t="s">
        <v>3342</v>
      </c>
      <c r="N1129" t="s">
        <v>3400</v>
      </c>
      <c r="O1129" t="s">
        <v>3401</v>
      </c>
      <c r="P1129">
        <v>39193215</v>
      </c>
    </row>
    <row r="1130" spans="1:16">
      <c r="A1130" t="s">
        <v>59</v>
      </c>
      <c r="B1130">
        <v>1</v>
      </c>
      <c r="E1130" t="s">
        <v>3395</v>
      </c>
      <c r="F1130" t="s">
        <v>3396</v>
      </c>
      <c r="G1130" t="s">
        <v>3397</v>
      </c>
      <c r="I1130" t="s">
        <v>3338</v>
      </c>
      <c r="J1130" t="s">
        <v>2232</v>
      </c>
      <c r="K1130" t="s">
        <v>2233</v>
      </c>
      <c r="L1130" t="s">
        <v>3342</v>
      </c>
      <c r="N1130" t="s">
        <v>3402</v>
      </c>
      <c r="O1130" t="s">
        <v>3403</v>
      </c>
      <c r="P1130">
        <v>39193215</v>
      </c>
    </row>
    <row r="1131" spans="1:16">
      <c r="A1131" t="s">
        <v>59</v>
      </c>
      <c r="B1131">
        <v>1</v>
      </c>
      <c r="E1131" t="s">
        <v>3395</v>
      </c>
      <c r="F1131" t="s">
        <v>3396</v>
      </c>
      <c r="G1131" t="s">
        <v>3397</v>
      </c>
      <c r="I1131" t="s">
        <v>3338</v>
      </c>
      <c r="J1131" t="s">
        <v>2232</v>
      </c>
      <c r="K1131" t="s">
        <v>2233</v>
      </c>
      <c r="L1131" t="s">
        <v>3342</v>
      </c>
      <c r="N1131" t="s">
        <v>3404</v>
      </c>
      <c r="O1131" t="s">
        <v>3405</v>
      </c>
      <c r="P1131">
        <v>39193215</v>
      </c>
    </row>
    <row r="1132" spans="1:16">
      <c r="A1132" t="s">
        <v>59</v>
      </c>
      <c r="B1132">
        <v>0</v>
      </c>
      <c r="G1132" t="s">
        <v>3338</v>
      </c>
      <c r="I1132" t="s">
        <v>3338</v>
      </c>
      <c r="N1132" t="s">
        <v>3406</v>
      </c>
      <c r="O1132" t="s">
        <v>3407</v>
      </c>
      <c r="P1132">
        <v>39193215</v>
      </c>
    </row>
    <row r="1133" spans="1:16">
      <c r="A1133" t="s">
        <v>59</v>
      </c>
      <c r="B1133">
        <v>1</v>
      </c>
      <c r="E1133" t="s">
        <v>3406</v>
      </c>
      <c r="F1133" t="s">
        <v>3407</v>
      </c>
      <c r="G1133" t="s">
        <v>3408</v>
      </c>
      <c r="I1133" t="s">
        <v>3338</v>
      </c>
      <c r="J1133" t="s">
        <v>2421</v>
      </c>
      <c r="K1133" t="s">
        <v>3354</v>
      </c>
      <c r="L1133" t="s">
        <v>3369</v>
      </c>
      <c r="N1133" t="s">
        <v>3409</v>
      </c>
      <c r="O1133" t="s">
        <v>3410</v>
      </c>
      <c r="P1133">
        <v>39193215</v>
      </c>
    </row>
    <row r="1134" spans="1:16">
      <c r="A1134" t="s">
        <v>59</v>
      </c>
      <c r="B1134">
        <v>1</v>
      </c>
      <c r="E1134" t="s">
        <v>3406</v>
      </c>
      <c r="F1134" t="s">
        <v>3407</v>
      </c>
      <c r="G1134" t="s">
        <v>3408</v>
      </c>
      <c r="I1134" t="s">
        <v>3338</v>
      </c>
      <c r="L1134" t="s">
        <v>193</v>
      </c>
      <c r="N1134" t="s">
        <v>3411</v>
      </c>
      <c r="O1134" t="s">
        <v>3412</v>
      </c>
      <c r="P1134">
        <v>39193215</v>
      </c>
    </row>
    <row r="1135" spans="1:16">
      <c r="A1135" t="s">
        <v>59</v>
      </c>
      <c r="B1135">
        <v>2</v>
      </c>
      <c r="E1135" t="s">
        <v>3411</v>
      </c>
      <c r="F1135" t="s">
        <v>3412</v>
      </c>
      <c r="G1135" t="s">
        <v>3413</v>
      </c>
      <c r="I1135" t="s">
        <v>3338</v>
      </c>
      <c r="J1135" t="s">
        <v>2232</v>
      </c>
      <c r="K1135" t="s">
        <v>2233</v>
      </c>
      <c r="L1135" t="s">
        <v>3342</v>
      </c>
      <c r="N1135" t="s">
        <v>3414</v>
      </c>
      <c r="O1135" t="s">
        <v>3415</v>
      </c>
      <c r="P1135">
        <v>39193215</v>
      </c>
    </row>
    <row r="1136" spans="1:16">
      <c r="A1136" t="s">
        <v>59</v>
      </c>
      <c r="B1136">
        <v>2</v>
      </c>
      <c r="E1136" t="s">
        <v>3411</v>
      </c>
      <c r="F1136" t="s">
        <v>3412</v>
      </c>
      <c r="G1136" t="s">
        <v>3413</v>
      </c>
      <c r="I1136" t="s">
        <v>3338</v>
      </c>
      <c r="J1136" t="s">
        <v>2232</v>
      </c>
      <c r="K1136" t="s">
        <v>2233</v>
      </c>
      <c r="L1136" t="s">
        <v>3342</v>
      </c>
      <c r="N1136" t="s">
        <v>3416</v>
      </c>
      <c r="O1136" t="s">
        <v>3417</v>
      </c>
      <c r="P1136">
        <v>39193215</v>
      </c>
    </row>
    <row r="1137" spans="1:16">
      <c r="A1137" t="s">
        <v>59</v>
      </c>
      <c r="B1137">
        <v>2</v>
      </c>
      <c r="E1137" t="s">
        <v>3411</v>
      </c>
      <c r="F1137" t="s">
        <v>3412</v>
      </c>
      <c r="G1137" t="s">
        <v>3413</v>
      </c>
      <c r="I1137" t="s">
        <v>3338</v>
      </c>
      <c r="J1137" t="s">
        <v>2232</v>
      </c>
      <c r="K1137" t="s">
        <v>2233</v>
      </c>
      <c r="L1137" t="s">
        <v>3342</v>
      </c>
      <c r="N1137" t="s">
        <v>3418</v>
      </c>
      <c r="O1137" t="s">
        <v>3419</v>
      </c>
      <c r="P1137">
        <v>39193215</v>
      </c>
    </row>
    <row r="1138" spans="1:16">
      <c r="A1138" t="s">
        <v>59</v>
      </c>
      <c r="B1138">
        <v>2</v>
      </c>
      <c r="E1138" t="s">
        <v>3411</v>
      </c>
      <c r="F1138" t="s">
        <v>3412</v>
      </c>
      <c r="G1138" t="s">
        <v>3413</v>
      </c>
      <c r="I1138" t="s">
        <v>3338</v>
      </c>
      <c r="J1138" t="s">
        <v>2232</v>
      </c>
      <c r="K1138" t="s">
        <v>2233</v>
      </c>
      <c r="L1138" t="s">
        <v>3342</v>
      </c>
      <c r="N1138" t="s">
        <v>3420</v>
      </c>
      <c r="O1138" t="s">
        <v>3421</v>
      </c>
      <c r="P1138">
        <v>39193215</v>
      </c>
    </row>
    <row r="1139" spans="1:16">
      <c r="A1139" t="s">
        <v>59</v>
      </c>
      <c r="B1139">
        <v>2</v>
      </c>
      <c r="E1139" t="s">
        <v>3411</v>
      </c>
      <c r="F1139" t="s">
        <v>3412</v>
      </c>
      <c r="G1139" t="s">
        <v>3413</v>
      </c>
      <c r="I1139" t="s">
        <v>3338</v>
      </c>
      <c r="J1139" t="s">
        <v>2232</v>
      </c>
      <c r="K1139" t="s">
        <v>2233</v>
      </c>
      <c r="L1139" t="s">
        <v>3342</v>
      </c>
      <c r="N1139" t="s">
        <v>3422</v>
      </c>
      <c r="O1139" t="s">
        <v>3423</v>
      </c>
      <c r="P1139">
        <v>39193215</v>
      </c>
    </row>
    <row r="1140" spans="1:16">
      <c r="A1140" t="s">
        <v>59</v>
      </c>
      <c r="B1140">
        <v>0</v>
      </c>
      <c r="G1140" t="s">
        <v>3338</v>
      </c>
      <c r="I1140" t="s">
        <v>3338</v>
      </c>
      <c r="N1140" t="s">
        <v>3424</v>
      </c>
      <c r="O1140" t="s">
        <v>3425</v>
      </c>
      <c r="P1140">
        <v>39193215</v>
      </c>
    </row>
    <row r="1141" spans="1:16">
      <c r="A1141" t="s">
        <v>59</v>
      </c>
      <c r="B1141">
        <v>1</v>
      </c>
      <c r="E1141" t="s">
        <v>3424</v>
      </c>
      <c r="F1141" t="s">
        <v>3425</v>
      </c>
      <c r="G1141" t="s">
        <v>3426</v>
      </c>
      <c r="I1141" t="s">
        <v>3338</v>
      </c>
      <c r="J1141" t="s">
        <v>2421</v>
      </c>
      <c r="K1141" t="s">
        <v>3354</v>
      </c>
      <c r="L1141" t="s">
        <v>3369</v>
      </c>
      <c r="N1141" t="s">
        <v>3427</v>
      </c>
      <c r="O1141" t="s">
        <v>3428</v>
      </c>
      <c r="P1141">
        <v>39193215</v>
      </c>
    </row>
    <row r="1142" spans="1:16">
      <c r="A1142" t="s">
        <v>59</v>
      </c>
      <c r="B1142">
        <v>1</v>
      </c>
      <c r="E1142" t="s">
        <v>3424</v>
      </c>
      <c r="F1142" t="s">
        <v>3425</v>
      </c>
      <c r="G1142" t="s">
        <v>3426</v>
      </c>
      <c r="I1142" t="s">
        <v>3338</v>
      </c>
      <c r="J1142" t="s">
        <v>2421</v>
      </c>
      <c r="K1142" t="s">
        <v>3354</v>
      </c>
      <c r="L1142" t="s">
        <v>3369</v>
      </c>
      <c r="N1142" t="s">
        <v>3429</v>
      </c>
      <c r="O1142" t="s">
        <v>3430</v>
      </c>
      <c r="P1142">
        <v>39193215</v>
      </c>
    </row>
    <row r="1143" spans="1:16">
      <c r="A1143" t="s">
        <v>59</v>
      </c>
      <c r="B1143">
        <v>1</v>
      </c>
      <c r="E1143" t="s">
        <v>3424</v>
      </c>
      <c r="F1143" t="s">
        <v>3425</v>
      </c>
      <c r="G1143" t="s">
        <v>3426</v>
      </c>
      <c r="I1143" t="s">
        <v>3338</v>
      </c>
      <c r="J1143" t="s">
        <v>2232</v>
      </c>
      <c r="K1143" t="s">
        <v>2233</v>
      </c>
      <c r="L1143" t="s">
        <v>3342</v>
      </c>
      <c r="N1143" t="s">
        <v>3431</v>
      </c>
      <c r="O1143" t="s">
        <v>3432</v>
      </c>
      <c r="P1143">
        <v>39193215</v>
      </c>
    </row>
    <row r="1144" spans="1:16">
      <c r="A1144" t="s">
        <v>59</v>
      </c>
      <c r="B1144">
        <v>0</v>
      </c>
      <c r="G1144" t="s">
        <v>3338</v>
      </c>
      <c r="I1144" t="s">
        <v>3338</v>
      </c>
      <c r="N1144" t="s">
        <v>3433</v>
      </c>
      <c r="O1144" t="s">
        <v>3434</v>
      </c>
      <c r="P1144">
        <v>39193215</v>
      </c>
    </row>
    <row r="1145" spans="1:16">
      <c r="A1145" t="s">
        <v>59</v>
      </c>
      <c r="B1145">
        <v>1</v>
      </c>
      <c r="E1145" t="s">
        <v>3433</v>
      </c>
      <c r="F1145" t="s">
        <v>3434</v>
      </c>
      <c r="G1145" t="s">
        <v>3435</v>
      </c>
      <c r="I1145" t="s">
        <v>3338</v>
      </c>
      <c r="J1145" t="s">
        <v>2232</v>
      </c>
      <c r="K1145" t="s">
        <v>2233</v>
      </c>
      <c r="L1145" t="s">
        <v>3342</v>
      </c>
      <c r="N1145" t="s">
        <v>3436</v>
      </c>
      <c r="O1145" t="s">
        <v>3437</v>
      </c>
      <c r="P1145">
        <v>39193215</v>
      </c>
    </row>
    <row r="1146" spans="1:16">
      <c r="A1146" t="s">
        <v>59</v>
      </c>
      <c r="B1146">
        <v>1</v>
      </c>
      <c r="E1146" t="s">
        <v>3433</v>
      </c>
      <c r="F1146" t="s">
        <v>3434</v>
      </c>
      <c r="G1146" t="s">
        <v>3435</v>
      </c>
      <c r="I1146" t="s">
        <v>3338</v>
      </c>
      <c r="J1146" t="s">
        <v>2232</v>
      </c>
      <c r="K1146" t="s">
        <v>2233</v>
      </c>
      <c r="L1146" t="s">
        <v>3342</v>
      </c>
      <c r="N1146" t="s">
        <v>3438</v>
      </c>
      <c r="O1146" t="s">
        <v>3439</v>
      </c>
      <c r="P1146">
        <v>39193215</v>
      </c>
    </row>
    <row r="1147" spans="1:16">
      <c r="A1147" t="s">
        <v>59</v>
      </c>
      <c r="B1147">
        <v>1</v>
      </c>
      <c r="E1147" t="s">
        <v>3433</v>
      </c>
      <c r="F1147" t="s">
        <v>3434</v>
      </c>
      <c r="G1147" t="s">
        <v>3435</v>
      </c>
      <c r="I1147" t="s">
        <v>3338</v>
      </c>
      <c r="J1147" t="s">
        <v>2232</v>
      </c>
      <c r="K1147" t="s">
        <v>2233</v>
      </c>
      <c r="L1147" t="s">
        <v>3342</v>
      </c>
      <c r="N1147" t="s">
        <v>3440</v>
      </c>
      <c r="O1147" t="s">
        <v>3441</v>
      </c>
      <c r="P1147">
        <v>39193215</v>
      </c>
    </row>
    <row r="1148" spans="1:16">
      <c r="A1148" t="s">
        <v>59</v>
      </c>
      <c r="B1148">
        <v>1</v>
      </c>
      <c r="E1148" t="s">
        <v>3433</v>
      </c>
      <c r="F1148" t="s">
        <v>3434</v>
      </c>
      <c r="G1148" t="s">
        <v>3435</v>
      </c>
      <c r="I1148" t="s">
        <v>3338</v>
      </c>
      <c r="J1148" t="s">
        <v>2232</v>
      </c>
      <c r="K1148" t="s">
        <v>2233</v>
      </c>
      <c r="L1148" t="s">
        <v>3342</v>
      </c>
      <c r="N1148" t="s">
        <v>3442</v>
      </c>
      <c r="O1148" t="s">
        <v>3443</v>
      </c>
      <c r="P1148">
        <v>39193215</v>
      </c>
    </row>
    <row r="1149" spans="1:16">
      <c r="A1149" t="s">
        <v>59</v>
      </c>
      <c r="B1149">
        <v>1</v>
      </c>
      <c r="E1149" t="s">
        <v>3433</v>
      </c>
      <c r="F1149" t="s">
        <v>3434</v>
      </c>
      <c r="G1149" t="s">
        <v>3435</v>
      </c>
      <c r="I1149" t="s">
        <v>3338</v>
      </c>
      <c r="J1149" t="s">
        <v>2232</v>
      </c>
      <c r="K1149" t="s">
        <v>2233</v>
      </c>
      <c r="L1149" t="s">
        <v>3342</v>
      </c>
      <c r="N1149" t="s">
        <v>3444</v>
      </c>
      <c r="O1149" t="s">
        <v>3445</v>
      </c>
      <c r="P1149">
        <v>39193215</v>
      </c>
    </row>
    <row r="1150" spans="1:16">
      <c r="A1150" t="s">
        <v>59</v>
      </c>
      <c r="B1150">
        <v>1</v>
      </c>
      <c r="E1150" t="s">
        <v>3433</v>
      </c>
      <c r="F1150" t="s">
        <v>3434</v>
      </c>
      <c r="G1150" t="s">
        <v>3435</v>
      </c>
      <c r="I1150" t="s">
        <v>3338</v>
      </c>
      <c r="J1150" t="s">
        <v>2232</v>
      </c>
      <c r="K1150" t="s">
        <v>2233</v>
      </c>
      <c r="L1150" t="s">
        <v>3342</v>
      </c>
      <c r="N1150" t="s">
        <v>3446</v>
      </c>
      <c r="O1150" t="s">
        <v>3447</v>
      </c>
      <c r="P1150">
        <v>39193215</v>
      </c>
    </row>
    <row r="1151" spans="1:16">
      <c r="A1151" t="s">
        <v>59</v>
      </c>
      <c r="B1151">
        <v>0</v>
      </c>
      <c r="G1151" t="s">
        <v>3338</v>
      </c>
      <c r="I1151" t="s">
        <v>3338</v>
      </c>
      <c r="N1151" t="s">
        <v>3448</v>
      </c>
      <c r="O1151" t="s">
        <v>3449</v>
      </c>
      <c r="P1151">
        <v>39193215</v>
      </c>
    </row>
    <row r="1152" spans="1:16">
      <c r="A1152" t="s">
        <v>59</v>
      </c>
      <c r="B1152">
        <v>1</v>
      </c>
      <c r="E1152" t="s">
        <v>3448</v>
      </c>
      <c r="F1152" t="s">
        <v>3449</v>
      </c>
      <c r="G1152" t="s">
        <v>3450</v>
      </c>
      <c r="I1152" t="s">
        <v>3338</v>
      </c>
      <c r="J1152" t="s">
        <v>2421</v>
      </c>
      <c r="K1152" t="s">
        <v>3354</v>
      </c>
      <c r="L1152" t="s">
        <v>3451</v>
      </c>
      <c r="N1152" t="s">
        <v>3452</v>
      </c>
      <c r="O1152" t="s">
        <v>3453</v>
      </c>
      <c r="P1152">
        <v>39193215</v>
      </c>
    </row>
    <row r="1153" spans="1:16">
      <c r="A1153" t="s">
        <v>61</v>
      </c>
      <c r="B1153">
        <v>0</v>
      </c>
      <c r="G1153" t="s">
        <v>3338</v>
      </c>
      <c r="I1153" t="s">
        <v>3338</v>
      </c>
      <c r="N1153" t="s">
        <v>3339</v>
      </c>
      <c r="O1153" t="s">
        <v>3340</v>
      </c>
      <c r="P1153">
        <v>39854943</v>
      </c>
    </row>
    <row r="1154" spans="1:16">
      <c r="A1154" t="s">
        <v>61</v>
      </c>
      <c r="B1154">
        <v>1</v>
      </c>
      <c r="E1154" t="s">
        <v>3339</v>
      </c>
      <c r="F1154" t="s">
        <v>3340</v>
      </c>
      <c r="G1154" t="s">
        <v>3341</v>
      </c>
      <c r="I1154" t="s">
        <v>3338</v>
      </c>
      <c r="J1154" t="s">
        <v>2232</v>
      </c>
      <c r="K1154" t="s">
        <v>2233</v>
      </c>
      <c r="L1154" t="s">
        <v>3342</v>
      </c>
      <c r="N1154" t="s">
        <v>3343</v>
      </c>
      <c r="O1154" t="s">
        <v>3344</v>
      </c>
      <c r="P1154">
        <v>39854943</v>
      </c>
    </row>
    <row r="1155" spans="1:16">
      <c r="A1155" t="s">
        <v>61</v>
      </c>
      <c r="B1155">
        <v>1</v>
      </c>
      <c r="E1155" t="s">
        <v>3339</v>
      </c>
      <c r="F1155" t="s">
        <v>3340</v>
      </c>
      <c r="G1155" t="s">
        <v>3341</v>
      </c>
      <c r="I1155" t="s">
        <v>3338</v>
      </c>
      <c r="J1155" t="s">
        <v>2232</v>
      </c>
      <c r="K1155" t="s">
        <v>2233</v>
      </c>
      <c r="L1155" t="s">
        <v>3342</v>
      </c>
      <c r="N1155" t="s">
        <v>3345</v>
      </c>
      <c r="O1155" t="s">
        <v>3346</v>
      </c>
      <c r="P1155">
        <v>39854943</v>
      </c>
    </row>
    <row r="1156" spans="1:16">
      <c r="A1156" t="s">
        <v>61</v>
      </c>
      <c r="B1156">
        <v>0</v>
      </c>
      <c r="G1156" t="s">
        <v>3338</v>
      </c>
      <c r="I1156" t="s">
        <v>3338</v>
      </c>
      <c r="N1156" t="s">
        <v>3347</v>
      </c>
      <c r="O1156" t="s">
        <v>3344</v>
      </c>
      <c r="P1156">
        <v>39854943</v>
      </c>
    </row>
    <row r="1157" spans="1:16">
      <c r="A1157" t="s">
        <v>61</v>
      </c>
      <c r="B1157">
        <v>1</v>
      </c>
      <c r="E1157" t="s">
        <v>3347</v>
      </c>
      <c r="F1157" t="s">
        <v>3344</v>
      </c>
      <c r="G1157" t="s">
        <v>3348</v>
      </c>
      <c r="I1157" t="s">
        <v>3338</v>
      </c>
      <c r="J1157" t="s">
        <v>2232</v>
      </c>
      <c r="K1157" t="s">
        <v>2233</v>
      </c>
      <c r="L1157" t="s">
        <v>3342</v>
      </c>
      <c r="N1157" t="s">
        <v>3349</v>
      </c>
      <c r="O1157" t="s">
        <v>3350</v>
      </c>
      <c r="P1157">
        <v>39854943</v>
      </c>
    </row>
    <row r="1158" spans="1:16">
      <c r="A1158" t="s">
        <v>61</v>
      </c>
      <c r="B1158">
        <v>1</v>
      </c>
      <c r="E1158" t="s">
        <v>3347</v>
      </c>
      <c r="F1158" t="s">
        <v>3344</v>
      </c>
      <c r="G1158" t="s">
        <v>3348</v>
      </c>
      <c r="I1158" t="s">
        <v>3338</v>
      </c>
      <c r="L1158" t="s">
        <v>193</v>
      </c>
      <c r="N1158" t="s">
        <v>3351</v>
      </c>
      <c r="O1158" t="s">
        <v>3352</v>
      </c>
      <c r="P1158">
        <v>39854943</v>
      </c>
    </row>
    <row r="1159" spans="1:16">
      <c r="A1159" t="s">
        <v>61</v>
      </c>
      <c r="B1159">
        <v>2</v>
      </c>
      <c r="E1159" t="s">
        <v>3351</v>
      </c>
      <c r="F1159" t="s">
        <v>3352</v>
      </c>
      <c r="G1159" t="s">
        <v>3353</v>
      </c>
      <c r="I1159" t="s">
        <v>3338</v>
      </c>
      <c r="J1159" t="s">
        <v>3468</v>
      </c>
      <c r="K1159" t="s">
        <v>3469</v>
      </c>
      <c r="L1159" t="s">
        <v>3355</v>
      </c>
      <c r="N1159" t="s">
        <v>3356</v>
      </c>
      <c r="O1159" t="s">
        <v>3357</v>
      </c>
      <c r="P1159">
        <v>39854943</v>
      </c>
    </row>
    <row r="1160" spans="1:16">
      <c r="A1160" t="s">
        <v>61</v>
      </c>
      <c r="B1160">
        <v>2</v>
      </c>
      <c r="E1160" t="s">
        <v>3351</v>
      </c>
      <c r="F1160" t="s">
        <v>3352</v>
      </c>
      <c r="G1160" t="s">
        <v>3353</v>
      </c>
      <c r="I1160" t="s">
        <v>3338</v>
      </c>
      <c r="J1160" t="s">
        <v>3468</v>
      </c>
      <c r="K1160" t="s">
        <v>3469</v>
      </c>
      <c r="L1160" t="s">
        <v>3355</v>
      </c>
      <c r="N1160" t="s">
        <v>3358</v>
      </c>
      <c r="O1160" t="s">
        <v>3359</v>
      </c>
      <c r="P1160">
        <v>39854943</v>
      </c>
    </row>
    <row r="1161" spans="1:16">
      <c r="A1161" t="s">
        <v>61</v>
      </c>
      <c r="B1161">
        <v>2</v>
      </c>
      <c r="E1161" t="s">
        <v>3351</v>
      </c>
      <c r="F1161" t="s">
        <v>3352</v>
      </c>
      <c r="G1161" t="s">
        <v>3353</v>
      </c>
      <c r="I1161" t="s">
        <v>3338</v>
      </c>
      <c r="J1161" t="s">
        <v>3468</v>
      </c>
      <c r="K1161" t="s">
        <v>3469</v>
      </c>
      <c r="L1161" t="s">
        <v>3355</v>
      </c>
      <c r="N1161" t="s">
        <v>3360</v>
      </c>
      <c r="O1161" t="s">
        <v>3361</v>
      </c>
      <c r="P1161">
        <v>39854943</v>
      </c>
    </row>
    <row r="1162" spans="1:16">
      <c r="A1162" t="s">
        <v>61</v>
      </c>
      <c r="B1162">
        <v>1</v>
      </c>
      <c r="E1162" t="s">
        <v>3347</v>
      </c>
      <c r="F1162" t="s">
        <v>3344</v>
      </c>
      <c r="G1162" t="s">
        <v>3348</v>
      </c>
      <c r="I1162" t="s">
        <v>3338</v>
      </c>
      <c r="J1162" t="s">
        <v>2236</v>
      </c>
      <c r="K1162" t="s">
        <v>3362</v>
      </c>
      <c r="L1162" t="s">
        <v>3363</v>
      </c>
      <c r="N1162" t="s">
        <v>3364</v>
      </c>
      <c r="O1162" t="s">
        <v>3365</v>
      </c>
      <c r="P1162">
        <v>39854943</v>
      </c>
    </row>
    <row r="1163" spans="1:16">
      <c r="A1163" t="s">
        <v>61</v>
      </c>
      <c r="B1163">
        <v>1</v>
      </c>
      <c r="E1163" t="s">
        <v>3347</v>
      </c>
      <c r="F1163" t="s">
        <v>3344</v>
      </c>
      <c r="G1163" t="s">
        <v>3348</v>
      </c>
      <c r="I1163" t="s">
        <v>3338</v>
      </c>
      <c r="L1163" t="s">
        <v>193</v>
      </c>
      <c r="N1163" t="s">
        <v>3366</v>
      </c>
      <c r="O1163" t="s">
        <v>3367</v>
      </c>
      <c r="P1163">
        <v>39854943</v>
      </c>
    </row>
    <row r="1164" spans="1:16">
      <c r="A1164" t="s">
        <v>61</v>
      </c>
      <c r="B1164">
        <v>2</v>
      </c>
      <c r="E1164" t="s">
        <v>3366</v>
      </c>
      <c r="F1164" t="s">
        <v>3367</v>
      </c>
      <c r="G1164" t="s">
        <v>3368</v>
      </c>
      <c r="I1164" t="s">
        <v>3338</v>
      </c>
      <c r="J1164" t="s">
        <v>2421</v>
      </c>
      <c r="K1164" t="s">
        <v>3354</v>
      </c>
      <c r="L1164" t="s">
        <v>3369</v>
      </c>
      <c r="N1164" t="s">
        <v>3370</v>
      </c>
      <c r="O1164" t="s">
        <v>3359</v>
      </c>
      <c r="P1164">
        <v>39854943</v>
      </c>
    </row>
    <row r="1165" spans="1:16">
      <c r="A1165" t="s">
        <v>61</v>
      </c>
      <c r="B1165">
        <v>2</v>
      </c>
      <c r="E1165" t="s">
        <v>3366</v>
      </c>
      <c r="F1165" t="s">
        <v>3367</v>
      </c>
      <c r="G1165" t="s">
        <v>3368</v>
      </c>
      <c r="I1165" t="s">
        <v>3338</v>
      </c>
      <c r="J1165" t="s">
        <v>2421</v>
      </c>
      <c r="K1165" t="s">
        <v>3354</v>
      </c>
      <c r="L1165" t="s">
        <v>3369</v>
      </c>
      <c r="N1165" t="s">
        <v>3371</v>
      </c>
      <c r="O1165" t="s">
        <v>3372</v>
      </c>
      <c r="P1165">
        <v>39854943</v>
      </c>
    </row>
    <row r="1166" spans="1:16">
      <c r="A1166" t="s">
        <v>61</v>
      </c>
      <c r="B1166">
        <v>2</v>
      </c>
      <c r="E1166" t="s">
        <v>3366</v>
      </c>
      <c r="F1166" t="s">
        <v>3367</v>
      </c>
      <c r="G1166" t="s">
        <v>3368</v>
      </c>
      <c r="I1166" t="s">
        <v>3338</v>
      </c>
      <c r="J1166" t="s">
        <v>2421</v>
      </c>
      <c r="K1166" t="s">
        <v>3354</v>
      </c>
      <c r="L1166" t="s">
        <v>3369</v>
      </c>
      <c r="N1166" t="s">
        <v>3373</v>
      </c>
      <c r="O1166" t="s">
        <v>3374</v>
      </c>
      <c r="P1166">
        <v>39854943</v>
      </c>
    </row>
    <row r="1167" spans="1:16">
      <c r="A1167" t="s">
        <v>61</v>
      </c>
      <c r="B1167">
        <v>2</v>
      </c>
      <c r="E1167" t="s">
        <v>3366</v>
      </c>
      <c r="F1167" t="s">
        <v>3367</v>
      </c>
      <c r="G1167" t="s">
        <v>3368</v>
      </c>
      <c r="I1167" t="s">
        <v>3338</v>
      </c>
      <c r="J1167" t="s">
        <v>2236</v>
      </c>
      <c r="K1167" t="s">
        <v>3362</v>
      </c>
      <c r="L1167" t="s">
        <v>3363</v>
      </c>
      <c r="N1167" t="s">
        <v>3375</v>
      </c>
      <c r="O1167" t="s">
        <v>3376</v>
      </c>
      <c r="P1167">
        <v>39854943</v>
      </c>
    </row>
    <row r="1168" spans="1:16">
      <c r="A1168" t="s">
        <v>61</v>
      </c>
      <c r="B1168">
        <v>0</v>
      </c>
      <c r="G1168" t="s">
        <v>3338</v>
      </c>
      <c r="I1168" t="s">
        <v>3338</v>
      </c>
      <c r="N1168" t="s">
        <v>3377</v>
      </c>
      <c r="O1168" t="s">
        <v>3346</v>
      </c>
      <c r="P1168">
        <v>39854943</v>
      </c>
    </row>
    <row r="1169" spans="1:16">
      <c r="A1169" t="s">
        <v>61</v>
      </c>
      <c r="B1169">
        <v>1</v>
      </c>
      <c r="E1169" t="s">
        <v>3377</v>
      </c>
      <c r="F1169" t="s">
        <v>3346</v>
      </c>
      <c r="G1169" t="s">
        <v>3378</v>
      </c>
      <c r="I1169" t="s">
        <v>3338</v>
      </c>
      <c r="L1169" t="s">
        <v>193</v>
      </c>
      <c r="N1169" t="s">
        <v>3379</v>
      </c>
      <c r="O1169" t="s">
        <v>3380</v>
      </c>
      <c r="P1169">
        <v>39854943</v>
      </c>
    </row>
    <row r="1170" spans="1:16">
      <c r="A1170" t="s">
        <v>61</v>
      </c>
      <c r="B1170">
        <v>2</v>
      </c>
      <c r="E1170" t="s">
        <v>3379</v>
      </c>
      <c r="F1170" t="s">
        <v>3380</v>
      </c>
      <c r="G1170" t="s">
        <v>3381</v>
      </c>
      <c r="I1170" t="s">
        <v>3338</v>
      </c>
      <c r="J1170" t="s">
        <v>2421</v>
      </c>
      <c r="K1170" t="s">
        <v>3354</v>
      </c>
      <c r="L1170" t="s">
        <v>3369</v>
      </c>
      <c r="N1170" t="s">
        <v>3382</v>
      </c>
      <c r="O1170" t="s">
        <v>3352</v>
      </c>
      <c r="P1170">
        <v>39854943</v>
      </c>
    </row>
    <row r="1171" spans="1:16">
      <c r="A1171" t="s">
        <v>61</v>
      </c>
      <c r="B1171">
        <v>2</v>
      </c>
      <c r="E1171" t="s">
        <v>3379</v>
      </c>
      <c r="F1171" t="s">
        <v>3380</v>
      </c>
      <c r="G1171" t="s">
        <v>3381</v>
      </c>
      <c r="I1171" t="s">
        <v>3338</v>
      </c>
      <c r="L1171" t="s">
        <v>3383</v>
      </c>
      <c r="N1171" t="s">
        <v>3384</v>
      </c>
      <c r="O1171" t="s">
        <v>3385</v>
      </c>
      <c r="P1171">
        <v>39854943</v>
      </c>
    </row>
    <row r="1172" spans="1:16">
      <c r="A1172" t="s">
        <v>61</v>
      </c>
      <c r="B1172">
        <v>2</v>
      </c>
      <c r="E1172" t="s">
        <v>3379</v>
      </c>
      <c r="F1172" t="s">
        <v>3380</v>
      </c>
      <c r="G1172" t="s">
        <v>3381</v>
      </c>
      <c r="I1172" t="s">
        <v>3338</v>
      </c>
      <c r="J1172" t="s">
        <v>2232</v>
      </c>
      <c r="K1172" t="s">
        <v>2233</v>
      </c>
      <c r="L1172" t="s">
        <v>3342</v>
      </c>
      <c r="N1172" t="s">
        <v>3386</v>
      </c>
      <c r="O1172" t="s">
        <v>3350</v>
      </c>
      <c r="P1172">
        <v>39854943</v>
      </c>
    </row>
    <row r="1173" spans="1:16">
      <c r="A1173" t="s">
        <v>61</v>
      </c>
      <c r="B1173">
        <v>0</v>
      </c>
      <c r="G1173" t="s">
        <v>3338</v>
      </c>
      <c r="I1173" t="s">
        <v>3338</v>
      </c>
      <c r="N1173" t="s">
        <v>3395</v>
      </c>
      <c r="O1173" t="s">
        <v>3396</v>
      </c>
      <c r="P1173">
        <v>39854943</v>
      </c>
    </row>
    <row r="1174" spans="1:16">
      <c r="A1174" t="s">
        <v>61</v>
      </c>
      <c r="B1174">
        <v>1</v>
      </c>
      <c r="E1174" t="s">
        <v>3395</v>
      </c>
      <c r="F1174" t="s">
        <v>3396</v>
      </c>
      <c r="G1174" t="s">
        <v>3397</v>
      </c>
      <c r="I1174" t="s">
        <v>3338</v>
      </c>
      <c r="L1174" t="s">
        <v>3342</v>
      </c>
      <c r="N1174" t="s">
        <v>3398</v>
      </c>
      <c r="O1174" t="s">
        <v>3399</v>
      </c>
      <c r="P1174">
        <v>39854943</v>
      </c>
    </row>
    <row r="1175" spans="1:16">
      <c r="A1175" t="s">
        <v>61</v>
      </c>
      <c r="B1175">
        <v>1</v>
      </c>
      <c r="E1175" t="s">
        <v>3395</v>
      </c>
      <c r="F1175" t="s">
        <v>3396</v>
      </c>
      <c r="G1175" t="s">
        <v>3397</v>
      </c>
      <c r="I1175" t="s">
        <v>3338</v>
      </c>
      <c r="J1175" t="s">
        <v>2232</v>
      </c>
      <c r="K1175" t="s">
        <v>2233</v>
      </c>
      <c r="L1175" t="s">
        <v>3342</v>
      </c>
      <c r="N1175" t="s">
        <v>3400</v>
      </c>
      <c r="O1175" t="s">
        <v>3401</v>
      </c>
      <c r="P1175">
        <v>39854943</v>
      </c>
    </row>
    <row r="1176" spans="1:16">
      <c r="A1176" t="s">
        <v>61</v>
      </c>
      <c r="B1176">
        <v>1</v>
      </c>
      <c r="E1176" t="s">
        <v>3395</v>
      </c>
      <c r="F1176" t="s">
        <v>3396</v>
      </c>
      <c r="G1176" t="s">
        <v>3397</v>
      </c>
      <c r="I1176" t="s">
        <v>3338</v>
      </c>
      <c r="L1176" t="s">
        <v>3342</v>
      </c>
      <c r="N1176" t="s">
        <v>3402</v>
      </c>
      <c r="O1176" t="s">
        <v>3403</v>
      </c>
      <c r="P1176">
        <v>39854943</v>
      </c>
    </row>
    <row r="1177" spans="1:16">
      <c r="A1177" t="s">
        <v>61</v>
      </c>
      <c r="B1177">
        <v>1</v>
      </c>
      <c r="E1177" t="s">
        <v>3395</v>
      </c>
      <c r="F1177" t="s">
        <v>3396</v>
      </c>
      <c r="G1177" t="s">
        <v>3397</v>
      </c>
      <c r="I1177" t="s">
        <v>3338</v>
      </c>
      <c r="J1177" t="s">
        <v>2232</v>
      </c>
      <c r="K1177" t="s">
        <v>2233</v>
      </c>
      <c r="L1177" t="s">
        <v>3342</v>
      </c>
      <c r="N1177" t="s">
        <v>3404</v>
      </c>
      <c r="O1177" t="s">
        <v>3405</v>
      </c>
      <c r="P1177">
        <v>39854943</v>
      </c>
    </row>
    <row r="1178" spans="1:16">
      <c r="A1178" t="s">
        <v>61</v>
      </c>
      <c r="B1178">
        <v>0</v>
      </c>
      <c r="G1178" t="s">
        <v>3338</v>
      </c>
      <c r="I1178" t="s">
        <v>3338</v>
      </c>
      <c r="N1178" t="s">
        <v>3406</v>
      </c>
      <c r="O1178" t="s">
        <v>3407</v>
      </c>
      <c r="P1178">
        <v>39854943</v>
      </c>
    </row>
    <row r="1179" spans="1:16">
      <c r="A1179" t="s">
        <v>61</v>
      </c>
      <c r="B1179">
        <v>1</v>
      </c>
      <c r="E1179" t="s">
        <v>3406</v>
      </c>
      <c r="F1179" t="s">
        <v>3407</v>
      </c>
      <c r="G1179" t="s">
        <v>3408</v>
      </c>
      <c r="I1179" t="s">
        <v>3338</v>
      </c>
      <c r="J1179" t="s">
        <v>2421</v>
      </c>
      <c r="K1179" t="s">
        <v>3354</v>
      </c>
      <c r="L1179" t="s">
        <v>3369</v>
      </c>
      <c r="N1179" t="s">
        <v>3409</v>
      </c>
      <c r="O1179" t="s">
        <v>3410</v>
      </c>
      <c r="P1179">
        <v>39854943</v>
      </c>
    </row>
    <row r="1180" spans="1:16">
      <c r="A1180" t="s">
        <v>61</v>
      </c>
      <c r="B1180">
        <v>1</v>
      </c>
      <c r="E1180" t="s">
        <v>3406</v>
      </c>
      <c r="F1180" t="s">
        <v>3407</v>
      </c>
      <c r="G1180" t="s">
        <v>3408</v>
      </c>
      <c r="I1180" t="s">
        <v>3338</v>
      </c>
      <c r="L1180" t="s">
        <v>193</v>
      </c>
      <c r="N1180" t="s">
        <v>3411</v>
      </c>
      <c r="O1180" t="s">
        <v>3412</v>
      </c>
      <c r="P1180">
        <v>39854943</v>
      </c>
    </row>
    <row r="1181" spans="1:16">
      <c r="A1181" t="s">
        <v>61</v>
      </c>
      <c r="B1181">
        <v>2</v>
      </c>
      <c r="E1181" t="s">
        <v>3411</v>
      </c>
      <c r="F1181" t="s">
        <v>3412</v>
      </c>
      <c r="G1181" t="s">
        <v>3413</v>
      </c>
      <c r="I1181" t="s">
        <v>3338</v>
      </c>
      <c r="L1181" t="s">
        <v>3342</v>
      </c>
      <c r="N1181" t="s">
        <v>3414</v>
      </c>
      <c r="O1181" t="s">
        <v>3415</v>
      </c>
      <c r="P1181">
        <v>39854943</v>
      </c>
    </row>
    <row r="1182" spans="1:16">
      <c r="A1182" t="s">
        <v>61</v>
      </c>
      <c r="B1182">
        <v>2</v>
      </c>
      <c r="E1182" t="s">
        <v>3411</v>
      </c>
      <c r="F1182" t="s">
        <v>3412</v>
      </c>
      <c r="G1182" t="s">
        <v>3413</v>
      </c>
      <c r="I1182" t="s">
        <v>3338</v>
      </c>
      <c r="J1182" t="s">
        <v>2232</v>
      </c>
      <c r="K1182" t="s">
        <v>2233</v>
      </c>
      <c r="L1182" t="s">
        <v>3342</v>
      </c>
      <c r="N1182" t="s">
        <v>3416</v>
      </c>
      <c r="O1182" t="s">
        <v>3417</v>
      </c>
      <c r="P1182">
        <v>39854943</v>
      </c>
    </row>
    <row r="1183" spans="1:16">
      <c r="A1183" t="s">
        <v>61</v>
      </c>
      <c r="B1183">
        <v>2</v>
      </c>
      <c r="E1183" t="s">
        <v>3411</v>
      </c>
      <c r="F1183" t="s">
        <v>3412</v>
      </c>
      <c r="G1183" t="s">
        <v>3413</v>
      </c>
      <c r="I1183" t="s">
        <v>3338</v>
      </c>
      <c r="J1183" t="s">
        <v>2232</v>
      </c>
      <c r="K1183" t="s">
        <v>2233</v>
      </c>
      <c r="L1183" t="s">
        <v>3342</v>
      </c>
      <c r="N1183" t="s">
        <v>3418</v>
      </c>
      <c r="O1183" t="s">
        <v>3419</v>
      </c>
      <c r="P1183">
        <v>39854943</v>
      </c>
    </row>
    <row r="1184" spans="1:16">
      <c r="A1184" t="s">
        <v>61</v>
      </c>
      <c r="B1184">
        <v>2</v>
      </c>
      <c r="E1184" t="s">
        <v>3411</v>
      </c>
      <c r="F1184" t="s">
        <v>3412</v>
      </c>
      <c r="G1184" t="s">
        <v>3413</v>
      </c>
      <c r="I1184" t="s">
        <v>3338</v>
      </c>
      <c r="L1184" t="s">
        <v>3342</v>
      </c>
      <c r="N1184" t="s">
        <v>3420</v>
      </c>
      <c r="O1184" t="s">
        <v>3421</v>
      </c>
      <c r="P1184">
        <v>39854943</v>
      </c>
    </row>
    <row r="1185" spans="1:16">
      <c r="A1185" t="s">
        <v>61</v>
      </c>
      <c r="B1185">
        <v>2</v>
      </c>
      <c r="E1185" t="s">
        <v>3411</v>
      </c>
      <c r="F1185" t="s">
        <v>3412</v>
      </c>
      <c r="G1185" t="s">
        <v>3413</v>
      </c>
      <c r="I1185" t="s">
        <v>3338</v>
      </c>
      <c r="J1185" t="s">
        <v>2232</v>
      </c>
      <c r="K1185" t="s">
        <v>2233</v>
      </c>
      <c r="L1185" t="s">
        <v>3342</v>
      </c>
      <c r="N1185" t="s">
        <v>3422</v>
      </c>
      <c r="O1185" t="s">
        <v>3423</v>
      </c>
      <c r="P1185">
        <v>39854943</v>
      </c>
    </row>
    <row r="1186" spans="1:16">
      <c r="A1186" t="s">
        <v>61</v>
      </c>
      <c r="B1186">
        <v>0</v>
      </c>
      <c r="G1186" t="s">
        <v>3338</v>
      </c>
      <c r="I1186" t="s">
        <v>3338</v>
      </c>
      <c r="N1186" t="s">
        <v>3424</v>
      </c>
      <c r="O1186" t="s">
        <v>3425</v>
      </c>
      <c r="P1186">
        <v>39854943</v>
      </c>
    </row>
    <row r="1187" spans="1:16">
      <c r="A1187" t="s">
        <v>61</v>
      </c>
      <c r="B1187">
        <v>1</v>
      </c>
      <c r="E1187" t="s">
        <v>3424</v>
      </c>
      <c r="F1187" t="s">
        <v>3425</v>
      </c>
      <c r="G1187" t="s">
        <v>3426</v>
      </c>
      <c r="I1187" t="s">
        <v>3338</v>
      </c>
      <c r="J1187" t="s">
        <v>2421</v>
      </c>
      <c r="K1187" t="s">
        <v>3354</v>
      </c>
      <c r="L1187" t="s">
        <v>3369</v>
      </c>
      <c r="N1187" t="s">
        <v>3427</v>
      </c>
      <c r="O1187" t="s">
        <v>3428</v>
      </c>
      <c r="P1187">
        <v>39854943</v>
      </c>
    </row>
    <row r="1188" spans="1:16">
      <c r="A1188" t="s">
        <v>61</v>
      </c>
      <c r="B1188">
        <v>1</v>
      </c>
      <c r="E1188" t="s">
        <v>3424</v>
      </c>
      <c r="F1188" t="s">
        <v>3425</v>
      </c>
      <c r="G1188" t="s">
        <v>3426</v>
      </c>
      <c r="I1188" t="s">
        <v>3338</v>
      </c>
      <c r="J1188" t="s">
        <v>2421</v>
      </c>
      <c r="K1188" t="s">
        <v>3354</v>
      </c>
      <c r="L1188" t="s">
        <v>3369</v>
      </c>
      <c r="N1188" t="s">
        <v>3429</v>
      </c>
      <c r="O1188" t="s">
        <v>3430</v>
      </c>
      <c r="P1188">
        <v>39854943</v>
      </c>
    </row>
    <row r="1189" spans="1:16">
      <c r="A1189" t="s">
        <v>61</v>
      </c>
      <c r="B1189">
        <v>1</v>
      </c>
      <c r="E1189" t="s">
        <v>3424</v>
      </c>
      <c r="F1189" t="s">
        <v>3425</v>
      </c>
      <c r="G1189" t="s">
        <v>3426</v>
      </c>
      <c r="I1189" t="s">
        <v>3338</v>
      </c>
      <c r="J1189" t="s">
        <v>2232</v>
      </c>
      <c r="K1189" t="s">
        <v>2233</v>
      </c>
      <c r="L1189" t="s">
        <v>3342</v>
      </c>
      <c r="N1189" t="s">
        <v>3431</v>
      </c>
      <c r="O1189" t="s">
        <v>3432</v>
      </c>
      <c r="P1189">
        <v>39854943</v>
      </c>
    </row>
    <row r="1190" spans="1:16">
      <c r="A1190" t="s">
        <v>61</v>
      </c>
      <c r="B1190">
        <v>0</v>
      </c>
      <c r="G1190" t="s">
        <v>3338</v>
      </c>
      <c r="I1190" t="s">
        <v>3338</v>
      </c>
      <c r="N1190" t="s">
        <v>3433</v>
      </c>
      <c r="O1190" t="s">
        <v>3434</v>
      </c>
      <c r="P1190">
        <v>39854943</v>
      </c>
    </row>
    <row r="1191" spans="1:16">
      <c r="A1191" t="s">
        <v>61</v>
      </c>
      <c r="B1191">
        <v>1</v>
      </c>
      <c r="E1191" t="s">
        <v>3433</v>
      </c>
      <c r="F1191" t="s">
        <v>3434</v>
      </c>
      <c r="G1191" t="s">
        <v>3435</v>
      </c>
      <c r="I1191" t="s">
        <v>3338</v>
      </c>
      <c r="J1191" t="s">
        <v>2232</v>
      </c>
      <c r="K1191" t="s">
        <v>2233</v>
      </c>
      <c r="L1191" t="s">
        <v>3342</v>
      </c>
      <c r="N1191" t="s">
        <v>3436</v>
      </c>
      <c r="O1191" t="s">
        <v>3437</v>
      </c>
      <c r="P1191">
        <v>39854943</v>
      </c>
    </row>
    <row r="1192" spans="1:16">
      <c r="A1192" t="s">
        <v>61</v>
      </c>
      <c r="B1192">
        <v>1</v>
      </c>
      <c r="E1192" t="s">
        <v>3433</v>
      </c>
      <c r="F1192" t="s">
        <v>3434</v>
      </c>
      <c r="G1192" t="s">
        <v>3435</v>
      </c>
      <c r="I1192" t="s">
        <v>3338</v>
      </c>
      <c r="J1192" t="s">
        <v>2232</v>
      </c>
      <c r="K1192" t="s">
        <v>2233</v>
      </c>
      <c r="L1192" t="s">
        <v>3342</v>
      </c>
      <c r="N1192" t="s">
        <v>3438</v>
      </c>
      <c r="O1192" t="s">
        <v>3439</v>
      </c>
      <c r="P1192">
        <v>39854943</v>
      </c>
    </row>
    <row r="1193" spans="1:16">
      <c r="A1193" t="s">
        <v>61</v>
      </c>
      <c r="B1193">
        <v>1</v>
      </c>
      <c r="E1193" t="s">
        <v>3433</v>
      </c>
      <c r="F1193" t="s">
        <v>3434</v>
      </c>
      <c r="G1193" t="s">
        <v>3435</v>
      </c>
      <c r="I1193" t="s">
        <v>3338</v>
      </c>
      <c r="J1193" t="s">
        <v>2232</v>
      </c>
      <c r="K1193" t="s">
        <v>2233</v>
      </c>
      <c r="L1193" t="s">
        <v>3342</v>
      </c>
      <c r="N1193" t="s">
        <v>3440</v>
      </c>
      <c r="O1193" t="s">
        <v>3441</v>
      </c>
      <c r="P1193">
        <v>39854943</v>
      </c>
    </row>
    <row r="1194" spans="1:16">
      <c r="A1194" t="s">
        <v>61</v>
      </c>
      <c r="B1194">
        <v>1</v>
      </c>
      <c r="E1194" t="s">
        <v>3433</v>
      </c>
      <c r="F1194" t="s">
        <v>3434</v>
      </c>
      <c r="G1194" t="s">
        <v>3435</v>
      </c>
      <c r="I1194" t="s">
        <v>3338</v>
      </c>
      <c r="J1194" t="s">
        <v>2232</v>
      </c>
      <c r="K1194" t="s">
        <v>2233</v>
      </c>
      <c r="L1194" t="s">
        <v>3342</v>
      </c>
      <c r="N1194" t="s">
        <v>3442</v>
      </c>
      <c r="O1194" t="s">
        <v>3443</v>
      </c>
      <c r="P1194">
        <v>39854943</v>
      </c>
    </row>
    <row r="1195" spans="1:16">
      <c r="A1195" t="s">
        <v>61</v>
      </c>
      <c r="B1195">
        <v>1</v>
      </c>
      <c r="E1195" t="s">
        <v>3433</v>
      </c>
      <c r="F1195" t="s">
        <v>3434</v>
      </c>
      <c r="G1195" t="s">
        <v>3435</v>
      </c>
      <c r="I1195" t="s">
        <v>3338</v>
      </c>
      <c r="J1195" t="s">
        <v>2232</v>
      </c>
      <c r="K1195" t="s">
        <v>2233</v>
      </c>
      <c r="L1195" t="s">
        <v>3342</v>
      </c>
      <c r="N1195" t="s">
        <v>3444</v>
      </c>
      <c r="O1195" t="s">
        <v>3445</v>
      </c>
      <c r="P1195">
        <v>39854943</v>
      </c>
    </row>
    <row r="1196" spans="1:16">
      <c r="A1196" t="s">
        <v>61</v>
      </c>
      <c r="B1196">
        <v>1</v>
      </c>
      <c r="E1196" t="s">
        <v>3433</v>
      </c>
      <c r="F1196" t="s">
        <v>3434</v>
      </c>
      <c r="G1196" t="s">
        <v>3435</v>
      </c>
      <c r="I1196" t="s">
        <v>3338</v>
      </c>
      <c r="J1196" t="s">
        <v>2232</v>
      </c>
      <c r="K1196" t="s">
        <v>2233</v>
      </c>
      <c r="L1196" t="s">
        <v>3342</v>
      </c>
      <c r="N1196" t="s">
        <v>3446</v>
      </c>
      <c r="O1196" t="s">
        <v>3447</v>
      </c>
      <c r="P1196">
        <v>39854943</v>
      </c>
    </row>
    <row r="1197" spans="1:16">
      <c r="A1197" t="s">
        <v>61</v>
      </c>
      <c r="B1197">
        <v>0</v>
      </c>
      <c r="G1197" t="s">
        <v>3338</v>
      </c>
      <c r="I1197" t="s">
        <v>3338</v>
      </c>
      <c r="N1197" t="s">
        <v>3448</v>
      </c>
      <c r="O1197" t="s">
        <v>3449</v>
      </c>
      <c r="P1197">
        <v>39854943</v>
      </c>
    </row>
    <row r="1198" spans="1:16">
      <c r="A1198" t="s">
        <v>61</v>
      </c>
      <c r="B1198">
        <v>1</v>
      </c>
      <c r="E1198" t="s">
        <v>3448</v>
      </c>
      <c r="F1198" t="s">
        <v>3449</v>
      </c>
      <c r="G1198" t="s">
        <v>3450</v>
      </c>
      <c r="I1198" t="s">
        <v>3338</v>
      </c>
      <c r="J1198" t="s">
        <v>2421</v>
      </c>
      <c r="K1198" t="s">
        <v>3354</v>
      </c>
      <c r="L1198" t="s">
        <v>3451</v>
      </c>
      <c r="N1198" t="s">
        <v>3452</v>
      </c>
      <c r="O1198" t="s">
        <v>3453</v>
      </c>
      <c r="P1198">
        <v>39854943</v>
      </c>
    </row>
    <row r="1199" spans="1:16">
      <c r="A1199" t="s">
        <v>61</v>
      </c>
      <c r="B1199">
        <v>0</v>
      </c>
      <c r="G1199" t="s">
        <v>3456</v>
      </c>
      <c r="I1199" t="s">
        <v>3456</v>
      </c>
      <c r="M1199" t="s">
        <v>3463</v>
      </c>
      <c r="N1199" t="s">
        <v>3464</v>
      </c>
      <c r="O1199" t="s">
        <v>3465</v>
      </c>
      <c r="P1199">
        <v>39854943</v>
      </c>
    </row>
    <row r="1200" spans="1:16">
      <c r="A1200" t="s">
        <v>61</v>
      </c>
      <c r="B1200">
        <v>0</v>
      </c>
      <c r="G1200" t="s">
        <v>3456</v>
      </c>
      <c r="I1200" t="s">
        <v>3456</v>
      </c>
      <c r="M1200" t="s">
        <v>3463</v>
      </c>
      <c r="N1200" t="s">
        <v>3487</v>
      </c>
      <c r="O1200" t="s">
        <v>3488</v>
      </c>
      <c r="P1200">
        <v>39854943</v>
      </c>
    </row>
    <row r="1201" spans="1:16">
      <c r="A1201" t="s">
        <v>63</v>
      </c>
      <c r="B1201">
        <v>0</v>
      </c>
      <c r="G1201" t="s">
        <v>3338</v>
      </c>
      <c r="I1201" t="s">
        <v>3338</v>
      </c>
      <c r="N1201" t="s">
        <v>3339</v>
      </c>
      <c r="O1201" t="s">
        <v>3340</v>
      </c>
      <c r="P1201">
        <v>41189526</v>
      </c>
    </row>
    <row r="1202" spans="1:16">
      <c r="A1202" t="s">
        <v>63</v>
      </c>
      <c r="B1202">
        <v>1</v>
      </c>
      <c r="E1202" t="s">
        <v>3339</v>
      </c>
      <c r="F1202" t="s">
        <v>3340</v>
      </c>
      <c r="G1202" t="s">
        <v>3341</v>
      </c>
      <c r="I1202" t="s">
        <v>3338</v>
      </c>
      <c r="J1202" t="s">
        <v>2232</v>
      </c>
      <c r="K1202" t="s">
        <v>2233</v>
      </c>
      <c r="L1202" t="s">
        <v>3342</v>
      </c>
      <c r="N1202" t="s">
        <v>3343</v>
      </c>
      <c r="O1202" t="s">
        <v>3344</v>
      </c>
      <c r="P1202">
        <v>41189526</v>
      </c>
    </row>
    <row r="1203" spans="1:16">
      <c r="A1203" t="s">
        <v>63</v>
      </c>
      <c r="B1203">
        <v>1</v>
      </c>
      <c r="E1203" t="s">
        <v>3339</v>
      </c>
      <c r="F1203" t="s">
        <v>3340</v>
      </c>
      <c r="G1203" t="s">
        <v>3341</v>
      </c>
      <c r="I1203" t="s">
        <v>3338</v>
      </c>
      <c r="J1203" t="s">
        <v>2232</v>
      </c>
      <c r="K1203" t="s">
        <v>2233</v>
      </c>
      <c r="L1203" t="s">
        <v>3342</v>
      </c>
      <c r="N1203" t="s">
        <v>3345</v>
      </c>
      <c r="O1203" t="s">
        <v>3346</v>
      </c>
      <c r="P1203">
        <v>41189526</v>
      </c>
    </row>
    <row r="1204" spans="1:16">
      <c r="A1204" t="s">
        <v>63</v>
      </c>
      <c r="B1204">
        <v>0</v>
      </c>
      <c r="G1204" t="s">
        <v>3338</v>
      </c>
      <c r="I1204" t="s">
        <v>3338</v>
      </c>
      <c r="N1204" t="s">
        <v>3347</v>
      </c>
      <c r="O1204" t="s">
        <v>3344</v>
      </c>
      <c r="P1204">
        <v>41189526</v>
      </c>
    </row>
    <row r="1205" spans="1:16">
      <c r="A1205" t="s">
        <v>63</v>
      </c>
      <c r="B1205">
        <v>1</v>
      </c>
      <c r="E1205" t="s">
        <v>3347</v>
      </c>
      <c r="F1205" t="s">
        <v>3344</v>
      </c>
      <c r="G1205" t="s">
        <v>3348</v>
      </c>
      <c r="I1205" t="s">
        <v>3338</v>
      </c>
      <c r="J1205" t="s">
        <v>2232</v>
      </c>
      <c r="K1205" t="s">
        <v>2233</v>
      </c>
      <c r="L1205" t="s">
        <v>3342</v>
      </c>
      <c r="N1205" t="s">
        <v>3349</v>
      </c>
      <c r="O1205" t="s">
        <v>3350</v>
      </c>
      <c r="P1205">
        <v>41189526</v>
      </c>
    </row>
    <row r="1206" spans="1:16">
      <c r="A1206" t="s">
        <v>63</v>
      </c>
      <c r="B1206">
        <v>1</v>
      </c>
      <c r="E1206" t="s">
        <v>3347</v>
      </c>
      <c r="F1206" t="s">
        <v>3344</v>
      </c>
      <c r="G1206" t="s">
        <v>3348</v>
      </c>
      <c r="I1206" t="s">
        <v>3338</v>
      </c>
      <c r="L1206" t="s">
        <v>193</v>
      </c>
      <c r="N1206" t="s">
        <v>3351</v>
      </c>
      <c r="O1206" t="s">
        <v>3352</v>
      </c>
      <c r="P1206">
        <v>41189526</v>
      </c>
    </row>
    <row r="1207" spans="1:16">
      <c r="A1207" t="s">
        <v>63</v>
      </c>
      <c r="B1207">
        <v>2</v>
      </c>
      <c r="E1207" t="s">
        <v>3351</v>
      </c>
      <c r="F1207" t="s">
        <v>3352</v>
      </c>
      <c r="G1207" t="s">
        <v>3353</v>
      </c>
      <c r="I1207" t="s">
        <v>3338</v>
      </c>
      <c r="J1207" t="s">
        <v>2421</v>
      </c>
      <c r="K1207" t="s">
        <v>3354</v>
      </c>
      <c r="L1207" t="s">
        <v>3355</v>
      </c>
      <c r="N1207" t="s">
        <v>3356</v>
      </c>
      <c r="O1207" t="s">
        <v>3357</v>
      </c>
      <c r="P1207">
        <v>41189526</v>
      </c>
    </row>
    <row r="1208" spans="1:16">
      <c r="A1208" t="s">
        <v>63</v>
      </c>
      <c r="B1208">
        <v>2</v>
      </c>
      <c r="E1208" t="s">
        <v>3351</v>
      </c>
      <c r="F1208" t="s">
        <v>3352</v>
      </c>
      <c r="G1208" t="s">
        <v>3353</v>
      </c>
      <c r="I1208" t="s">
        <v>3338</v>
      </c>
      <c r="J1208" t="s">
        <v>2421</v>
      </c>
      <c r="K1208" t="s">
        <v>3354</v>
      </c>
      <c r="L1208" t="s">
        <v>3355</v>
      </c>
      <c r="N1208" t="s">
        <v>3358</v>
      </c>
      <c r="O1208" t="s">
        <v>3359</v>
      </c>
      <c r="P1208">
        <v>41189526</v>
      </c>
    </row>
    <row r="1209" spans="1:16">
      <c r="A1209" t="s">
        <v>63</v>
      </c>
      <c r="B1209">
        <v>2</v>
      </c>
      <c r="E1209" t="s">
        <v>3351</v>
      </c>
      <c r="F1209" t="s">
        <v>3352</v>
      </c>
      <c r="G1209" t="s">
        <v>3353</v>
      </c>
      <c r="I1209" t="s">
        <v>3338</v>
      </c>
      <c r="J1209" t="s">
        <v>2421</v>
      </c>
      <c r="K1209" t="s">
        <v>3354</v>
      </c>
      <c r="L1209" t="s">
        <v>3355</v>
      </c>
      <c r="N1209" t="s">
        <v>3360</v>
      </c>
      <c r="O1209" t="s">
        <v>3361</v>
      </c>
      <c r="P1209">
        <v>41189526</v>
      </c>
    </row>
    <row r="1210" spans="1:16">
      <c r="A1210" t="s">
        <v>63</v>
      </c>
      <c r="B1210">
        <v>1</v>
      </c>
      <c r="E1210" t="s">
        <v>3347</v>
      </c>
      <c r="F1210" t="s">
        <v>3344</v>
      </c>
      <c r="G1210" t="s">
        <v>3348</v>
      </c>
      <c r="I1210" t="s">
        <v>3338</v>
      </c>
      <c r="J1210" t="s">
        <v>2236</v>
      </c>
      <c r="K1210" t="s">
        <v>3362</v>
      </c>
      <c r="L1210" t="s">
        <v>3363</v>
      </c>
      <c r="N1210" t="s">
        <v>3364</v>
      </c>
      <c r="O1210" t="s">
        <v>3365</v>
      </c>
      <c r="P1210">
        <v>41189526</v>
      </c>
    </row>
    <row r="1211" spans="1:16">
      <c r="A1211" t="s">
        <v>63</v>
      </c>
      <c r="B1211">
        <v>1</v>
      </c>
      <c r="E1211" t="s">
        <v>3347</v>
      </c>
      <c r="F1211" t="s">
        <v>3344</v>
      </c>
      <c r="G1211" t="s">
        <v>3348</v>
      </c>
      <c r="I1211" t="s">
        <v>3338</v>
      </c>
      <c r="L1211" t="s">
        <v>193</v>
      </c>
      <c r="N1211" t="s">
        <v>3366</v>
      </c>
      <c r="O1211" t="s">
        <v>3367</v>
      </c>
      <c r="P1211">
        <v>41189526</v>
      </c>
    </row>
    <row r="1212" spans="1:16">
      <c r="A1212" t="s">
        <v>63</v>
      </c>
      <c r="B1212">
        <v>2</v>
      </c>
      <c r="E1212" t="s">
        <v>3366</v>
      </c>
      <c r="F1212" t="s">
        <v>3367</v>
      </c>
      <c r="G1212" t="s">
        <v>3368</v>
      </c>
      <c r="I1212" t="s">
        <v>3338</v>
      </c>
      <c r="J1212" t="s">
        <v>2421</v>
      </c>
      <c r="K1212" t="s">
        <v>3354</v>
      </c>
      <c r="L1212" t="s">
        <v>3369</v>
      </c>
      <c r="N1212" t="s">
        <v>3370</v>
      </c>
      <c r="O1212" t="s">
        <v>3359</v>
      </c>
      <c r="P1212">
        <v>41189526</v>
      </c>
    </row>
    <row r="1213" spans="1:16">
      <c r="A1213" t="s">
        <v>63</v>
      </c>
      <c r="B1213">
        <v>2</v>
      </c>
      <c r="E1213" t="s">
        <v>3366</v>
      </c>
      <c r="F1213" t="s">
        <v>3367</v>
      </c>
      <c r="G1213" t="s">
        <v>3368</v>
      </c>
      <c r="I1213" t="s">
        <v>3338</v>
      </c>
      <c r="J1213" t="s">
        <v>2421</v>
      </c>
      <c r="K1213" t="s">
        <v>3354</v>
      </c>
      <c r="L1213" t="s">
        <v>3369</v>
      </c>
      <c r="N1213" t="s">
        <v>3371</v>
      </c>
      <c r="O1213" t="s">
        <v>3372</v>
      </c>
      <c r="P1213">
        <v>41189526</v>
      </c>
    </row>
    <row r="1214" spans="1:16">
      <c r="A1214" t="s">
        <v>63</v>
      </c>
      <c r="B1214">
        <v>2</v>
      </c>
      <c r="E1214" t="s">
        <v>3366</v>
      </c>
      <c r="F1214" t="s">
        <v>3367</v>
      </c>
      <c r="G1214" t="s">
        <v>3368</v>
      </c>
      <c r="I1214" t="s">
        <v>3338</v>
      </c>
      <c r="J1214" t="s">
        <v>2421</v>
      </c>
      <c r="K1214" t="s">
        <v>3354</v>
      </c>
      <c r="L1214" t="s">
        <v>3369</v>
      </c>
      <c r="N1214" t="s">
        <v>3373</v>
      </c>
      <c r="O1214" t="s">
        <v>3374</v>
      </c>
      <c r="P1214">
        <v>41189526</v>
      </c>
    </row>
    <row r="1215" spans="1:16">
      <c r="A1215" t="s">
        <v>63</v>
      </c>
      <c r="B1215">
        <v>2</v>
      </c>
      <c r="E1215" t="s">
        <v>3366</v>
      </c>
      <c r="F1215" t="s">
        <v>3367</v>
      </c>
      <c r="G1215" t="s">
        <v>3368</v>
      </c>
      <c r="I1215" t="s">
        <v>3338</v>
      </c>
      <c r="J1215" t="s">
        <v>2236</v>
      </c>
      <c r="K1215" t="s">
        <v>3362</v>
      </c>
      <c r="L1215" t="s">
        <v>3363</v>
      </c>
      <c r="N1215" t="s">
        <v>3375</v>
      </c>
      <c r="O1215" t="s">
        <v>3376</v>
      </c>
      <c r="P1215">
        <v>41189526</v>
      </c>
    </row>
    <row r="1216" spans="1:16">
      <c r="A1216" t="s">
        <v>63</v>
      </c>
      <c r="B1216">
        <v>0</v>
      </c>
      <c r="G1216" t="s">
        <v>3338</v>
      </c>
      <c r="I1216" t="s">
        <v>3338</v>
      </c>
      <c r="N1216" t="s">
        <v>3377</v>
      </c>
      <c r="O1216" t="s">
        <v>3346</v>
      </c>
      <c r="P1216">
        <v>41189526</v>
      </c>
    </row>
    <row r="1217" spans="1:16">
      <c r="A1217" t="s">
        <v>63</v>
      </c>
      <c r="B1217">
        <v>1</v>
      </c>
      <c r="E1217" t="s">
        <v>3377</v>
      </c>
      <c r="F1217" t="s">
        <v>3346</v>
      </c>
      <c r="G1217" t="s">
        <v>3378</v>
      </c>
      <c r="I1217" t="s">
        <v>3338</v>
      </c>
      <c r="L1217" t="s">
        <v>193</v>
      </c>
      <c r="N1217" t="s">
        <v>3379</v>
      </c>
      <c r="O1217" t="s">
        <v>3380</v>
      </c>
      <c r="P1217">
        <v>41189526</v>
      </c>
    </row>
    <row r="1218" spans="1:16">
      <c r="A1218" t="s">
        <v>63</v>
      </c>
      <c r="B1218">
        <v>2</v>
      </c>
      <c r="E1218" t="s">
        <v>3379</v>
      </c>
      <c r="F1218" t="s">
        <v>3380</v>
      </c>
      <c r="G1218" t="s">
        <v>3381</v>
      </c>
      <c r="I1218" t="s">
        <v>3338</v>
      </c>
      <c r="J1218" t="s">
        <v>2421</v>
      </c>
      <c r="K1218" t="s">
        <v>3354</v>
      </c>
      <c r="L1218" t="s">
        <v>3369</v>
      </c>
      <c r="N1218" t="s">
        <v>3382</v>
      </c>
      <c r="O1218" t="s">
        <v>3352</v>
      </c>
      <c r="P1218">
        <v>41189526</v>
      </c>
    </row>
    <row r="1219" spans="1:16">
      <c r="A1219" t="s">
        <v>63</v>
      </c>
      <c r="B1219">
        <v>2</v>
      </c>
      <c r="E1219" t="s">
        <v>3379</v>
      </c>
      <c r="F1219" t="s">
        <v>3380</v>
      </c>
      <c r="G1219" t="s">
        <v>3381</v>
      </c>
      <c r="I1219" t="s">
        <v>3338</v>
      </c>
      <c r="L1219" t="s">
        <v>3383</v>
      </c>
      <c r="N1219" t="s">
        <v>3384</v>
      </c>
      <c r="O1219" t="s">
        <v>3385</v>
      </c>
      <c r="P1219">
        <v>41189526</v>
      </c>
    </row>
    <row r="1220" spans="1:16">
      <c r="A1220" t="s">
        <v>63</v>
      </c>
      <c r="B1220">
        <v>2</v>
      </c>
      <c r="E1220" t="s">
        <v>3379</v>
      </c>
      <c r="F1220" t="s">
        <v>3380</v>
      </c>
      <c r="G1220" t="s">
        <v>3381</v>
      </c>
      <c r="I1220" t="s">
        <v>3338</v>
      </c>
      <c r="J1220" t="s">
        <v>2232</v>
      </c>
      <c r="K1220" t="s">
        <v>2233</v>
      </c>
      <c r="L1220" t="s">
        <v>3342</v>
      </c>
      <c r="N1220" t="s">
        <v>3386</v>
      </c>
      <c r="O1220" t="s">
        <v>3350</v>
      </c>
      <c r="P1220">
        <v>41189526</v>
      </c>
    </row>
    <row r="1221" spans="1:16">
      <c r="A1221" t="s">
        <v>63</v>
      </c>
      <c r="B1221">
        <v>0</v>
      </c>
      <c r="G1221" t="s">
        <v>3338</v>
      </c>
      <c r="I1221" t="s">
        <v>3338</v>
      </c>
      <c r="N1221" t="s">
        <v>3395</v>
      </c>
      <c r="O1221" t="s">
        <v>3396</v>
      </c>
      <c r="P1221">
        <v>41189526</v>
      </c>
    </row>
    <row r="1222" spans="1:16">
      <c r="A1222" t="s">
        <v>63</v>
      </c>
      <c r="B1222">
        <v>1</v>
      </c>
      <c r="E1222" t="s">
        <v>3395</v>
      </c>
      <c r="F1222" t="s">
        <v>3396</v>
      </c>
      <c r="G1222" t="s">
        <v>3397</v>
      </c>
      <c r="I1222" t="s">
        <v>3338</v>
      </c>
      <c r="L1222" t="s">
        <v>3342</v>
      </c>
      <c r="N1222" t="s">
        <v>3398</v>
      </c>
      <c r="O1222" t="s">
        <v>3399</v>
      </c>
      <c r="P1222">
        <v>41189526</v>
      </c>
    </row>
    <row r="1223" spans="1:16">
      <c r="A1223" t="s">
        <v>63</v>
      </c>
      <c r="B1223">
        <v>1</v>
      </c>
      <c r="E1223" t="s">
        <v>3395</v>
      </c>
      <c r="F1223" t="s">
        <v>3396</v>
      </c>
      <c r="G1223" t="s">
        <v>3397</v>
      </c>
      <c r="I1223" t="s">
        <v>3338</v>
      </c>
      <c r="J1223" t="s">
        <v>2232</v>
      </c>
      <c r="K1223" t="s">
        <v>2233</v>
      </c>
      <c r="L1223" t="s">
        <v>3342</v>
      </c>
      <c r="N1223" t="s">
        <v>3400</v>
      </c>
      <c r="O1223" t="s">
        <v>3401</v>
      </c>
      <c r="P1223">
        <v>41189526</v>
      </c>
    </row>
    <row r="1224" spans="1:16">
      <c r="A1224" t="s">
        <v>63</v>
      </c>
      <c r="B1224">
        <v>1</v>
      </c>
      <c r="E1224" t="s">
        <v>3395</v>
      </c>
      <c r="F1224" t="s">
        <v>3396</v>
      </c>
      <c r="G1224" t="s">
        <v>3397</v>
      </c>
      <c r="I1224" t="s">
        <v>3338</v>
      </c>
      <c r="L1224" t="s">
        <v>3342</v>
      </c>
      <c r="N1224" t="s">
        <v>3402</v>
      </c>
      <c r="O1224" t="s">
        <v>3403</v>
      </c>
      <c r="P1224">
        <v>41189526</v>
      </c>
    </row>
    <row r="1225" spans="1:16">
      <c r="A1225" t="s">
        <v>63</v>
      </c>
      <c r="B1225">
        <v>1</v>
      </c>
      <c r="E1225" t="s">
        <v>3395</v>
      </c>
      <c r="F1225" t="s">
        <v>3396</v>
      </c>
      <c r="G1225" t="s">
        <v>3397</v>
      </c>
      <c r="I1225" t="s">
        <v>3338</v>
      </c>
      <c r="J1225" t="s">
        <v>2232</v>
      </c>
      <c r="K1225" t="s">
        <v>2233</v>
      </c>
      <c r="L1225" t="s">
        <v>3342</v>
      </c>
      <c r="N1225" t="s">
        <v>3404</v>
      </c>
      <c r="O1225" t="s">
        <v>3405</v>
      </c>
      <c r="P1225">
        <v>41189526</v>
      </c>
    </row>
    <row r="1226" spans="1:16">
      <c r="A1226" t="s">
        <v>63</v>
      </c>
      <c r="B1226">
        <v>0</v>
      </c>
      <c r="G1226" t="s">
        <v>3338</v>
      </c>
      <c r="I1226" t="s">
        <v>3338</v>
      </c>
      <c r="N1226" t="s">
        <v>3406</v>
      </c>
      <c r="O1226" t="s">
        <v>3407</v>
      </c>
      <c r="P1226">
        <v>41189526</v>
      </c>
    </row>
    <row r="1227" spans="1:16">
      <c r="A1227" t="s">
        <v>63</v>
      </c>
      <c r="B1227">
        <v>1</v>
      </c>
      <c r="E1227" t="s">
        <v>3406</v>
      </c>
      <c r="F1227" t="s">
        <v>3407</v>
      </c>
      <c r="G1227" t="s">
        <v>3408</v>
      </c>
      <c r="I1227" t="s">
        <v>3338</v>
      </c>
      <c r="J1227" t="s">
        <v>2421</v>
      </c>
      <c r="K1227" t="s">
        <v>3354</v>
      </c>
      <c r="L1227" t="s">
        <v>3369</v>
      </c>
      <c r="N1227" t="s">
        <v>3409</v>
      </c>
      <c r="O1227" t="s">
        <v>3410</v>
      </c>
      <c r="P1227">
        <v>41189526</v>
      </c>
    </row>
    <row r="1228" spans="1:16">
      <c r="A1228" t="s">
        <v>63</v>
      </c>
      <c r="B1228">
        <v>1</v>
      </c>
      <c r="E1228" t="s">
        <v>3406</v>
      </c>
      <c r="F1228" t="s">
        <v>3407</v>
      </c>
      <c r="G1228" t="s">
        <v>3408</v>
      </c>
      <c r="I1228" t="s">
        <v>3338</v>
      </c>
      <c r="L1228" t="s">
        <v>193</v>
      </c>
      <c r="N1228" t="s">
        <v>3411</v>
      </c>
      <c r="O1228" t="s">
        <v>3412</v>
      </c>
      <c r="P1228">
        <v>41189526</v>
      </c>
    </row>
    <row r="1229" spans="1:16">
      <c r="A1229" t="s">
        <v>63</v>
      </c>
      <c r="B1229">
        <v>2</v>
      </c>
      <c r="E1229" t="s">
        <v>3411</v>
      </c>
      <c r="F1229" t="s">
        <v>3412</v>
      </c>
      <c r="G1229" t="s">
        <v>3413</v>
      </c>
      <c r="I1229" t="s">
        <v>3338</v>
      </c>
      <c r="L1229" t="s">
        <v>3342</v>
      </c>
      <c r="N1229" t="s">
        <v>3414</v>
      </c>
      <c r="O1229" t="s">
        <v>3415</v>
      </c>
      <c r="P1229">
        <v>41189526</v>
      </c>
    </row>
    <row r="1230" spans="1:16">
      <c r="A1230" t="s">
        <v>63</v>
      </c>
      <c r="B1230">
        <v>2</v>
      </c>
      <c r="E1230" t="s">
        <v>3411</v>
      </c>
      <c r="F1230" t="s">
        <v>3412</v>
      </c>
      <c r="G1230" t="s">
        <v>3413</v>
      </c>
      <c r="I1230" t="s">
        <v>3338</v>
      </c>
      <c r="J1230" t="s">
        <v>2232</v>
      </c>
      <c r="K1230" t="s">
        <v>2233</v>
      </c>
      <c r="L1230" t="s">
        <v>3342</v>
      </c>
      <c r="N1230" t="s">
        <v>3416</v>
      </c>
      <c r="O1230" t="s">
        <v>3417</v>
      </c>
      <c r="P1230">
        <v>41189526</v>
      </c>
    </row>
    <row r="1231" spans="1:16">
      <c r="A1231" t="s">
        <v>63</v>
      </c>
      <c r="B1231">
        <v>2</v>
      </c>
      <c r="E1231" t="s">
        <v>3411</v>
      </c>
      <c r="F1231" t="s">
        <v>3412</v>
      </c>
      <c r="G1231" t="s">
        <v>3413</v>
      </c>
      <c r="I1231" t="s">
        <v>3338</v>
      </c>
      <c r="J1231" t="s">
        <v>2232</v>
      </c>
      <c r="K1231" t="s">
        <v>2233</v>
      </c>
      <c r="L1231" t="s">
        <v>3342</v>
      </c>
      <c r="N1231" t="s">
        <v>3418</v>
      </c>
      <c r="O1231" t="s">
        <v>3419</v>
      </c>
      <c r="P1231">
        <v>41189526</v>
      </c>
    </row>
    <row r="1232" spans="1:16">
      <c r="A1232" t="s">
        <v>63</v>
      </c>
      <c r="B1232">
        <v>2</v>
      </c>
      <c r="E1232" t="s">
        <v>3411</v>
      </c>
      <c r="F1232" t="s">
        <v>3412</v>
      </c>
      <c r="G1232" t="s">
        <v>3413</v>
      </c>
      <c r="I1232" t="s">
        <v>3338</v>
      </c>
      <c r="L1232" t="s">
        <v>3342</v>
      </c>
      <c r="N1232" t="s">
        <v>3420</v>
      </c>
      <c r="O1232" t="s">
        <v>3421</v>
      </c>
      <c r="P1232">
        <v>41189526</v>
      </c>
    </row>
    <row r="1233" spans="1:16">
      <c r="A1233" t="s">
        <v>63</v>
      </c>
      <c r="B1233">
        <v>2</v>
      </c>
      <c r="E1233" t="s">
        <v>3411</v>
      </c>
      <c r="F1233" t="s">
        <v>3412</v>
      </c>
      <c r="G1233" t="s">
        <v>3413</v>
      </c>
      <c r="I1233" t="s">
        <v>3338</v>
      </c>
      <c r="J1233" t="s">
        <v>2232</v>
      </c>
      <c r="K1233" t="s">
        <v>2233</v>
      </c>
      <c r="L1233" t="s">
        <v>3342</v>
      </c>
      <c r="N1233" t="s">
        <v>3422</v>
      </c>
      <c r="O1233" t="s">
        <v>3423</v>
      </c>
      <c r="P1233">
        <v>41189526</v>
      </c>
    </row>
    <row r="1234" spans="1:16">
      <c r="A1234" t="s">
        <v>63</v>
      </c>
      <c r="B1234">
        <v>0</v>
      </c>
      <c r="G1234" t="s">
        <v>3338</v>
      </c>
      <c r="I1234" t="s">
        <v>3338</v>
      </c>
      <c r="N1234" t="s">
        <v>3424</v>
      </c>
      <c r="O1234" t="s">
        <v>3425</v>
      </c>
      <c r="P1234">
        <v>41189526</v>
      </c>
    </row>
    <row r="1235" spans="1:16">
      <c r="A1235" t="s">
        <v>63</v>
      </c>
      <c r="B1235">
        <v>1</v>
      </c>
      <c r="E1235" t="s">
        <v>3424</v>
      </c>
      <c r="F1235" t="s">
        <v>3425</v>
      </c>
      <c r="G1235" t="s">
        <v>3426</v>
      </c>
      <c r="I1235" t="s">
        <v>3338</v>
      </c>
      <c r="J1235" t="s">
        <v>2421</v>
      </c>
      <c r="K1235" t="s">
        <v>3354</v>
      </c>
      <c r="L1235" t="s">
        <v>3369</v>
      </c>
      <c r="N1235" t="s">
        <v>3427</v>
      </c>
      <c r="O1235" t="s">
        <v>3428</v>
      </c>
      <c r="P1235">
        <v>41189526</v>
      </c>
    </row>
    <row r="1236" spans="1:16">
      <c r="A1236" t="s">
        <v>63</v>
      </c>
      <c r="B1236">
        <v>1</v>
      </c>
      <c r="E1236" t="s">
        <v>3424</v>
      </c>
      <c r="F1236" t="s">
        <v>3425</v>
      </c>
      <c r="G1236" t="s">
        <v>3426</v>
      </c>
      <c r="I1236" t="s">
        <v>3338</v>
      </c>
      <c r="J1236" t="s">
        <v>2421</v>
      </c>
      <c r="K1236" t="s">
        <v>3354</v>
      </c>
      <c r="L1236" t="s">
        <v>3369</v>
      </c>
      <c r="N1236" t="s">
        <v>3429</v>
      </c>
      <c r="O1236" t="s">
        <v>3430</v>
      </c>
      <c r="P1236">
        <v>41189526</v>
      </c>
    </row>
    <row r="1237" spans="1:16">
      <c r="A1237" t="s">
        <v>63</v>
      </c>
      <c r="B1237">
        <v>1</v>
      </c>
      <c r="E1237" t="s">
        <v>3424</v>
      </c>
      <c r="F1237" t="s">
        <v>3425</v>
      </c>
      <c r="G1237" t="s">
        <v>3426</v>
      </c>
      <c r="I1237" t="s">
        <v>3338</v>
      </c>
      <c r="J1237" t="s">
        <v>2232</v>
      </c>
      <c r="K1237" t="s">
        <v>2233</v>
      </c>
      <c r="L1237" t="s">
        <v>3342</v>
      </c>
      <c r="N1237" t="s">
        <v>3431</v>
      </c>
      <c r="O1237" t="s">
        <v>3432</v>
      </c>
      <c r="P1237">
        <v>41189526</v>
      </c>
    </row>
    <row r="1238" spans="1:16">
      <c r="A1238" t="s">
        <v>63</v>
      </c>
      <c r="B1238">
        <v>0</v>
      </c>
      <c r="G1238" t="s">
        <v>3338</v>
      </c>
      <c r="I1238" t="s">
        <v>3338</v>
      </c>
      <c r="N1238" t="s">
        <v>3433</v>
      </c>
      <c r="O1238" t="s">
        <v>3434</v>
      </c>
      <c r="P1238">
        <v>41189526</v>
      </c>
    </row>
    <row r="1239" spans="1:16">
      <c r="A1239" t="s">
        <v>63</v>
      </c>
      <c r="B1239">
        <v>1</v>
      </c>
      <c r="E1239" t="s">
        <v>3433</v>
      </c>
      <c r="F1239" t="s">
        <v>3434</v>
      </c>
      <c r="G1239" t="s">
        <v>3435</v>
      </c>
      <c r="I1239" t="s">
        <v>3338</v>
      </c>
      <c r="J1239" t="s">
        <v>2232</v>
      </c>
      <c r="K1239" t="s">
        <v>2233</v>
      </c>
      <c r="L1239" t="s">
        <v>3342</v>
      </c>
      <c r="N1239" t="s">
        <v>3436</v>
      </c>
      <c r="O1239" t="s">
        <v>3437</v>
      </c>
      <c r="P1239">
        <v>41189526</v>
      </c>
    </row>
    <row r="1240" spans="1:16">
      <c r="A1240" t="s">
        <v>63</v>
      </c>
      <c r="B1240">
        <v>1</v>
      </c>
      <c r="E1240" t="s">
        <v>3433</v>
      </c>
      <c r="F1240" t="s">
        <v>3434</v>
      </c>
      <c r="G1240" t="s">
        <v>3435</v>
      </c>
      <c r="I1240" t="s">
        <v>3338</v>
      </c>
      <c r="J1240" t="s">
        <v>2232</v>
      </c>
      <c r="K1240" t="s">
        <v>2233</v>
      </c>
      <c r="L1240" t="s">
        <v>3342</v>
      </c>
      <c r="N1240" t="s">
        <v>3438</v>
      </c>
      <c r="O1240" t="s">
        <v>3439</v>
      </c>
      <c r="P1240">
        <v>41189526</v>
      </c>
    </row>
    <row r="1241" spans="1:16">
      <c r="A1241" t="s">
        <v>63</v>
      </c>
      <c r="B1241">
        <v>1</v>
      </c>
      <c r="E1241" t="s">
        <v>3433</v>
      </c>
      <c r="F1241" t="s">
        <v>3434</v>
      </c>
      <c r="G1241" t="s">
        <v>3435</v>
      </c>
      <c r="I1241" t="s">
        <v>3338</v>
      </c>
      <c r="J1241" t="s">
        <v>2232</v>
      </c>
      <c r="K1241" t="s">
        <v>2233</v>
      </c>
      <c r="L1241" t="s">
        <v>3342</v>
      </c>
      <c r="N1241" t="s">
        <v>3440</v>
      </c>
      <c r="O1241" t="s">
        <v>3441</v>
      </c>
      <c r="P1241">
        <v>41189526</v>
      </c>
    </row>
    <row r="1242" spans="1:16">
      <c r="A1242" t="s">
        <v>63</v>
      </c>
      <c r="B1242">
        <v>1</v>
      </c>
      <c r="E1242" t="s">
        <v>3433</v>
      </c>
      <c r="F1242" t="s">
        <v>3434</v>
      </c>
      <c r="G1242" t="s">
        <v>3435</v>
      </c>
      <c r="I1242" t="s">
        <v>3338</v>
      </c>
      <c r="J1242" t="s">
        <v>2232</v>
      </c>
      <c r="K1242" t="s">
        <v>2233</v>
      </c>
      <c r="L1242" t="s">
        <v>3342</v>
      </c>
      <c r="N1242" t="s">
        <v>3442</v>
      </c>
      <c r="O1242" t="s">
        <v>3443</v>
      </c>
      <c r="P1242">
        <v>41189526</v>
      </c>
    </row>
    <row r="1243" spans="1:16">
      <c r="A1243" t="s">
        <v>63</v>
      </c>
      <c r="B1243">
        <v>1</v>
      </c>
      <c r="E1243" t="s">
        <v>3433</v>
      </c>
      <c r="F1243" t="s">
        <v>3434</v>
      </c>
      <c r="G1243" t="s">
        <v>3435</v>
      </c>
      <c r="I1243" t="s">
        <v>3338</v>
      </c>
      <c r="J1243" t="s">
        <v>2232</v>
      </c>
      <c r="K1243" t="s">
        <v>2233</v>
      </c>
      <c r="L1243" t="s">
        <v>3342</v>
      </c>
      <c r="N1243" t="s">
        <v>3444</v>
      </c>
      <c r="O1243" t="s">
        <v>3445</v>
      </c>
      <c r="P1243">
        <v>41189526</v>
      </c>
    </row>
    <row r="1244" spans="1:16">
      <c r="A1244" t="s">
        <v>63</v>
      </c>
      <c r="B1244">
        <v>1</v>
      </c>
      <c r="E1244" t="s">
        <v>3433</v>
      </c>
      <c r="F1244" t="s">
        <v>3434</v>
      </c>
      <c r="G1244" t="s">
        <v>3435</v>
      </c>
      <c r="I1244" t="s">
        <v>3338</v>
      </c>
      <c r="J1244" t="s">
        <v>2232</v>
      </c>
      <c r="K1244" t="s">
        <v>2233</v>
      </c>
      <c r="L1244" t="s">
        <v>3342</v>
      </c>
      <c r="N1244" t="s">
        <v>3446</v>
      </c>
      <c r="O1244" t="s">
        <v>3447</v>
      </c>
      <c r="P1244">
        <v>41189526</v>
      </c>
    </row>
    <row r="1245" spans="1:16">
      <c r="A1245" t="s">
        <v>63</v>
      </c>
      <c r="B1245">
        <v>0</v>
      </c>
      <c r="G1245" t="s">
        <v>3338</v>
      </c>
      <c r="I1245" t="s">
        <v>3338</v>
      </c>
      <c r="N1245" t="s">
        <v>3448</v>
      </c>
      <c r="O1245" t="s">
        <v>3449</v>
      </c>
      <c r="P1245">
        <v>41189526</v>
      </c>
    </row>
    <row r="1246" spans="1:16">
      <c r="A1246" t="s">
        <v>63</v>
      </c>
      <c r="B1246">
        <v>1</v>
      </c>
      <c r="E1246" t="s">
        <v>3448</v>
      </c>
      <c r="F1246" t="s">
        <v>3449</v>
      </c>
      <c r="G1246" t="s">
        <v>3450</v>
      </c>
      <c r="I1246" t="s">
        <v>3338</v>
      </c>
      <c r="J1246" t="s">
        <v>2421</v>
      </c>
      <c r="K1246" t="s">
        <v>3354</v>
      </c>
      <c r="L1246" t="s">
        <v>3451</v>
      </c>
      <c r="N1246" t="s">
        <v>3452</v>
      </c>
      <c r="O1246" t="s">
        <v>3453</v>
      </c>
      <c r="P1246">
        <v>41189526</v>
      </c>
    </row>
    <row r="1247" spans="1:16">
      <c r="A1247" t="s">
        <v>65</v>
      </c>
      <c r="B1247">
        <v>0</v>
      </c>
      <c r="G1247" t="s">
        <v>3338</v>
      </c>
      <c r="I1247" t="s">
        <v>3338</v>
      </c>
      <c r="N1247" t="s">
        <v>3339</v>
      </c>
      <c r="O1247" t="s">
        <v>3340</v>
      </c>
      <c r="P1247">
        <v>41187820</v>
      </c>
    </row>
    <row r="1248" spans="1:16">
      <c r="A1248" t="s">
        <v>65</v>
      </c>
      <c r="B1248">
        <v>1</v>
      </c>
      <c r="E1248" t="s">
        <v>3339</v>
      </c>
      <c r="F1248" t="s">
        <v>3340</v>
      </c>
      <c r="G1248" t="s">
        <v>3341</v>
      </c>
      <c r="I1248" t="s">
        <v>3338</v>
      </c>
      <c r="J1248" t="s">
        <v>2232</v>
      </c>
      <c r="K1248" t="s">
        <v>2233</v>
      </c>
      <c r="L1248" t="s">
        <v>3342</v>
      </c>
      <c r="N1248" t="s">
        <v>3343</v>
      </c>
      <c r="O1248" t="s">
        <v>3344</v>
      </c>
      <c r="P1248">
        <v>41187820</v>
      </c>
    </row>
    <row r="1249" spans="1:16">
      <c r="A1249" t="s">
        <v>65</v>
      </c>
      <c r="B1249">
        <v>1</v>
      </c>
      <c r="E1249" t="s">
        <v>3339</v>
      </c>
      <c r="F1249" t="s">
        <v>3340</v>
      </c>
      <c r="G1249" t="s">
        <v>3341</v>
      </c>
      <c r="I1249" t="s">
        <v>3338</v>
      </c>
      <c r="J1249" t="s">
        <v>2232</v>
      </c>
      <c r="K1249" t="s">
        <v>2233</v>
      </c>
      <c r="L1249" t="s">
        <v>3342</v>
      </c>
      <c r="N1249" t="s">
        <v>3345</v>
      </c>
      <c r="O1249" t="s">
        <v>3346</v>
      </c>
      <c r="P1249">
        <v>41187820</v>
      </c>
    </row>
    <row r="1250" spans="1:16">
      <c r="A1250" t="s">
        <v>65</v>
      </c>
      <c r="B1250">
        <v>0</v>
      </c>
      <c r="G1250" t="s">
        <v>3338</v>
      </c>
      <c r="I1250" t="s">
        <v>3338</v>
      </c>
      <c r="N1250" t="s">
        <v>3347</v>
      </c>
      <c r="O1250" t="s">
        <v>3344</v>
      </c>
      <c r="P1250">
        <v>41187820</v>
      </c>
    </row>
    <row r="1251" spans="1:16">
      <c r="A1251" t="s">
        <v>65</v>
      </c>
      <c r="B1251">
        <v>1</v>
      </c>
      <c r="E1251" t="s">
        <v>3347</v>
      </c>
      <c r="F1251" t="s">
        <v>3344</v>
      </c>
      <c r="G1251" t="s">
        <v>3348</v>
      </c>
      <c r="I1251" t="s">
        <v>3338</v>
      </c>
      <c r="J1251" t="s">
        <v>2232</v>
      </c>
      <c r="K1251" t="s">
        <v>2233</v>
      </c>
      <c r="L1251" t="s">
        <v>3342</v>
      </c>
      <c r="N1251" t="s">
        <v>3349</v>
      </c>
      <c r="O1251" t="s">
        <v>3350</v>
      </c>
      <c r="P1251">
        <v>41187820</v>
      </c>
    </row>
    <row r="1252" spans="1:16">
      <c r="A1252" t="s">
        <v>65</v>
      </c>
      <c r="B1252">
        <v>1</v>
      </c>
      <c r="E1252" t="s">
        <v>3347</v>
      </c>
      <c r="F1252" t="s">
        <v>3344</v>
      </c>
      <c r="G1252" t="s">
        <v>3348</v>
      </c>
      <c r="I1252" t="s">
        <v>3338</v>
      </c>
      <c r="L1252" t="s">
        <v>193</v>
      </c>
      <c r="N1252" t="s">
        <v>3351</v>
      </c>
      <c r="O1252" t="s">
        <v>3352</v>
      </c>
      <c r="P1252">
        <v>41187820</v>
      </c>
    </row>
    <row r="1253" spans="1:16">
      <c r="A1253" t="s">
        <v>65</v>
      </c>
      <c r="B1253">
        <v>2</v>
      </c>
      <c r="E1253" t="s">
        <v>3351</v>
      </c>
      <c r="F1253" t="s">
        <v>3352</v>
      </c>
      <c r="G1253" t="s">
        <v>3353</v>
      </c>
      <c r="I1253" t="s">
        <v>3338</v>
      </c>
      <c r="J1253" t="s">
        <v>2421</v>
      </c>
      <c r="K1253" t="s">
        <v>3354</v>
      </c>
      <c r="L1253" t="s">
        <v>3355</v>
      </c>
      <c r="N1253" t="s">
        <v>3356</v>
      </c>
      <c r="O1253" t="s">
        <v>3357</v>
      </c>
      <c r="P1253">
        <v>41187820</v>
      </c>
    </row>
    <row r="1254" spans="1:16">
      <c r="A1254" t="s">
        <v>65</v>
      </c>
      <c r="B1254">
        <v>2</v>
      </c>
      <c r="E1254" t="s">
        <v>3351</v>
      </c>
      <c r="F1254" t="s">
        <v>3352</v>
      </c>
      <c r="G1254" t="s">
        <v>3353</v>
      </c>
      <c r="I1254" t="s">
        <v>3338</v>
      </c>
      <c r="J1254" t="s">
        <v>2421</v>
      </c>
      <c r="K1254" t="s">
        <v>3354</v>
      </c>
      <c r="L1254" t="s">
        <v>3355</v>
      </c>
      <c r="N1254" t="s">
        <v>3358</v>
      </c>
      <c r="O1254" t="s">
        <v>3359</v>
      </c>
      <c r="P1254">
        <v>41187820</v>
      </c>
    </row>
    <row r="1255" spans="1:16">
      <c r="A1255" t="s">
        <v>65</v>
      </c>
      <c r="B1255">
        <v>2</v>
      </c>
      <c r="E1255" t="s">
        <v>3351</v>
      </c>
      <c r="F1255" t="s">
        <v>3352</v>
      </c>
      <c r="G1255" t="s">
        <v>3353</v>
      </c>
      <c r="I1255" t="s">
        <v>3338</v>
      </c>
      <c r="J1255" t="s">
        <v>2421</v>
      </c>
      <c r="K1255" t="s">
        <v>3354</v>
      </c>
      <c r="L1255" t="s">
        <v>3355</v>
      </c>
      <c r="N1255" t="s">
        <v>3360</v>
      </c>
      <c r="O1255" t="s">
        <v>3361</v>
      </c>
      <c r="P1255">
        <v>41187820</v>
      </c>
    </row>
    <row r="1256" spans="1:16">
      <c r="A1256" t="s">
        <v>65</v>
      </c>
      <c r="B1256">
        <v>1</v>
      </c>
      <c r="E1256" t="s">
        <v>3347</v>
      </c>
      <c r="F1256" t="s">
        <v>3344</v>
      </c>
      <c r="G1256" t="s">
        <v>3348</v>
      </c>
      <c r="I1256" t="s">
        <v>3338</v>
      </c>
      <c r="J1256" t="s">
        <v>2236</v>
      </c>
      <c r="K1256" t="s">
        <v>3362</v>
      </c>
      <c r="L1256" t="s">
        <v>3363</v>
      </c>
      <c r="N1256" t="s">
        <v>3364</v>
      </c>
      <c r="O1256" t="s">
        <v>3365</v>
      </c>
      <c r="P1256">
        <v>41187820</v>
      </c>
    </row>
    <row r="1257" spans="1:16">
      <c r="A1257" t="s">
        <v>65</v>
      </c>
      <c r="B1257">
        <v>1</v>
      </c>
      <c r="E1257" t="s">
        <v>3347</v>
      </c>
      <c r="F1257" t="s">
        <v>3344</v>
      </c>
      <c r="G1257" t="s">
        <v>3348</v>
      </c>
      <c r="I1257" t="s">
        <v>3338</v>
      </c>
      <c r="L1257" t="s">
        <v>193</v>
      </c>
      <c r="N1257" t="s">
        <v>3366</v>
      </c>
      <c r="O1257" t="s">
        <v>3367</v>
      </c>
      <c r="P1257">
        <v>41187820</v>
      </c>
    </row>
    <row r="1258" spans="1:16">
      <c r="A1258" t="s">
        <v>65</v>
      </c>
      <c r="B1258">
        <v>2</v>
      </c>
      <c r="E1258" t="s">
        <v>3366</v>
      </c>
      <c r="F1258" t="s">
        <v>3367</v>
      </c>
      <c r="G1258" t="s">
        <v>3368</v>
      </c>
      <c r="I1258" t="s">
        <v>3338</v>
      </c>
      <c r="J1258" t="s">
        <v>2421</v>
      </c>
      <c r="K1258" t="s">
        <v>3354</v>
      </c>
      <c r="L1258" t="s">
        <v>3369</v>
      </c>
      <c r="N1258" t="s">
        <v>3370</v>
      </c>
      <c r="O1258" t="s">
        <v>3359</v>
      </c>
      <c r="P1258">
        <v>41187820</v>
      </c>
    </row>
    <row r="1259" spans="1:16">
      <c r="A1259" t="s">
        <v>65</v>
      </c>
      <c r="B1259">
        <v>2</v>
      </c>
      <c r="E1259" t="s">
        <v>3366</v>
      </c>
      <c r="F1259" t="s">
        <v>3367</v>
      </c>
      <c r="G1259" t="s">
        <v>3368</v>
      </c>
      <c r="I1259" t="s">
        <v>3338</v>
      </c>
      <c r="J1259" t="s">
        <v>2421</v>
      </c>
      <c r="K1259" t="s">
        <v>3354</v>
      </c>
      <c r="L1259" t="s">
        <v>3369</v>
      </c>
      <c r="N1259" t="s">
        <v>3371</v>
      </c>
      <c r="O1259" t="s">
        <v>3372</v>
      </c>
      <c r="P1259">
        <v>41187820</v>
      </c>
    </row>
    <row r="1260" spans="1:16">
      <c r="A1260" t="s">
        <v>65</v>
      </c>
      <c r="B1260">
        <v>2</v>
      </c>
      <c r="E1260" t="s">
        <v>3366</v>
      </c>
      <c r="F1260" t="s">
        <v>3367</v>
      </c>
      <c r="G1260" t="s">
        <v>3368</v>
      </c>
      <c r="I1260" t="s">
        <v>3338</v>
      </c>
      <c r="J1260" t="s">
        <v>2421</v>
      </c>
      <c r="K1260" t="s">
        <v>3354</v>
      </c>
      <c r="L1260" t="s">
        <v>3369</v>
      </c>
      <c r="N1260" t="s">
        <v>3373</v>
      </c>
      <c r="O1260" t="s">
        <v>3374</v>
      </c>
      <c r="P1260">
        <v>41187820</v>
      </c>
    </row>
    <row r="1261" spans="1:16">
      <c r="A1261" t="s">
        <v>65</v>
      </c>
      <c r="B1261">
        <v>2</v>
      </c>
      <c r="E1261" t="s">
        <v>3366</v>
      </c>
      <c r="F1261" t="s">
        <v>3367</v>
      </c>
      <c r="G1261" t="s">
        <v>3368</v>
      </c>
      <c r="I1261" t="s">
        <v>3338</v>
      </c>
      <c r="J1261" t="s">
        <v>2236</v>
      </c>
      <c r="K1261" t="s">
        <v>3362</v>
      </c>
      <c r="L1261" t="s">
        <v>3363</v>
      </c>
      <c r="N1261" t="s">
        <v>3375</v>
      </c>
      <c r="O1261" t="s">
        <v>3376</v>
      </c>
      <c r="P1261">
        <v>41187820</v>
      </c>
    </row>
    <row r="1262" spans="1:16">
      <c r="A1262" t="s">
        <v>65</v>
      </c>
      <c r="B1262">
        <v>1</v>
      </c>
      <c r="E1262" t="s">
        <v>3347</v>
      </c>
      <c r="F1262" t="s">
        <v>3344</v>
      </c>
      <c r="G1262" t="s">
        <v>3348</v>
      </c>
      <c r="I1262" t="s">
        <v>3338</v>
      </c>
      <c r="J1262" t="s">
        <v>2232</v>
      </c>
      <c r="K1262" t="s">
        <v>2233</v>
      </c>
      <c r="L1262" t="s">
        <v>3342</v>
      </c>
      <c r="N1262" t="s">
        <v>3454</v>
      </c>
      <c r="O1262" t="s">
        <v>3455</v>
      </c>
      <c r="P1262">
        <v>41187820</v>
      </c>
    </row>
    <row r="1263" spans="1:16">
      <c r="A1263" t="s">
        <v>65</v>
      </c>
      <c r="B1263">
        <v>0</v>
      </c>
      <c r="G1263" t="s">
        <v>3338</v>
      </c>
      <c r="I1263" t="s">
        <v>3338</v>
      </c>
      <c r="N1263" t="s">
        <v>3377</v>
      </c>
      <c r="O1263" t="s">
        <v>3346</v>
      </c>
      <c r="P1263">
        <v>41187820</v>
      </c>
    </row>
    <row r="1264" spans="1:16">
      <c r="A1264" t="s">
        <v>65</v>
      </c>
      <c r="B1264">
        <v>1</v>
      </c>
      <c r="E1264" t="s">
        <v>3377</v>
      </c>
      <c r="F1264" t="s">
        <v>3346</v>
      </c>
      <c r="G1264" t="s">
        <v>3378</v>
      </c>
      <c r="I1264" t="s">
        <v>3338</v>
      </c>
      <c r="L1264" t="s">
        <v>193</v>
      </c>
      <c r="N1264" t="s">
        <v>3379</v>
      </c>
      <c r="O1264" t="s">
        <v>3380</v>
      </c>
      <c r="P1264">
        <v>41187820</v>
      </c>
    </row>
    <row r="1265" spans="1:16">
      <c r="A1265" t="s">
        <v>65</v>
      </c>
      <c r="B1265">
        <v>2</v>
      </c>
      <c r="E1265" t="s">
        <v>3379</v>
      </c>
      <c r="F1265" t="s">
        <v>3380</v>
      </c>
      <c r="G1265" t="s">
        <v>3381</v>
      </c>
      <c r="I1265" t="s">
        <v>3338</v>
      </c>
      <c r="J1265" t="s">
        <v>2421</v>
      </c>
      <c r="K1265" t="s">
        <v>3354</v>
      </c>
      <c r="L1265" t="s">
        <v>3369</v>
      </c>
      <c r="N1265" t="s">
        <v>3382</v>
      </c>
      <c r="O1265" t="s">
        <v>3352</v>
      </c>
      <c r="P1265">
        <v>41187820</v>
      </c>
    </row>
    <row r="1266" spans="1:16">
      <c r="A1266" t="s">
        <v>65</v>
      </c>
      <c r="B1266">
        <v>2</v>
      </c>
      <c r="E1266" t="s">
        <v>3379</v>
      </c>
      <c r="F1266" t="s">
        <v>3380</v>
      </c>
      <c r="G1266" t="s">
        <v>3381</v>
      </c>
      <c r="I1266" t="s">
        <v>3338</v>
      </c>
      <c r="L1266" t="s">
        <v>3383</v>
      </c>
      <c r="N1266" t="s">
        <v>3384</v>
      </c>
      <c r="O1266" t="s">
        <v>3385</v>
      </c>
      <c r="P1266">
        <v>41187820</v>
      </c>
    </row>
    <row r="1267" spans="1:16">
      <c r="A1267" t="s">
        <v>65</v>
      </c>
      <c r="B1267">
        <v>2</v>
      </c>
      <c r="E1267" t="s">
        <v>3379</v>
      </c>
      <c r="F1267" t="s">
        <v>3380</v>
      </c>
      <c r="G1267" t="s">
        <v>3381</v>
      </c>
      <c r="I1267" t="s">
        <v>3338</v>
      </c>
      <c r="J1267" t="s">
        <v>2232</v>
      </c>
      <c r="K1267" t="s">
        <v>2233</v>
      </c>
      <c r="L1267" t="s">
        <v>3342</v>
      </c>
      <c r="N1267" t="s">
        <v>3386</v>
      </c>
      <c r="O1267" t="s">
        <v>3350</v>
      </c>
      <c r="P1267">
        <v>41187820</v>
      </c>
    </row>
    <row r="1268" spans="1:16">
      <c r="A1268" t="s">
        <v>65</v>
      </c>
      <c r="B1268">
        <v>0</v>
      </c>
      <c r="G1268" t="s">
        <v>3338</v>
      </c>
      <c r="I1268" t="s">
        <v>3338</v>
      </c>
      <c r="N1268" t="s">
        <v>3395</v>
      </c>
      <c r="O1268" t="s">
        <v>3396</v>
      </c>
      <c r="P1268">
        <v>41187820</v>
      </c>
    </row>
    <row r="1269" spans="1:16">
      <c r="A1269" t="s">
        <v>65</v>
      </c>
      <c r="B1269">
        <v>1</v>
      </c>
      <c r="E1269" t="s">
        <v>3395</v>
      </c>
      <c r="F1269" t="s">
        <v>3396</v>
      </c>
      <c r="G1269" t="s">
        <v>3397</v>
      </c>
      <c r="I1269" t="s">
        <v>3338</v>
      </c>
      <c r="L1269" t="s">
        <v>3342</v>
      </c>
      <c r="N1269" t="s">
        <v>3398</v>
      </c>
      <c r="O1269" t="s">
        <v>3399</v>
      </c>
      <c r="P1269">
        <v>41187820</v>
      </c>
    </row>
    <row r="1270" spans="1:16">
      <c r="A1270" t="s">
        <v>65</v>
      </c>
      <c r="B1270">
        <v>1</v>
      </c>
      <c r="E1270" t="s">
        <v>3395</v>
      </c>
      <c r="F1270" t="s">
        <v>3396</v>
      </c>
      <c r="G1270" t="s">
        <v>3397</v>
      </c>
      <c r="I1270" t="s">
        <v>3338</v>
      </c>
      <c r="J1270" t="s">
        <v>2232</v>
      </c>
      <c r="K1270" t="s">
        <v>2233</v>
      </c>
      <c r="L1270" t="s">
        <v>3342</v>
      </c>
      <c r="N1270" t="s">
        <v>3400</v>
      </c>
      <c r="O1270" t="s">
        <v>3401</v>
      </c>
      <c r="P1270">
        <v>41187820</v>
      </c>
    </row>
    <row r="1271" spans="1:16">
      <c r="A1271" t="s">
        <v>65</v>
      </c>
      <c r="B1271">
        <v>1</v>
      </c>
      <c r="E1271" t="s">
        <v>3395</v>
      </c>
      <c r="F1271" t="s">
        <v>3396</v>
      </c>
      <c r="G1271" t="s">
        <v>3397</v>
      </c>
      <c r="I1271" t="s">
        <v>3338</v>
      </c>
      <c r="L1271" t="s">
        <v>3342</v>
      </c>
      <c r="N1271" t="s">
        <v>3402</v>
      </c>
      <c r="O1271" t="s">
        <v>3403</v>
      </c>
      <c r="P1271">
        <v>41187820</v>
      </c>
    </row>
    <row r="1272" spans="1:16">
      <c r="A1272" t="s">
        <v>65</v>
      </c>
      <c r="B1272">
        <v>1</v>
      </c>
      <c r="E1272" t="s">
        <v>3395</v>
      </c>
      <c r="F1272" t="s">
        <v>3396</v>
      </c>
      <c r="G1272" t="s">
        <v>3397</v>
      </c>
      <c r="I1272" t="s">
        <v>3338</v>
      </c>
      <c r="J1272" t="s">
        <v>2232</v>
      </c>
      <c r="K1272" t="s">
        <v>2233</v>
      </c>
      <c r="L1272" t="s">
        <v>3342</v>
      </c>
      <c r="N1272" t="s">
        <v>3404</v>
      </c>
      <c r="O1272" t="s">
        <v>3405</v>
      </c>
      <c r="P1272">
        <v>41187820</v>
      </c>
    </row>
    <row r="1273" spans="1:16">
      <c r="A1273" t="s">
        <v>65</v>
      </c>
      <c r="B1273">
        <v>0</v>
      </c>
      <c r="G1273" t="s">
        <v>3338</v>
      </c>
      <c r="I1273" t="s">
        <v>3338</v>
      </c>
      <c r="N1273" t="s">
        <v>3406</v>
      </c>
      <c r="O1273" t="s">
        <v>3407</v>
      </c>
      <c r="P1273">
        <v>41187820</v>
      </c>
    </row>
    <row r="1274" spans="1:16">
      <c r="A1274" t="s">
        <v>65</v>
      </c>
      <c r="B1274">
        <v>1</v>
      </c>
      <c r="E1274" t="s">
        <v>3406</v>
      </c>
      <c r="F1274" t="s">
        <v>3407</v>
      </c>
      <c r="G1274" t="s">
        <v>3408</v>
      </c>
      <c r="I1274" t="s">
        <v>3338</v>
      </c>
      <c r="J1274" t="s">
        <v>2421</v>
      </c>
      <c r="K1274" t="s">
        <v>3354</v>
      </c>
      <c r="L1274" t="s">
        <v>3369</v>
      </c>
      <c r="N1274" t="s">
        <v>3409</v>
      </c>
      <c r="O1274" t="s">
        <v>3410</v>
      </c>
      <c r="P1274">
        <v>41187820</v>
      </c>
    </row>
    <row r="1275" spans="1:16">
      <c r="A1275" t="s">
        <v>65</v>
      </c>
      <c r="B1275">
        <v>1</v>
      </c>
      <c r="E1275" t="s">
        <v>3406</v>
      </c>
      <c r="F1275" t="s">
        <v>3407</v>
      </c>
      <c r="G1275" t="s">
        <v>3408</v>
      </c>
      <c r="I1275" t="s">
        <v>3338</v>
      </c>
      <c r="L1275" t="s">
        <v>193</v>
      </c>
      <c r="N1275" t="s">
        <v>3411</v>
      </c>
      <c r="O1275" t="s">
        <v>3412</v>
      </c>
      <c r="P1275">
        <v>41187820</v>
      </c>
    </row>
    <row r="1276" spans="1:16">
      <c r="A1276" t="s">
        <v>65</v>
      </c>
      <c r="B1276">
        <v>2</v>
      </c>
      <c r="E1276" t="s">
        <v>3411</v>
      </c>
      <c r="F1276" t="s">
        <v>3412</v>
      </c>
      <c r="G1276" t="s">
        <v>3413</v>
      </c>
      <c r="I1276" t="s">
        <v>3338</v>
      </c>
      <c r="L1276" t="s">
        <v>3342</v>
      </c>
      <c r="N1276" t="s">
        <v>3414</v>
      </c>
      <c r="O1276" t="s">
        <v>3415</v>
      </c>
      <c r="P1276">
        <v>41187820</v>
      </c>
    </row>
    <row r="1277" spans="1:16">
      <c r="A1277" t="s">
        <v>65</v>
      </c>
      <c r="B1277">
        <v>2</v>
      </c>
      <c r="E1277" t="s">
        <v>3411</v>
      </c>
      <c r="F1277" t="s">
        <v>3412</v>
      </c>
      <c r="G1277" t="s">
        <v>3413</v>
      </c>
      <c r="I1277" t="s">
        <v>3338</v>
      </c>
      <c r="J1277" t="s">
        <v>2232</v>
      </c>
      <c r="K1277" t="s">
        <v>2233</v>
      </c>
      <c r="L1277" t="s">
        <v>3342</v>
      </c>
      <c r="N1277" t="s">
        <v>3416</v>
      </c>
      <c r="O1277" t="s">
        <v>3417</v>
      </c>
      <c r="P1277">
        <v>41187820</v>
      </c>
    </row>
    <row r="1278" spans="1:16">
      <c r="A1278" t="s">
        <v>65</v>
      </c>
      <c r="B1278">
        <v>2</v>
      </c>
      <c r="E1278" t="s">
        <v>3411</v>
      </c>
      <c r="F1278" t="s">
        <v>3412</v>
      </c>
      <c r="G1278" t="s">
        <v>3413</v>
      </c>
      <c r="I1278" t="s">
        <v>3338</v>
      </c>
      <c r="J1278" t="s">
        <v>2232</v>
      </c>
      <c r="K1278" t="s">
        <v>2233</v>
      </c>
      <c r="L1278" t="s">
        <v>3342</v>
      </c>
      <c r="N1278" t="s">
        <v>3418</v>
      </c>
      <c r="O1278" t="s">
        <v>3419</v>
      </c>
      <c r="P1278">
        <v>41187820</v>
      </c>
    </row>
    <row r="1279" spans="1:16">
      <c r="A1279" t="s">
        <v>65</v>
      </c>
      <c r="B1279">
        <v>2</v>
      </c>
      <c r="E1279" t="s">
        <v>3411</v>
      </c>
      <c r="F1279" t="s">
        <v>3412</v>
      </c>
      <c r="G1279" t="s">
        <v>3413</v>
      </c>
      <c r="I1279" t="s">
        <v>3338</v>
      </c>
      <c r="L1279" t="s">
        <v>3342</v>
      </c>
      <c r="N1279" t="s">
        <v>3420</v>
      </c>
      <c r="O1279" t="s">
        <v>3421</v>
      </c>
      <c r="P1279">
        <v>41187820</v>
      </c>
    </row>
    <row r="1280" spans="1:16">
      <c r="A1280" t="s">
        <v>65</v>
      </c>
      <c r="B1280">
        <v>2</v>
      </c>
      <c r="E1280" t="s">
        <v>3411</v>
      </c>
      <c r="F1280" t="s">
        <v>3412</v>
      </c>
      <c r="G1280" t="s">
        <v>3413</v>
      </c>
      <c r="I1280" t="s">
        <v>3338</v>
      </c>
      <c r="J1280" t="s">
        <v>2232</v>
      </c>
      <c r="K1280" t="s">
        <v>2233</v>
      </c>
      <c r="L1280" t="s">
        <v>3342</v>
      </c>
      <c r="N1280" t="s">
        <v>3422</v>
      </c>
      <c r="O1280" t="s">
        <v>3423</v>
      </c>
      <c r="P1280">
        <v>41187820</v>
      </c>
    </row>
    <row r="1281" spans="1:16">
      <c r="A1281" t="s">
        <v>65</v>
      </c>
      <c r="B1281">
        <v>0</v>
      </c>
      <c r="G1281" t="s">
        <v>3338</v>
      </c>
      <c r="I1281" t="s">
        <v>3338</v>
      </c>
      <c r="N1281" t="s">
        <v>3424</v>
      </c>
      <c r="O1281" t="s">
        <v>3425</v>
      </c>
      <c r="P1281">
        <v>41187820</v>
      </c>
    </row>
    <row r="1282" spans="1:16">
      <c r="A1282" t="s">
        <v>65</v>
      </c>
      <c r="B1282">
        <v>1</v>
      </c>
      <c r="E1282" t="s">
        <v>3424</v>
      </c>
      <c r="F1282" t="s">
        <v>3425</v>
      </c>
      <c r="G1282" t="s">
        <v>3426</v>
      </c>
      <c r="I1282" t="s">
        <v>3338</v>
      </c>
      <c r="J1282" t="s">
        <v>2421</v>
      </c>
      <c r="K1282" t="s">
        <v>3354</v>
      </c>
      <c r="L1282" t="s">
        <v>3369</v>
      </c>
      <c r="N1282" t="s">
        <v>3427</v>
      </c>
      <c r="O1282" t="s">
        <v>3428</v>
      </c>
      <c r="P1282">
        <v>41187820</v>
      </c>
    </row>
    <row r="1283" spans="1:16">
      <c r="A1283" t="s">
        <v>65</v>
      </c>
      <c r="B1283">
        <v>1</v>
      </c>
      <c r="E1283" t="s">
        <v>3424</v>
      </c>
      <c r="F1283" t="s">
        <v>3425</v>
      </c>
      <c r="G1283" t="s">
        <v>3426</v>
      </c>
      <c r="I1283" t="s">
        <v>3338</v>
      </c>
      <c r="J1283" t="s">
        <v>2421</v>
      </c>
      <c r="K1283" t="s">
        <v>3354</v>
      </c>
      <c r="L1283" t="s">
        <v>3369</v>
      </c>
      <c r="N1283" t="s">
        <v>3429</v>
      </c>
      <c r="O1283" t="s">
        <v>3430</v>
      </c>
      <c r="P1283">
        <v>41187820</v>
      </c>
    </row>
    <row r="1284" spans="1:16">
      <c r="A1284" t="s">
        <v>65</v>
      </c>
      <c r="B1284">
        <v>1</v>
      </c>
      <c r="E1284" t="s">
        <v>3424</v>
      </c>
      <c r="F1284" t="s">
        <v>3425</v>
      </c>
      <c r="G1284" t="s">
        <v>3426</v>
      </c>
      <c r="I1284" t="s">
        <v>3338</v>
      </c>
      <c r="J1284" t="s">
        <v>2232</v>
      </c>
      <c r="K1284" t="s">
        <v>2233</v>
      </c>
      <c r="L1284" t="s">
        <v>3342</v>
      </c>
      <c r="N1284" t="s">
        <v>3431</v>
      </c>
      <c r="O1284" t="s">
        <v>3432</v>
      </c>
      <c r="P1284">
        <v>41187820</v>
      </c>
    </row>
    <row r="1285" spans="1:16">
      <c r="A1285" t="s">
        <v>65</v>
      </c>
      <c r="B1285">
        <v>0</v>
      </c>
      <c r="G1285" t="s">
        <v>3338</v>
      </c>
      <c r="I1285" t="s">
        <v>3338</v>
      </c>
      <c r="N1285" t="s">
        <v>3433</v>
      </c>
      <c r="O1285" t="s">
        <v>3434</v>
      </c>
      <c r="P1285">
        <v>41187820</v>
      </c>
    </row>
    <row r="1286" spans="1:16">
      <c r="A1286" t="s">
        <v>65</v>
      </c>
      <c r="B1286">
        <v>1</v>
      </c>
      <c r="E1286" t="s">
        <v>3433</v>
      </c>
      <c r="F1286" t="s">
        <v>3434</v>
      </c>
      <c r="G1286" t="s">
        <v>3435</v>
      </c>
      <c r="I1286" t="s">
        <v>3338</v>
      </c>
      <c r="J1286" t="s">
        <v>2232</v>
      </c>
      <c r="K1286" t="s">
        <v>2233</v>
      </c>
      <c r="L1286" t="s">
        <v>3342</v>
      </c>
      <c r="N1286" t="s">
        <v>3436</v>
      </c>
      <c r="O1286" t="s">
        <v>3437</v>
      </c>
      <c r="P1286">
        <v>41187820</v>
      </c>
    </row>
    <row r="1287" spans="1:16">
      <c r="A1287" t="s">
        <v>65</v>
      </c>
      <c r="B1287">
        <v>1</v>
      </c>
      <c r="E1287" t="s">
        <v>3433</v>
      </c>
      <c r="F1287" t="s">
        <v>3434</v>
      </c>
      <c r="G1287" t="s">
        <v>3435</v>
      </c>
      <c r="I1287" t="s">
        <v>3338</v>
      </c>
      <c r="J1287" t="s">
        <v>2232</v>
      </c>
      <c r="K1287" t="s">
        <v>2233</v>
      </c>
      <c r="L1287" t="s">
        <v>3342</v>
      </c>
      <c r="N1287" t="s">
        <v>3438</v>
      </c>
      <c r="O1287" t="s">
        <v>3439</v>
      </c>
      <c r="P1287">
        <v>41187820</v>
      </c>
    </row>
    <row r="1288" spans="1:16">
      <c r="A1288" t="s">
        <v>65</v>
      </c>
      <c r="B1288">
        <v>1</v>
      </c>
      <c r="E1288" t="s">
        <v>3433</v>
      </c>
      <c r="F1288" t="s">
        <v>3434</v>
      </c>
      <c r="G1288" t="s">
        <v>3435</v>
      </c>
      <c r="I1288" t="s">
        <v>3338</v>
      </c>
      <c r="J1288" t="s">
        <v>2232</v>
      </c>
      <c r="K1288" t="s">
        <v>2233</v>
      </c>
      <c r="L1288" t="s">
        <v>3342</v>
      </c>
      <c r="N1288" t="s">
        <v>3440</v>
      </c>
      <c r="O1288" t="s">
        <v>3441</v>
      </c>
      <c r="P1288">
        <v>41187820</v>
      </c>
    </row>
    <row r="1289" spans="1:16">
      <c r="A1289" t="s">
        <v>65</v>
      </c>
      <c r="B1289">
        <v>1</v>
      </c>
      <c r="E1289" t="s">
        <v>3433</v>
      </c>
      <c r="F1289" t="s">
        <v>3434</v>
      </c>
      <c r="G1289" t="s">
        <v>3435</v>
      </c>
      <c r="I1289" t="s">
        <v>3338</v>
      </c>
      <c r="J1289" t="s">
        <v>2232</v>
      </c>
      <c r="K1289" t="s">
        <v>2233</v>
      </c>
      <c r="L1289" t="s">
        <v>3342</v>
      </c>
      <c r="N1289" t="s">
        <v>3442</v>
      </c>
      <c r="O1289" t="s">
        <v>3443</v>
      </c>
      <c r="P1289">
        <v>41187820</v>
      </c>
    </row>
    <row r="1290" spans="1:16">
      <c r="A1290" t="s">
        <v>65</v>
      </c>
      <c r="B1290">
        <v>1</v>
      </c>
      <c r="E1290" t="s">
        <v>3433</v>
      </c>
      <c r="F1290" t="s">
        <v>3434</v>
      </c>
      <c r="G1290" t="s">
        <v>3435</v>
      </c>
      <c r="I1290" t="s">
        <v>3338</v>
      </c>
      <c r="J1290" t="s">
        <v>2232</v>
      </c>
      <c r="K1290" t="s">
        <v>2233</v>
      </c>
      <c r="L1290" t="s">
        <v>3342</v>
      </c>
      <c r="N1290" t="s">
        <v>3444</v>
      </c>
      <c r="O1290" t="s">
        <v>3445</v>
      </c>
      <c r="P1290">
        <v>41187820</v>
      </c>
    </row>
    <row r="1291" spans="1:16">
      <c r="A1291" t="s">
        <v>65</v>
      </c>
      <c r="B1291">
        <v>1</v>
      </c>
      <c r="E1291" t="s">
        <v>3433</v>
      </c>
      <c r="F1291" t="s">
        <v>3434</v>
      </c>
      <c r="G1291" t="s">
        <v>3435</v>
      </c>
      <c r="I1291" t="s">
        <v>3338</v>
      </c>
      <c r="J1291" t="s">
        <v>2232</v>
      </c>
      <c r="K1291" t="s">
        <v>2233</v>
      </c>
      <c r="L1291" t="s">
        <v>3342</v>
      </c>
      <c r="N1291" t="s">
        <v>3446</v>
      </c>
      <c r="O1291" t="s">
        <v>3447</v>
      </c>
      <c r="P1291">
        <v>41187820</v>
      </c>
    </row>
    <row r="1292" spans="1:16">
      <c r="A1292" t="s">
        <v>65</v>
      </c>
      <c r="B1292">
        <v>0</v>
      </c>
      <c r="G1292" t="s">
        <v>3338</v>
      </c>
      <c r="I1292" t="s">
        <v>3338</v>
      </c>
      <c r="N1292" t="s">
        <v>3448</v>
      </c>
      <c r="O1292" t="s">
        <v>3449</v>
      </c>
      <c r="P1292">
        <v>41187820</v>
      </c>
    </row>
    <row r="1293" spans="1:16">
      <c r="A1293" t="s">
        <v>65</v>
      </c>
      <c r="B1293">
        <v>1</v>
      </c>
      <c r="E1293" t="s">
        <v>3448</v>
      </c>
      <c r="F1293" t="s">
        <v>3449</v>
      </c>
      <c r="G1293" t="s">
        <v>3450</v>
      </c>
      <c r="I1293" t="s">
        <v>3338</v>
      </c>
      <c r="J1293" t="s">
        <v>2421</v>
      </c>
      <c r="K1293" t="s">
        <v>3354</v>
      </c>
      <c r="L1293" t="s">
        <v>3451</v>
      </c>
      <c r="N1293" t="s">
        <v>3452</v>
      </c>
      <c r="O1293" t="s">
        <v>3453</v>
      </c>
      <c r="P1293">
        <v>41187820</v>
      </c>
    </row>
    <row r="1294" spans="1:16">
      <c r="A1294" t="s">
        <v>65</v>
      </c>
      <c r="B1294">
        <v>0</v>
      </c>
      <c r="G1294" t="s">
        <v>3456</v>
      </c>
      <c r="I1294" t="s">
        <v>3456</v>
      </c>
      <c r="M1294" t="s">
        <v>3463</v>
      </c>
      <c r="N1294" t="s">
        <v>3479</v>
      </c>
      <c r="O1294" t="s">
        <v>3480</v>
      </c>
      <c r="P1294">
        <v>41187820</v>
      </c>
    </row>
    <row r="1295" spans="1:16">
      <c r="A1295" t="s">
        <v>67</v>
      </c>
      <c r="B1295">
        <v>0</v>
      </c>
      <c r="G1295" t="s">
        <v>3338</v>
      </c>
      <c r="I1295" t="s">
        <v>3338</v>
      </c>
      <c r="N1295" t="s">
        <v>3339</v>
      </c>
      <c r="O1295" t="s">
        <v>3340</v>
      </c>
      <c r="P1295">
        <v>41194026</v>
      </c>
    </row>
    <row r="1296" spans="1:16">
      <c r="A1296" t="s">
        <v>67</v>
      </c>
      <c r="B1296">
        <v>1</v>
      </c>
      <c r="E1296" t="s">
        <v>3339</v>
      </c>
      <c r="F1296" t="s">
        <v>3340</v>
      </c>
      <c r="G1296" t="s">
        <v>3341</v>
      </c>
      <c r="I1296" t="s">
        <v>3338</v>
      </c>
      <c r="J1296" t="s">
        <v>2232</v>
      </c>
      <c r="K1296" t="s">
        <v>2233</v>
      </c>
      <c r="L1296" t="s">
        <v>3342</v>
      </c>
      <c r="N1296" t="s">
        <v>3343</v>
      </c>
      <c r="O1296" t="s">
        <v>3344</v>
      </c>
      <c r="P1296">
        <v>41194026</v>
      </c>
    </row>
    <row r="1297" spans="1:16">
      <c r="A1297" t="s">
        <v>67</v>
      </c>
      <c r="B1297">
        <v>1</v>
      </c>
      <c r="E1297" t="s">
        <v>3339</v>
      </c>
      <c r="F1297" t="s">
        <v>3340</v>
      </c>
      <c r="G1297" t="s">
        <v>3341</v>
      </c>
      <c r="I1297" t="s">
        <v>3338</v>
      </c>
      <c r="J1297" t="s">
        <v>2232</v>
      </c>
      <c r="K1297" t="s">
        <v>2233</v>
      </c>
      <c r="L1297" t="s">
        <v>3342</v>
      </c>
      <c r="N1297" t="s">
        <v>3345</v>
      </c>
      <c r="O1297" t="s">
        <v>3346</v>
      </c>
      <c r="P1297">
        <v>41194026</v>
      </c>
    </row>
    <row r="1298" spans="1:16">
      <c r="A1298" t="s">
        <v>67</v>
      </c>
      <c r="B1298">
        <v>0</v>
      </c>
      <c r="G1298" t="s">
        <v>3338</v>
      </c>
      <c r="I1298" t="s">
        <v>3338</v>
      </c>
      <c r="N1298" t="s">
        <v>3347</v>
      </c>
      <c r="O1298" t="s">
        <v>3344</v>
      </c>
      <c r="P1298">
        <v>41194026</v>
      </c>
    </row>
    <row r="1299" spans="1:16">
      <c r="A1299" t="s">
        <v>67</v>
      </c>
      <c r="B1299">
        <v>1</v>
      </c>
      <c r="E1299" t="s">
        <v>3347</v>
      </c>
      <c r="F1299" t="s">
        <v>3344</v>
      </c>
      <c r="G1299" t="s">
        <v>3348</v>
      </c>
      <c r="I1299" t="s">
        <v>3338</v>
      </c>
      <c r="J1299" t="s">
        <v>2232</v>
      </c>
      <c r="K1299" t="s">
        <v>2233</v>
      </c>
      <c r="L1299" t="s">
        <v>3342</v>
      </c>
      <c r="N1299" t="s">
        <v>3349</v>
      </c>
      <c r="O1299" t="s">
        <v>3350</v>
      </c>
      <c r="P1299">
        <v>41194026</v>
      </c>
    </row>
    <row r="1300" spans="1:16">
      <c r="A1300" t="s">
        <v>67</v>
      </c>
      <c r="B1300">
        <v>1</v>
      </c>
      <c r="E1300" t="s">
        <v>3347</v>
      </c>
      <c r="F1300" t="s">
        <v>3344</v>
      </c>
      <c r="G1300" t="s">
        <v>3348</v>
      </c>
      <c r="I1300" t="s">
        <v>3338</v>
      </c>
      <c r="L1300" t="s">
        <v>193</v>
      </c>
      <c r="N1300" t="s">
        <v>3351</v>
      </c>
      <c r="O1300" t="s">
        <v>3352</v>
      </c>
      <c r="P1300">
        <v>41194026</v>
      </c>
    </row>
    <row r="1301" spans="1:16">
      <c r="A1301" t="s">
        <v>67</v>
      </c>
      <c r="B1301">
        <v>2</v>
      </c>
      <c r="E1301" t="s">
        <v>3351</v>
      </c>
      <c r="F1301" t="s">
        <v>3352</v>
      </c>
      <c r="G1301" t="s">
        <v>3353</v>
      </c>
      <c r="I1301" t="s">
        <v>3338</v>
      </c>
      <c r="J1301" t="s">
        <v>2421</v>
      </c>
      <c r="K1301" t="s">
        <v>3354</v>
      </c>
      <c r="L1301" t="s">
        <v>3355</v>
      </c>
      <c r="N1301" t="s">
        <v>3356</v>
      </c>
      <c r="O1301" t="s">
        <v>3357</v>
      </c>
      <c r="P1301">
        <v>41194026</v>
      </c>
    </row>
    <row r="1302" spans="1:16">
      <c r="A1302" t="s">
        <v>67</v>
      </c>
      <c r="B1302">
        <v>2</v>
      </c>
      <c r="E1302" t="s">
        <v>3351</v>
      </c>
      <c r="F1302" t="s">
        <v>3352</v>
      </c>
      <c r="G1302" t="s">
        <v>3353</v>
      </c>
      <c r="I1302" t="s">
        <v>3338</v>
      </c>
      <c r="J1302" t="s">
        <v>2421</v>
      </c>
      <c r="K1302" t="s">
        <v>3354</v>
      </c>
      <c r="L1302" t="s">
        <v>3355</v>
      </c>
      <c r="N1302" t="s">
        <v>3358</v>
      </c>
      <c r="O1302" t="s">
        <v>3359</v>
      </c>
      <c r="P1302">
        <v>41194026</v>
      </c>
    </row>
    <row r="1303" spans="1:16">
      <c r="A1303" t="s">
        <v>67</v>
      </c>
      <c r="B1303">
        <v>2</v>
      </c>
      <c r="E1303" t="s">
        <v>3351</v>
      </c>
      <c r="F1303" t="s">
        <v>3352</v>
      </c>
      <c r="G1303" t="s">
        <v>3353</v>
      </c>
      <c r="I1303" t="s">
        <v>3338</v>
      </c>
      <c r="J1303" t="s">
        <v>2421</v>
      </c>
      <c r="K1303" t="s">
        <v>3354</v>
      </c>
      <c r="L1303" t="s">
        <v>3355</v>
      </c>
      <c r="N1303" t="s">
        <v>3360</v>
      </c>
      <c r="O1303" t="s">
        <v>3361</v>
      </c>
      <c r="P1303">
        <v>41194026</v>
      </c>
    </row>
    <row r="1304" spans="1:16">
      <c r="A1304" t="s">
        <v>67</v>
      </c>
      <c r="B1304">
        <v>1</v>
      </c>
      <c r="E1304" t="s">
        <v>3347</v>
      </c>
      <c r="F1304" t="s">
        <v>3344</v>
      </c>
      <c r="G1304" t="s">
        <v>3348</v>
      </c>
      <c r="I1304" t="s">
        <v>3338</v>
      </c>
      <c r="J1304" t="s">
        <v>2236</v>
      </c>
      <c r="K1304" t="s">
        <v>3362</v>
      </c>
      <c r="L1304" t="s">
        <v>3363</v>
      </c>
      <c r="N1304" t="s">
        <v>3364</v>
      </c>
      <c r="O1304" t="s">
        <v>3365</v>
      </c>
      <c r="P1304">
        <v>41194026</v>
      </c>
    </row>
    <row r="1305" spans="1:16">
      <c r="A1305" t="s">
        <v>67</v>
      </c>
      <c r="B1305">
        <v>1</v>
      </c>
      <c r="E1305" t="s">
        <v>3347</v>
      </c>
      <c r="F1305" t="s">
        <v>3344</v>
      </c>
      <c r="G1305" t="s">
        <v>3348</v>
      </c>
      <c r="I1305" t="s">
        <v>3338</v>
      </c>
      <c r="L1305" t="s">
        <v>193</v>
      </c>
      <c r="N1305" t="s">
        <v>3366</v>
      </c>
      <c r="O1305" t="s">
        <v>3367</v>
      </c>
      <c r="P1305">
        <v>41194026</v>
      </c>
    </row>
    <row r="1306" spans="1:16">
      <c r="A1306" t="s">
        <v>67</v>
      </c>
      <c r="B1306">
        <v>2</v>
      </c>
      <c r="E1306" t="s">
        <v>3366</v>
      </c>
      <c r="F1306" t="s">
        <v>3367</v>
      </c>
      <c r="G1306" t="s">
        <v>3368</v>
      </c>
      <c r="I1306" t="s">
        <v>3338</v>
      </c>
      <c r="J1306" t="s">
        <v>2421</v>
      </c>
      <c r="K1306" t="s">
        <v>3354</v>
      </c>
      <c r="L1306" t="s">
        <v>3369</v>
      </c>
      <c r="N1306" t="s">
        <v>3370</v>
      </c>
      <c r="O1306" t="s">
        <v>3359</v>
      </c>
      <c r="P1306">
        <v>41194026</v>
      </c>
    </row>
    <row r="1307" spans="1:16">
      <c r="A1307" t="s">
        <v>67</v>
      </c>
      <c r="B1307">
        <v>2</v>
      </c>
      <c r="E1307" t="s">
        <v>3366</v>
      </c>
      <c r="F1307" t="s">
        <v>3367</v>
      </c>
      <c r="G1307" t="s">
        <v>3368</v>
      </c>
      <c r="I1307" t="s">
        <v>3338</v>
      </c>
      <c r="J1307" t="s">
        <v>2421</v>
      </c>
      <c r="K1307" t="s">
        <v>3354</v>
      </c>
      <c r="L1307" t="s">
        <v>3369</v>
      </c>
      <c r="N1307" t="s">
        <v>3371</v>
      </c>
      <c r="O1307" t="s">
        <v>3372</v>
      </c>
      <c r="P1307">
        <v>41194026</v>
      </c>
    </row>
    <row r="1308" spans="1:16">
      <c r="A1308" t="s">
        <v>67</v>
      </c>
      <c r="B1308">
        <v>2</v>
      </c>
      <c r="E1308" t="s">
        <v>3366</v>
      </c>
      <c r="F1308" t="s">
        <v>3367</v>
      </c>
      <c r="G1308" t="s">
        <v>3368</v>
      </c>
      <c r="I1308" t="s">
        <v>3338</v>
      </c>
      <c r="J1308" t="s">
        <v>2421</v>
      </c>
      <c r="K1308" t="s">
        <v>3354</v>
      </c>
      <c r="L1308" t="s">
        <v>3369</v>
      </c>
      <c r="N1308" t="s">
        <v>3373</v>
      </c>
      <c r="O1308" t="s">
        <v>3374</v>
      </c>
      <c r="P1308">
        <v>41194026</v>
      </c>
    </row>
    <row r="1309" spans="1:16">
      <c r="A1309" t="s">
        <v>67</v>
      </c>
      <c r="B1309">
        <v>2</v>
      </c>
      <c r="E1309" t="s">
        <v>3366</v>
      </c>
      <c r="F1309" t="s">
        <v>3367</v>
      </c>
      <c r="G1309" t="s">
        <v>3368</v>
      </c>
      <c r="I1309" t="s">
        <v>3338</v>
      </c>
      <c r="J1309" t="s">
        <v>2236</v>
      </c>
      <c r="K1309" t="s">
        <v>3362</v>
      </c>
      <c r="L1309" t="s">
        <v>3363</v>
      </c>
      <c r="N1309" t="s">
        <v>3375</v>
      </c>
      <c r="O1309" t="s">
        <v>3376</v>
      </c>
      <c r="P1309">
        <v>41194026</v>
      </c>
    </row>
    <row r="1310" spans="1:16">
      <c r="A1310" t="s">
        <v>67</v>
      </c>
      <c r="B1310">
        <v>1</v>
      </c>
      <c r="E1310" t="s">
        <v>3347</v>
      </c>
      <c r="F1310" t="s">
        <v>3344</v>
      </c>
      <c r="G1310" t="s">
        <v>3348</v>
      </c>
      <c r="I1310" t="s">
        <v>3338</v>
      </c>
      <c r="J1310" t="s">
        <v>2232</v>
      </c>
      <c r="K1310" t="s">
        <v>2233</v>
      </c>
      <c r="L1310" t="s">
        <v>3342</v>
      </c>
      <c r="N1310" t="s">
        <v>3454</v>
      </c>
      <c r="O1310" t="s">
        <v>3455</v>
      </c>
      <c r="P1310">
        <v>41194026</v>
      </c>
    </row>
    <row r="1311" spans="1:16">
      <c r="A1311" t="s">
        <v>67</v>
      </c>
      <c r="B1311">
        <v>0</v>
      </c>
      <c r="G1311" t="s">
        <v>3338</v>
      </c>
      <c r="I1311" t="s">
        <v>3338</v>
      </c>
      <c r="N1311" t="s">
        <v>3377</v>
      </c>
      <c r="O1311" t="s">
        <v>3346</v>
      </c>
      <c r="P1311">
        <v>41194026</v>
      </c>
    </row>
    <row r="1312" spans="1:16">
      <c r="A1312" t="s">
        <v>67</v>
      </c>
      <c r="B1312">
        <v>1</v>
      </c>
      <c r="E1312" t="s">
        <v>3377</v>
      </c>
      <c r="F1312" t="s">
        <v>3346</v>
      </c>
      <c r="G1312" t="s">
        <v>3378</v>
      </c>
      <c r="I1312" t="s">
        <v>3338</v>
      </c>
      <c r="L1312" t="s">
        <v>193</v>
      </c>
      <c r="N1312" t="s">
        <v>3379</v>
      </c>
      <c r="O1312" t="s">
        <v>3380</v>
      </c>
      <c r="P1312">
        <v>41194026</v>
      </c>
    </row>
    <row r="1313" spans="1:16">
      <c r="A1313" t="s">
        <v>67</v>
      </c>
      <c r="B1313">
        <v>2</v>
      </c>
      <c r="E1313" t="s">
        <v>3379</v>
      </c>
      <c r="F1313" t="s">
        <v>3380</v>
      </c>
      <c r="G1313" t="s">
        <v>3381</v>
      </c>
      <c r="I1313" t="s">
        <v>3338</v>
      </c>
      <c r="J1313" t="s">
        <v>2421</v>
      </c>
      <c r="K1313" t="s">
        <v>3354</v>
      </c>
      <c r="L1313" t="s">
        <v>3369</v>
      </c>
      <c r="N1313" t="s">
        <v>3382</v>
      </c>
      <c r="O1313" t="s">
        <v>3352</v>
      </c>
      <c r="P1313">
        <v>41194026</v>
      </c>
    </row>
    <row r="1314" spans="1:16">
      <c r="A1314" t="s">
        <v>67</v>
      </c>
      <c r="B1314">
        <v>2</v>
      </c>
      <c r="E1314" t="s">
        <v>3379</v>
      </c>
      <c r="F1314" t="s">
        <v>3380</v>
      </c>
      <c r="G1314" t="s">
        <v>3381</v>
      </c>
      <c r="I1314" t="s">
        <v>3338</v>
      </c>
      <c r="L1314" t="s">
        <v>3383</v>
      </c>
      <c r="N1314" t="s">
        <v>3384</v>
      </c>
      <c r="O1314" t="s">
        <v>3385</v>
      </c>
      <c r="P1314">
        <v>41194026</v>
      </c>
    </row>
    <row r="1315" spans="1:16">
      <c r="A1315" t="s">
        <v>67</v>
      </c>
      <c r="B1315">
        <v>2</v>
      </c>
      <c r="E1315" t="s">
        <v>3379</v>
      </c>
      <c r="F1315" t="s">
        <v>3380</v>
      </c>
      <c r="G1315" t="s">
        <v>3381</v>
      </c>
      <c r="I1315" t="s">
        <v>3338</v>
      </c>
      <c r="J1315" t="s">
        <v>2232</v>
      </c>
      <c r="K1315" t="s">
        <v>2233</v>
      </c>
      <c r="L1315" t="s">
        <v>3342</v>
      </c>
      <c r="N1315" t="s">
        <v>3386</v>
      </c>
      <c r="O1315" t="s">
        <v>3350</v>
      </c>
      <c r="P1315">
        <v>41194026</v>
      </c>
    </row>
    <row r="1316" spans="1:16">
      <c r="A1316" t="s">
        <v>67</v>
      </c>
      <c r="B1316">
        <v>1</v>
      </c>
      <c r="E1316" t="s">
        <v>3377</v>
      </c>
      <c r="F1316" t="s">
        <v>3346</v>
      </c>
      <c r="G1316" t="s">
        <v>3378</v>
      </c>
      <c r="I1316" t="s">
        <v>3338</v>
      </c>
      <c r="L1316" t="s">
        <v>193</v>
      </c>
      <c r="N1316" t="s">
        <v>3387</v>
      </c>
      <c r="O1316" t="s">
        <v>3388</v>
      </c>
      <c r="P1316">
        <v>41194026</v>
      </c>
    </row>
    <row r="1317" spans="1:16">
      <c r="A1317" t="s">
        <v>67</v>
      </c>
      <c r="B1317">
        <v>2</v>
      </c>
      <c r="E1317" t="s">
        <v>3387</v>
      </c>
      <c r="F1317" t="s">
        <v>3388</v>
      </c>
      <c r="G1317" t="s">
        <v>3389</v>
      </c>
      <c r="I1317" t="s">
        <v>3338</v>
      </c>
      <c r="L1317" t="s">
        <v>3369</v>
      </c>
      <c r="N1317" t="s">
        <v>3390</v>
      </c>
      <c r="O1317" t="s">
        <v>3352</v>
      </c>
      <c r="P1317">
        <v>41194026</v>
      </c>
    </row>
    <row r="1318" spans="1:16">
      <c r="A1318" t="s">
        <v>67</v>
      </c>
      <c r="B1318">
        <v>2</v>
      </c>
      <c r="E1318" t="s">
        <v>3387</v>
      </c>
      <c r="F1318" t="s">
        <v>3388</v>
      </c>
      <c r="G1318" t="s">
        <v>3389</v>
      </c>
      <c r="I1318" t="s">
        <v>3338</v>
      </c>
      <c r="L1318" t="s">
        <v>3342</v>
      </c>
      <c r="N1318" t="s">
        <v>3391</v>
      </c>
      <c r="O1318" t="s">
        <v>3392</v>
      </c>
      <c r="P1318">
        <v>41194026</v>
      </c>
    </row>
    <row r="1319" spans="1:16">
      <c r="A1319" t="s">
        <v>67</v>
      </c>
      <c r="B1319">
        <v>2</v>
      </c>
      <c r="E1319" t="s">
        <v>3387</v>
      </c>
      <c r="F1319" t="s">
        <v>3388</v>
      </c>
      <c r="G1319" t="s">
        <v>3389</v>
      </c>
      <c r="I1319" t="s">
        <v>3338</v>
      </c>
      <c r="L1319" t="s">
        <v>3383</v>
      </c>
      <c r="N1319" t="s">
        <v>3393</v>
      </c>
      <c r="O1319" t="s">
        <v>3385</v>
      </c>
      <c r="P1319">
        <v>41194026</v>
      </c>
    </row>
    <row r="1320" spans="1:16">
      <c r="A1320" t="s">
        <v>67</v>
      </c>
      <c r="B1320">
        <v>2</v>
      </c>
      <c r="E1320" t="s">
        <v>3387</v>
      </c>
      <c r="F1320" t="s">
        <v>3388</v>
      </c>
      <c r="G1320" t="s">
        <v>3389</v>
      </c>
      <c r="I1320" t="s">
        <v>3338</v>
      </c>
      <c r="L1320" t="s">
        <v>3342</v>
      </c>
      <c r="N1320" t="s">
        <v>3394</v>
      </c>
      <c r="O1320" t="s">
        <v>3350</v>
      </c>
      <c r="P1320">
        <v>41194026</v>
      </c>
    </row>
    <row r="1321" spans="1:16">
      <c r="A1321" t="s">
        <v>67</v>
      </c>
      <c r="B1321">
        <v>0</v>
      </c>
      <c r="G1321" t="s">
        <v>3338</v>
      </c>
      <c r="I1321" t="s">
        <v>3338</v>
      </c>
      <c r="N1321" t="s">
        <v>3395</v>
      </c>
      <c r="O1321" t="s">
        <v>3396</v>
      </c>
      <c r="P1321">
        <v>41194026</v>
      </c>
    </row>
    <row r="1322" spans="1:16">
      <c r="A1322" t="s">
        <v>67</v>
      </c>
      <c r="B1322">
        <v>1</v>
      </c>
      <c r="E1322" t="s">
        <v>3395</v>
      </c>
      <c r="F1322" t="s">
        <v>3396</v>
      </c>
      <c r="G1322" t="s">
        <v>3397</v>
      </c>
      <c r="I1322" t="s">
        <v>3338</v>
      </c>
      <c r="L1322" t="s">
        <v>3342</v>
      </c>
      <c r="N1322" t="s">
        <v>3398</v>
      </c>
      <c r="O1322" t="s">
        <v>3399</v>
      </c>
      <c r="P1322">
        <v>41194026</v>
      </c>
    </row>
    <row r="1323" spans="1:16">
      <c r="A1323" t="s">
        <v>67</v>
      </c>
      <c r="B1323">
        <v>1</v>
      </c>
      <c r="E1323" t="s">
        <v>3395</v>
      </c>
      <c r="F1323" t="s">
        <v>3396</v>
      </c>
      <c r="G1323" t="s">
        <v>3397</v>
      </c>
      <c r="I1323" t="s">
        <v>3338</v>
      </c>
      <c r="J1323" t="s">
        <v>2232</v>
      </c>
      <c r="K1323" t="s">
        <v>2233</v>
      </c>
      <c r="L1323" t="s">
        <v>3342</v>
      </c>
      <c r="N1323" t="s">
        <v>3400</v>
      </c>
      <c r="O1323" t="s">
        <v>3401</v>
      </c>
      <c r="P1323">
        <v>41194026</v>
      </c>
    </row>
    <row r="1324" spans="1:16">
      <c r="A1324" t="s">
        <v>67</v>
      </c>
      <c r="B1324">
        <v>1</v>
      </c>
      <c r="E1324" t="s">
        <v>3395</v>
      </c>
      <c r="F1324" t="s">
        <v>3396</v>
      </c>
      <c r="G1324" t="s">
        <v>3397</v>
      </c>
      <c r="I1324" t="s">
        <v>3338</v>
      </c>
      <c r="L1324" t="s">
        <v>3342</v>
      </c>
      <c r="N1324" t="s">
        <v>3402</v>
      </c>
      <c r="O1324" t="s">
        <v>3403</v>
      </c>
      <c r="P1324">
        <v>41194026</v>
      </c>
    </row>
    <row r="1325" spans="1:16">
      <c r="A1325" t="s">
        <v>67</v>
      </c>
      <c r="B1325">
        <v>1</v>
      </c>
      <c r="E1325" t="s">
        <v>3395</v>
      </c>
      <c r="F1325" t="s">
        <v>3396</v>
      </c>
      <c r="G1325" t="s">
        <v>3397</v>
      </c>
      <c r="I1325" t="s">
        <v>3338</v>
      </c>
      <c r="L1325" t="s">
        <v>3342</v>
      </c>
      <c r="N1325" t="s">
        <v>3404</v>
      </c>
      <c r="O1325" t="s">
        <v>3405</v>
      </c>
      <c r="P1325">
        <v>41194026</v>
      </c>
    </row>
    <row r="1326" spans="1:16">
      <c r="A1326" t="s">
        <v>67</v>
      </c>
      <c r="B1326">
        <v>0</v>
      </c>
      <c r="G1326" t="s">
        <v>3338</v>
      </c>
      <c r="I1326" t="s">
        <v>3338</v>
      </c>
      <c r="N1326" t="s">
        <v>3406</v>
      </c>
      <c r="O1326" t="s">
        <v>3407</v>
      </c>
      <c r="P1326">
        <v>41194026</v>
      </c>
    </row>
    <row r="1327" spans="1:16">
      <c r="A1327" t="s">
        <v>67</v>
      </c>
      <c r="B1327">
        <v>1</v>
      </c>
      <c r="E1327" t="s">
        <v>3406</v>
      </c>
      <c r="F1327" t="s">
        <v>3407</v>
      </c>
      <c r="G1327" t="s">
        <v>3408</v>
      </c>
      <c r="I1327" t="s">
        <v>3338</v>
      </c>
      <c r="J1327" t="s">
        <v>2421</v>
      </c>
      <c r="K1327" t="s">
        <v>3354</v>
      </c>
      <c r="L1327" t="s">
        <v>3369</v>
      </c>
      <c r="N1327" t="s">
        <v>3409</v>
      </c>
      <c r="O1327" t="s">
        <v>3410</v>
      </c>
      <c r="P1327">
        <v>41194026</v>
      </c>
    </row>
    <row r="1328" spans="1:16">
      <c r="A1328" t="s">
        <v>67</v>
      </c>
      <c r="B1328">
        <v>1</v>
      </c>
      <c r="E1328" t="s">
        <v>3406</v>
      </c>
      <c r="F1328" t="s">
        <v>3407</v>
      </c>
      <c r="G1328" t="s">
        <v>3408</v>
      </c>
      <c r="I1328" t="s">
        <v>3338</v>
      </c>
      <c r="L1328" t="s">
        <v>193</v>
      </c>
      <c r="N1328" t="s">
        <v>3411</v>
      </c>
      <c r="O1328" t="s">
        <v>3412</v>
      </c>
      <c r="P1328">
        <v>41194026</v>
      </c>
    </row>
    <row r="1329" spans="1:16">
      <c r="A1329" t="s">
        <v>67</v>
      </c>
      <c r="B1329">
        <v>2</v>
      </c>
      <c r="E1329" t="s">
        <v>3411</v>
      </c>
      <c r="F1329" t="s">
        <v>3412</v>
      </c>
      <c r="G1329" t="s">
        <v>3413</v>
      </c>
      <c r="I1329" t="s">
        <v>3338</v>
      </c>
      <c r="L1329" t="s">
        <v>3342</v>
      </c>
      <c r="N1329" t="s">
        <v>3414</v>
      </c>
      <c r="O1329" t="s">
        <v>3415</v>
      </c>
      <c r="P1329">
        <v>41194026</v>
      </c>
    </row>
    <row r="1330" spans="1:16">
      <c r="A1330" t="s">
        <v>67</v>
      </c>
      <c r="B1330">
        <v>2</v>
      </c>
      <c r="E1330" t="s">
        <v>3411</v>
      </c>
      <c r="F1330" t="s">
        <v>3412</v>
      </c>
      <c r="G1330" t="s">
        <v>3413</v>
      </c>
      <c r="I1330" t="s">
        <v>3338</v>
      </c>
      <c r="J1330" t="s">
        <v>2232</v>
      </c>
      <c r="K1330" t="s">
        <v>2233</v>
      </c>
      <c r="L1330" t="s">
        <v>3342</v>
      </c>
      <c r="N1330" t="s">
        <v>3416</v>
      </c>
      <c r="O1330" t="s">
        <v>3417</v>
      </c>
      <c r="P1330">
        <v>41194026</v>
      </c>
    </row>
    <row r="1331" spans="1:16">
      <c r="A1331" t="s">
        <v>67</v>
      </c>
      <c r="B1331">
        <v>2</v>
      </c>
      <c r="E1331" t="s">
        <v>3411</v>
      </c>
      <c r="F1331" t="s">
        <v>3412</v>
      </c>
      <c r="G1331" t="s">
        <v>3413</v>
      </c>
      <c r="I1331" t="s">
        <v>3338</v>
      </c>
      <c r="J1331" t="s">
        <v>2232</v>
      </c>
      <c r="K1331" t="s">
        <v>2233</v>
      </c>
      <c r="L1331" t="s">
        <v>3342</v>
      </c>
      <c r="N1331" t="s">
        <v>3418</v>
      </c>
      <c r="O1331" t="s">
        <v>3419</v>
      </c>
      <c r="P1331">
        <v>41194026</v>
      </c>
    </row>
    <row r="1332" spans="1:16">
      <c r="A1332" t="s">
        <v>67</v>
      </c>
      <c r="B1332">
        <v>2</v>
      </c>
      <c r="E1332" t="s">
        <v>3411</v>
      </c>
      <c r="F1332" t="s">
        <v>3412</v>
      </c>
      <c r="G1332" t="s">
        <v>3413</v>
      </c>
      <c r="I1332" t="s">
        <v>3338</v>
      </c>
      <c r="L1332" t="s">
        <v>3342</v>
      </c>
      <c r="N1332" t="s">
        <v>3420</v>
      </c>
      <c r="O1332" t="s">
        <v>3421</v>
      </c>
      <c r="P1332">
        <v>41194026</v>
      </c>
    </row>
    <row r="1333" spans="1:16">
      <c r="A1333" t="s">
        <v>67</v>
      </c>
      <c r="B1333">
        <v>2</v>
      </c>
      <c r="E1333" t="s">
        <v>3411</v>
      </c>
      <c r="F1333" t="s">
        <v>3412</v>
      </c>
      <c r="G1333" t="s">
        <v>3413</v>
      </c>
      <c r="I1333" t="s">
        <v>3338</v>
      </c>
      <c r="J1333" t="s">
        <v>2232</v>
      </c>
      <c r="K1333" t="s">
        <v>2233</v>
      </c>
      <c r="L1333" t="s">
        <v>3342</v>
      </c>
      <c r="N1333" t="s">
        <v>3422</v>
      </c>
      <c r="O1333" t="s">
        <v>3423</v>
      </c>
      <c r="P1333">
        <v>41194026</v>
      </c>
    </row>
    <row r="1334" spans="1:16">
      <c r="A1334" t="s">
        <v>67</v>
      </c>
      <c r="B1334">
        <v>0</v>
      </c>
      <c r="G1334" t="s">
        <v>3338</v>
      </c>
      <c r="I1334" t="s">
        <v>3338</v>
      </c>
      <c r="N1334" t="s">
        <v>3424</v>
      </c>
      <c r="O1334" t="s">
        <v>3425</v>
      </c>
      <c r="P1334">
        <v>41194026</v>
      </c>
    </row>
    <row r="1335" spans="1:16">
      <c r="A1335" t="s">
        <v>67</v>
      </c>
      <c r="B1335">
        <v>1</v>
      </c>
      <c r="E1335" t="s">
        <v>3424</v>
      </c>
      <c r="F1335" t="s">
        <v>3425</v>
      </c>
      <c r="G1335" t="s">
        <v>3426</v>
      </c>
      <c r="I1335" t="s">
        <v>3338</v>
      </c>
      <c r="J1335" t="s">
        <v>2421</v>
      </c>
      <c r="K1335" t="s">
        <v>3354</v>
      </c>
      <c r="L1335" t="s">
        <v>3369</v>
      </c>
      <c r="N1335" t="s">
        <v>3427</v>
      </c>
      <c r="O1335" t="s">
        <v>3428</v>
      </c>
      <c r="P1335">
        <v>41194026</v>
      </c>
    </row>
    <row r="1336" spans="1:16">
      <c r="A1336" t="s">
        <v>67</v>
      </c>
      <c r="B1336">
        <v>1</v>
      </c>
      <c r="E1336" t="s">
        <v>3424</v>
      </c>
      <c r="F1336" t="s">
        <v>3425</v>
      </c>
      <c r="G1336" t="s">
        <v>3426</v>
      </c>
      <c r="I1336" t="s">
        <v>3338</v>
      </c>
      <c r="J1336" t="s">
        <v>2421</v>
      </c>
      <c r="K1336" t="s">
        <v>3354</v>
      </c>
      <c r="L1336" t="s">
        <v>3369</v>
      </c>
      <c r="N1336" t="s">
        <v>3429</v>
      </c>
      <c r="O1336" t="s">
        <v>3430</v>
      </c>
      <c r="P1336">
        <v>41194026</v>
      </c>
    </row>
    <row r="1337" spans="1:16">
      <c r="A1337" t="s">
        <v>67</v>
      </c>
      <c r="B1337">
        <v>1</v>
      </c>
      <c r="E1337" t="s">
        <v>3424</v>
      </c>
      <c r="F1337" t="s">
        <v>3425</v>
      </c>
      <c r="G1337" t="s">
        <v>3426</v>
      </c>
      <c r="I1337" t="s">
        <v>3338</v>
      </c>
      <c r="J1337" t="s">
        <v>2232</v>
      </c>
      <c r="K1337" t="s">
        <v>2233</v>
      </c>
      <c r="L1337" t="s">
        <v>3342</v>
      </c>
      <c r="N1337" t="s">
        <v>3431</v>
      </c>
      <c r="O1337" t="s">
        <v>3432</v>
      </c>
      <c r="P1337">
        <v>41194026</v>
      </c>
    </row>
    <row r="1338" spans="1:16">
      <c r="A1338" t="s">
        <v>67</v>
      </c>
      <c r="B1338">
        <v>0</v>
      </c>
      <c r="G1338" t="s">
        <v>3338</v>
      </c>
      <c r="I1338" t="s">
        <v>3338</v>
      </c>
      <c r="N1338" t="s">
        <v>3433</v>
      </c>
      <c r="O1338" t="s">
        <v>3434</v>
      </c>
      <c r="P1338">
        <v>41194026</v>
      </c>
    </row>
    <row r="1339" spans="1:16">
      <c r="A1339" t="s">
        <v>67</v>
      </c>
      <c r="B1339">
        <v>1</v>
      </c>
      <c r="E1339" t="s">
        <v>3433</v>
      </c>
      <c r="F1339" t="s">
        <v>3434</v>
      </c>
      <c r="G1339" t="s">
        <v>3435</v>
      </c>
      <c r="I1339" t="s">
        <v>3338</v>
      </c>
      <c r="J1339" t="s">
        <v>2232</v>
      </c>
      <c r="K1339" t="s">
        <v>2233</v>
      </c>
      <c r="L1339" t="s">
        <v>3342</v>
      </c>
      <c r="N1339" t="s">
        <v>3436</v>
      </c>
      <c r="O1339" t="s">
        <v>3437</v>
      </c>
      <c r="P1339">
        <v>41194026</v>
      </c>
    </row>
    <row r="1340" spans="1:16">
      <c r="A1340" t="s">
        <v>67</v>
      </c>
      <c r="B1340">
        <v>1</v>
      </c>
      <c r="E1340" t="s">
        <v>3433</v>
      </c>
      <c r="F1340" t="s">
        <v>3434</v>
      </c>
      <c r="G1340" t="s">
        <v>3435</v>
      </c>
      <c r="I1340" t="s">
        <v>3338</v>
      </c>
      <c r="J1340" t="s">
        <v>2232</v>
      </c>
      <c r="K1340" t="s">
        <v>2233</v>
      </c>
      <c r="L1340" t="s">
        <v>3342</v>
      </c>
      <c r="N1340" t="s">
        <v>3438</v>
      </c>
      <c r="O1340" t="s">
        <v>3439</v>
      </c>
      <c r="P1340">
        <v>41194026</v>
      </c>
    </row>
    <row r="1341" spans="1:16">
      <c r="A1341" t="s">
        <v>67</v>
      </c>
      <c r="B1341">
        <v>1</v>
      </c>
      <c r="E1341" t="s">
        <v>3433</v>
      </c>
      <c r="F1341" t="s">
        <v>3434</v>
      </c>
      <c r="G1341" t="s">
        <v>3435</v>
      </c>
      <c r="I1341" t="s">
        <v>3338</v>
      </c>
      <c r="J1341" t="s">
        <v>2232</v>
      </c>
      <c r="K1341" t="s">
        <v>2233</v>
      </c>
      <c r="L1341" t="s">
        <v>3342</v>
      </c>
      <c r="N1341" t="s">
        <v>3440</v>
      </c>
      <c r="O1341" t="s">
        <v>3441</v>
      </c>
      <c r="P1341">
        <v>41194026</v>
      </c>
    </row>
    <row r="1342" spans="1:16">
      <c r="A1342" t="s">
        <v>67</v>
      </c>
      <c r="B1342">
        <v>1</v>
      </c>
      <c r="E1342" t="s">
        <v>3433</v>
      </c>
      <c r="F1342" t="s">
        <v>3434</v>
      </c>
      <c r="G1342" t="s">
        <v>3435</v>
      </c>
      <c r="I1342" t="s">
        <v>3338</v>
      </c>
      <c r="J1342" t="s">
        <v>2232</v>
      </c>
      <c r="K1342" t="s">
        <v>2233</v>
      </c>
      <c r="L1342" t="s">
        <v>3342</v>
      </c>
      <c r="N1342" t="s">
        <v>3442</v>
      </c>
      <c r="O1342" t="s">
        <v>3443</v>
      </c>
      <c r="P1342">
        <v>41194026</v>
      </c>
    </row>
    <row r="1343" spans="1:16">
      <c r="A1343" t="s">
        <v>67</v>
      </c>
      <c r="B1343">
        <v>1</v>
      </c>
      <c r="E1343" t="s">
        <v>3433</v>
      </c>
      <c r="F1343" t="s">
        <v>3434</v>
      </c>
      <c r="G1343" t="s">
        <v>3435</v>
      </c>
      <c r="I1343" t="s">
        <v>3338</v>
      </c>
      <c r="J1343" t="s">
        <v>2232</v>
      </c>
      <c r="K1343" t="s">
        <v>2233</v>
      </c>
      <c r="L1343" t="s">
        <v>3342</v>
      </c>
      <c r="N1343" t="s">
        <v>3444</v>
      </c>
      <c r="O1343" t="s">
        <v>3445</v>
      </c>
      <c r="P1343">
        <v>41194026</v>
      </c>
    </row>
    <row r="1344" spans="1:16">
      <c r="A1344" t="s">
        <v>67</v>
      </c>
      <c r="B1344">
        <v>1</v>
      </c>
      <c r="E1344" t="s">
        <v>3433</v>
      </c>
      <c r="F1344" t="s">
        <v>3434</v>
      </c>
      <c r="G1344" t="s">
        <v>3435</v>
      </c>
      <c r="I1344" t="s">
        <v>3338</v>
      </c>
      <c r="J1344" t="s">
        <v>2232</v>
      </c>
      <c r="K1344" t="s">
        <v>2233</v>
      </c>
      <c r="L1344" t="s">
        <v>3342</v>
      </c>
      <c r="N1344" t="s">
        <v>3446</v>
      </c>
      <c r="O1344" t="s">
        <v>3447</v>
      </c>
      <c r="P1344">
        <v>41194026</v>
      </c>
    </row>
    <row r="1345" spans="1:16">
      <c r="A1345" t="s">
        <v>67</v>
      </c>
      <c r="B1345">
        <v>0</v>
      </c>
      <c r="G1345" t="s">
        <v>3338</v>
      </c>
      <c r="I1345" t="s">
        <v>3338</v>
      </c>
      <c r="N1345" t="s">
        <v>3448</v>
      </c>
      <c r="O1345" t="s">
        <v>3449</v>
      </c>
      <c r="P1345">
        <v>41194026</v>
      </c>
    </row>
    <row r="1346" spans="1:16">
      <c r="A1346" t="s">
        <v>67</v>
      </c>
      <c r="B1346">
        <v>1</v>
      </c>
      <c r="E1346" t="s">
        <v>3448</v>
      </c>
      <c r="F1346" t="s">
        <v>3449</v>
      </c>
      <c r="G1346" t="s">
        <v>3450</v>
      </c>
      <c r="I1346" t="s">
        <v>3338</v>
      </c>
      <c r="J1346" t="s">
        <v>2421</v>
      </c>
      <c r="K1346" t="s">
        <v>3354</v>
      </c>
      <c r="L1346" t="s">
        <v>3451</v>
      </c>
      <c r="N1346" t="s">
        <v>3452</v>
      </c>
      <c r="O1346" t="s">
        <v>3453</v>
      </c>
      <c r="P1346">
        <v>41194026</v>
      </c>
    </row>
    <row r="1347" spans="1:16">
      <c r="A1347" t="s">
        <v>67</v>
      </c>
      <c r="B1347">
        <v>0</v>
      </c>
      <c r="G1347" t="s">
        <v>3456</v>
      </c>
      <c r="I1347" t="s">
        <v>3456</v>
      </c>
      <c r="M1347" t="s">
        <v>3463</v>
      </c>
      <c r="N1347" t="s">
        <v>3485</v>
      </c>
      <c r="O1347" t="s">
        <v>3486</v>
      </c>
      <c r="P1347">
        <v>41194026</v>
      </c>
    </row>
    <row r="1348" spans="1:16">
      <c r="A1348" t="s">
        <v>67</v>
      </c>
      <c r="B1348">
        <v>0</v>
      </c>
      <c r="G1348" t="s">
        <v>3456</v>
      </c>
      <c r="I1348" t="s">
        <v>3456</v>
      </c>
      <c r="M1348" t="s">
        <v>3463</v>
      </c>
      <c r="N1348" t="s">
        <v>3464</v>
      </c>
      <c r="O1348" t="s">
        <v>3465</v>
      </c>
      <c r="P1348">
        <v>41194026</v>
      </c>
    </row>
    <row r="1349" spans="1:16">
      <c r="A1349" t="s">
        <v>69</v>
      </c>
      <c r="B1349">
        <v>0</v>
      </c>
      <c r="G1349" t="s">
        <v>3338</v>
      </c>
      <c r="I1349" t="s">
        <v>3338</v>
      </c>
      <c r="N1349" t="s">
        <v>3339</v>
      </c>
      <c r="O1349" t="s">
        <v>3340</v>
      </c>
      <c r="P1349">
        <v>41274924</v>
      </c>
    </row>
    <row r="1350" spans="1:16">
      <c r="A1350" t="s">
        <v>69</v>
      </c>
      <c r="B1350">
        <v>1</v>
      </c>
      <c r="E1350" t="s">
        <v>3339</v>
      </c>
      <c r="F1350" t="s">
        <v>3340</v>
      </c>
      <c r="G1350" t="s">
        <v>3341</v>
      </c>
      <c r="I1350" t="s">
        <v>3338</v>
      </c>
      <c r="J1350" t="s">
        <v>2232</v>
      </c>
      <c r="K1350" t="s">
        <v>2233</v>
      </c>
      <c r="L1350" t="s">
        <v>3342</v>
      </c>
      <c r="N1350" t="s">
        <v>3343</v>
      </c>
      <c r="O1350" t="s">
        <v>3344</v>
      </c>
      <c r="P1350">
        <v>41274924</v>
      </c>
    </row>
    <row r="1351" spans="1:16">
      <c r="A1351" t="s">
        <v>69</v>
      </c>
      <c r="B1351">
        <v>1</v>
      </c>
      <c r="E1351" t="s">
        <v>3339</v>
      </c>
      <c r="F1351" t="s">
        <v>3340</v>
      </c>
      <c r="G1351" t="s">
        <v>3341</v>
      </c>
      <c r="I1351" t="s">
        <v>3338</v>
      </c>
      <c r="J1351" t="s">
        <v>2232</v>
      </c>
      <c r="K1351" t="s">
        <v>2233</v>
      </c>
      <c r="L1351" t="s">
        <v>3342</v>
      </c>
      <c r="N1351" t="s">
        <v>3345</v>
      </c>
      <c r="O1351" t="s">
        <v>3346</v>
      </c>
      <c r="P1351">
        <v>41274924</v>
      </c>
    </row>
    <row r="1352" spans="1:16">
      <c r="A1352" t="s">
        <v>69</v>
      </c>
      <c r="B1352">
        <v>0</v>
      </c>
      <c r="G1352" t="s">
        <v>3338</v>
      </c>
      <c r="I1352" t="s">
        <v>3338</v>
      </c>
      <c r="N1352" t="s">
        <v>3347</v>
      </c>
      <c r="O1352" t="s">
        <v>3344</v>
      </c>
      <c r="P1352">
        <v>41274924</v>
      </c>
    </row>
    <row r="1353" spans="1:16">
      <c r="A1353" t="s">
        <v>69</v>
      </c>
      <c r="B1353">
        <v>1</v>
      </c>
      <c r="E1353" t="s">
        <v>3347</v>
      </c>
      <c r="F1353" t="s">
        <v>3344</v>
      </c>
      <c r="G1353" t="s">
        <v>3348</v>
      </c>
      <c r="I1353" t="s">
        <v>3338</v>
      </c>
      <c r="J1353" t="s">
        <v>2232</v>
      </c>
      <c r="K1353" t="s">
        <v>2233</v>
      </c>
      <c r="L1353" t="s">
        <v>3342</v>
      </c>
      <c r="N1353" t="s">
        <v>3349</v>
      </c>
      <c r="O1353" t="s">
        <v>3350</v>
      </c>
      <c r="P1353">
        <v>41274924</v>
      </c>
    </row>
    <row r="1354" spans="1:16">
      <c r="A1354" t="s">
        <v>69</v>
      </c>
      <c r="B1354">
        <v>1</v>
      </c>
      <c r="E1354" t="s">
        <v>3347</v>
      </c>
      <c r="F1354" t="s">
        <v>3344</v>
      </c>
      <c r="G1354" t="s">
        <v>3348</v>
      </c>
      <c r="I1354" t="s">
        <v>3338</v>
      </c>
      <c r="L1354" t="s">
        <v>193</v>
      </c>
      <c r="N1354" t="s">
        <v>3351</v>
      </c>
      <c r="O1354" t="s">
        <v>3352</v>
      </c>
      <c r="P1354">
        <v>41274924</v>
      </c>
    </row>
    <row r="1355" spans="1:16">
      <c r="A1355" t="s">
        <v>69</v>
      </c>
      <c r="B1355">
        <v>2</v>
      </c>
      <c r="E1355" t="s">
        <v>3351</v>
      </c>
      <c r="F1355" t="s">
        <v>3352</v>
      </c>
      <c r="G1355" t="s">
        <v>3353</v>
      </c>
      <c r="I1355" t="s">
        <v>3338</v>
      </c>
      <c r="J1355" t="s">
        <v>2421</v>
      </c>
      <c r="K1355" t="s">
        <v>3354</v>
      </c>
      <c r="L1355" t="s">
        <v>3355</v>
      </c>
      <c r="N1355" t="s">
        <v>3356</v>
      </c>
      <c r="O1355" t="s">
        <v>3357</v>
      </c>
      <c r="P1355">
        <v>41274924</v>
      </c>
    </row>
    <row r="1356" spans="1:16">
      <c r="A1356" t="s">
        <v>69</v>
      </c>
      <c r="B1356">
        <v>2</v>
      </c>
      <c r="E1356" t="s">
        <v>3351</v>
      </c>
      <c r="F1356" t="s">
        <v>3352</v>
      </c>
      <c r="G1356" t="s">
        <v>3353</v>
      </c>
      <c r="I1356" t="s">
        <v>3338</v>
      </c>
      <c r="J1356" t="s">
        <v>2421</v>
      </c>
      <c r="K1356" t="s">
        <v>3354</v>
      </c>
      <c r="L1356" t="s">
        <v>3355</v>
      </c>
      <c r="N1356" t="s">
        <v>3358</v>
      </c>
      <c r="O1356" t="s">
        <v>3359</v>
      </c>
      <c r="P1356">
        <v>41274924</v>
      </c>
    </row>
    <row r="1357" spans="1:16">
      <c r="A1357" t="s">
        <v>69</v>
      </c>
      <c r="B1357">
        <v>2</v>
      </c>
      <c r="E1357" t="s">
        <v>3351</v>
      </c>
      <c r="F1357" t="s">
        <v>3352</v>
      </c>
      <c r="G1357" t="s">
        <v>3353</v>
      </c>
      <c r="I1357" t="s">
        <v>3338</v>
      </c>
      <c r="J1357" t="s">
        <v>2421</v>
      </c>
      <c r="K1357" t="s">
        <v>3354</v>
      </c>
      <c r="L1357" t="s">
        <v>3355</v>
      </c>
      <c r="N1357" t="s">
        <v>3360</v>
      </c>
      <c r="O1357" t="s">
        <v>3361</v>
      </c>
      <c r="P1357">
        <v>41274924</v>
      </c>
    </row>
    <row r="1358" spans="1:16">
      <c r="A1358" t="s">
        <v>69</v>
      </c>
      <c r="B1358">
        <v>1</v>
      </c>
      <c r="E1358" t="s">
        <v>3347</v>
      </c>
      <c r="F1358" t="s">
        <v>3344</v>
      </c>
      <c r="G1358" t="s">
        <v>3348</v>
      </c>
      <c r="I1358" t="s">
        <v>3338</v>
      </c>
      <c r="J1358" t="s">
        <v>2236</v>
      </c>
      <c r="K1358" t="s">
        <v>3362</v>
      </c>
      <c r="L1358" t="s">
        <v>3363</v>
      </c>
      <c r="N1358" t="s">
        <v>3364</v>
      </c>
      <c r="O1358" t="s">
        <v>3365</v>
      </c>
      <c r="P1358">
        <v>41274924</v>
      </c>
    </row>
    <row r="1359" spans="1:16">
      <c r="A1359" t="s">
        <v>69</v>
      </c>
      <c r="B1359">
        <v>1</v>
      </c>
      <c r="E1359" t="s">
        <v>3347</v>
      </c>
      <c r="F1359" t="s">
        <v>3344</v>
      </c>
      <c r="G1359" t="s">
        <v>3348</v>
      </c>
      <c r="I1359" t="s">
        <v>3338</v>
      </c>
      <c r="L1359" t="s">
        <v>193</v>
      </c>
      <c r="N1359" t="s">
        <v>3366</v>
      </c>
      <c r="O1359" t="s">
        <v>3367</v>
      </c>
      <c r="P1359">
        <v>41274924</v>
      </c>
    </row>
    <row r="1360" spans="1:16">
      <c r="A1360" t="s">
        <v>69</v>
      </c>
      <c r="B1360">
        <v>2</v>
      </c>
      <c r="E1360" t="s">
        <v>3366</v>
      </c>
      <c r="F1360" t="s">
        <v>3367</v>
      </c>
      <c r="G1360" t="s">
        <v>3368</v>
      </c>
      <c r="I1360" t="s">
        <v>3338</v>
      </c>
      <c r="J1360" t="s">
        <v>2421</v>
      </c>
      <c r="K1360" t="s">
        <v>3354</v>
      </c>
      <c r="L1360" t="s">
        <v>3369</v>
      </c>
      <c r="N1360" t="s">
        <v>3370</v>
      </c>
      <c r="O1360" t="s">
        <v>3359</v>
      </c>
      <c r="P1360">
        <v>41274924</v>
      </c>
    </row>
    <row r="1361" spans="1:16">
      <c r="A1361" t="s">
        <v>69</v>
      </c>
      <c r="B1361">
        <v>2</v>
      </c>
      <c r="E1361" t="s">
        <v>3366</v>
      </c>
      <c r="F1361" t="s">
        <v>3367</v>
      </c>
      <c r="G1361" t="s">
        <v>3368</v>
      </c>
      <c r="I1361" t="s">
        <v>3338</v>
      </c>
      <c r="J1361" t="s">
        <v>2421</v>
      </c>
      <c r="K1361" t="s">
        <v>3354</v>
      </c>
      <c r="L1361" t="s">
        <v>3369</v>
      </c>
      <c r="N1361" t="s">
        <v>3371</v>
      </c>
      <c r="O1361" t="s">
        <v>3372</v>
      </c>
      <c r="P1361">
        <v>41274924</v>
      </c>
    </row>
    <row r="1362" spans="1:16">
      <c r="A1362" t="s">
        <v>69</v>
      </c>
      <c r="B1362">
        <v>2</v>
      </c>
      <c r="E1362" t="s">
        <v>3366</v>
      </c>
      <c r="F1362" t="s">
        <v>3367</v>
      </c>
      <c r="G1362" t="s">
        <v>3368</v>
      </c>
      <c r="I1362" t="s">
        <v>3338</v>
      </c>
      <c r="J1362" t="s">
        <v>2421</v>
      </c>
      <c r="K1362" t="s">
        <v>3354</v>
      </c>
      <c r="L1362" t="s">
        <v>3369</v>
      </c>
      <c r="N1362" t="s">
        <v>3373</v>
      </c>
      <c r="O1362" t="s">
        <v>3374</v>
      </c>
      <c r="P1362">
        <v>41274924</v>
      </c>
    </row>
    <row r="1363" spans="1:16">
      <c r="A1363" t="s">
        <v>69</v>
      </c>
      <c r="B1363">
        <v>2</v>
      </c>
      <c r="E1363" t="s">
        <v>3366</v>
      </c>
      <c r="F1363" t="s">
        <v>3367</v>
      </c>
      <c r="G1363" t="s">
        <v>3368</v>
      </c>
      <c r="I1363" t="s">
        <v>3338</v>
      </c>
      <c r="J1363" t="s">
        <v>2236</v>
      </c>
      <c r="K1363" t="s">
        <v>3362</v>
      </c>
      <c r="L1363" t="s">
        <v>3363</v>
      </c>
      <c r="N1363" t="s">
        <v>3375</v>
      </c>
      <c r="O1363" t="s">
        <v>3376</v>
      </c>
      <c r="P1363">
        <v>41274924</v>
      </c>
    </row>
    <row r="1364" spans="1:16">
      <c r="A1364" t="s">
        <v>69</v>
      </c>
      <c r="B1364">
        <v>0</v>
      </c>
      <c r="G1364" t="s">
        <v>3338</v>
      </c>
      <c r="I1364" t="s">
        <v>3338</v>
      </c>
      <c r="N1364" t="s">
        <v>3377</v>
      </c>
      <c r="O1364" t="s">
        <v>3346</v>
      </c>
      <c r="P1364">
        <v>41274924</v>
      </c>
    </row>
    <row r="1365" spans="1:16">
      <c r="A1365" t="s">
        <v>69</v>
      </c>
      <c r="B1365">
        <v>1</v>
      </c>
      <c r="E1365" t="s">
        <v>3377</v>
      </c>
      <c r="F1365" t="s">
        <v>3346</v>
      </c>
      <c r="G1365" t="s">
        <v>3378</v>
      </c>
      <c r="I1365" t="s">
        <v>3338</v>
      </c>
      <c r="L1365" t="s">
        <v>193</v>
      </c>
      <c r="N1365" t="s">
        <v>3379</v>
      </c>
      <c r="O1365" t="s">
        <v>3380</v>
      </c>
      <c r="P1365">
        <v>41274924</v>
      </c>
    </row>
    <row r="1366" spans="1:16">
      <c r="A1366" t="s">
        <v>69</v>
      </c>
      <c r="B1366">
        <v>2</v>
      </c>
      <c r="E1366" t="s">
        <v>3379</v>
      </c>
      <c r="F1366" t="s">
        <v>3380</v>
      </c>
      <c r="G1366" t="s">
        <v>3381</v>
      </c>
      <c r="I1366" t="s">
        <v>3338</v>
      </c>
      <c r="J1366" t="s">
        <v>2421</v>
      </c>
      <c r="K1366" t="s">
        <v>3354</v>
      </c>
      <c r="L1366" t="s">
        <v>3369</v>
      </c>
      <c r="N1366" t="s">
        <v>3382</v>
      </c>
      <c r="O1366" t="s">
        <v>3352</v>
      </c>
      <c r="P1366">
        <v>41274924</v>
      </c>
    </row>
    <row r="1367" spans="1:16">
      <c r="A1367" t="s">
        <v>69</v>
      </c>
      <c r="B1367">
        <v>2</v>
      </c>
      <c r="E1367" t="s">
        <v>3379</v>
      </c>
      <c r="F1367" t="s">
        <v>3380</v>
      </c>
      <c r="G1367" t="s">
        <v>3381</v>
      </c>
      <c r="I1367" t="s">
        <v>3338</v>
      </c>
      <c r="J1367" t="s">
        <v>2236</v>
      </c>
      <c r="K1367" t="s">
        <v>3362</v>
      </c>
      <c r="L1367" t="s">
        <v>3383</v>
      </c>
      <c r="N1367" t="s">
        <v>3384</v>
      </c>
      <c r="O1367" t="s">
        <v>3385</v>
      </c>
      <c r="P1367">
        <v>41274924</v>
      </c>
    </row>
    <row r="1368" spans="1:16">
      <c r="A1368" t="s">
        <v>69</v>
      </c>
      <c r="B1368">
        <v>2</v>
      </c>
      <c r="E1368" t="s">
        <v>3379</v>
      </c>
      <c r="F1368" t="s">
        <v>3380</v>
      </c>
      <c r="G1368" t="s">
        <v>3381</v>
      </c>
      <c r="I1368" t="s">
        <v>3338</v>
      </c>
      <c r="J1368" t="s">
        <v>2232</v>
      </c>
      <c r="K1368" t="s">
        <v>2233</v>
      </c>
      <c r="L1368" t="s">
        <v>3342</v>
      </c>
      <c r="N1368" t="s">
        <v>3386</v>
      </c>
      <c r="O1368" t="s">
        <v>3350</v>
      </c>
      <c r="P1368">
        <v>41274924</v>
      </c>
    </row>
    <row r="1369" spans="1:16">
      <c r="A1369" t="s">
        <v>69</v>
      </c>
      <c r="B1369">
        <v>0</v>
      </c>
      <c r="G1369" t="s">
        <v>3338</v>
      </c>
      <c r="I1369" t="s">
        <v>3338</v>
      </c>
      <c r="N1369" t="s">
        <v>3395</v>
      </c>
      <c r="O1369" t="s">
        <v>3396</v>
      </c>
      <c r="P1369">
        <v>41274924</v>
      </c>
    </row>
    <row r="1370" spans="1:16">
      <c r="A1370" t="s">
        <v>69</v>
      </c>
      <c r="B1370">
        <v>1</v>
      </c>
      <c r="E1370" t="s">
        <v>3395</v>
      </c>
      <c r="F1370" t="s">
        <v>3396</v>
      </c>
      <c r="G1370" t="s">
        <v>3397</v>
      </c>
      <c r="I1370" t="s">
        <v>3338</v>
      </c>
      <c r="L1370" t="s">
        <v>3342</v>
      </c>
      <c r="N1370" t="s">
        <v>3398</v>
      </c>
      <c r="O1370" t="s">
        <v>3399</v>
      </c>
      <c r="P1370">
        <v>41274924</v>
      </c>
    </row>
    <row r="1371" spans="1:16">
      <c r="A1371" t="s">
        <v>69</v>
      </c>
      <c r="B1371">
        <v>1</v>
      </c>
      <c r="E1371" t="s">
        <v>3395</v>
      </c>
      <c r="F1371" t="s">
        <v>3396</v>
      </c>
      <c r="G1371" t="s">
        <v>3397</v>
      </c>
      <c r="I1371" t="s">
        <v>3338</v>
      </c>
      <c r="J1371" t="s">
        <v>2232</v>
      </c>
      <c r="K1371" t="s">
        <v>2233</v>
      </c>
      <c r="L1371" t="s">
        <v>3342</v>
      </c>
      <c r="N1371" t="s">
        <v>3400</v>
      </c>
      <c r="O1371" t="s">
        <v>3401</v>
      </c>
      <c r="P1371">
        <v>41274924</v>
      </c>
    </row>
    <row r="1372" spans="1:16">
      <c r="A1372" t="s">
        <v>69</v>
      </c>
      <c r="B1372">
        <v>1</v>
      </c>
      <c r="E1372" t="s">
        <v>3395</v>
      </c>
      <c r="F1372" t="s">
        <v>3396</v>
      </c>
      <c r="G1372" t="s">
        <v>3397</v>
      </c>
      <c r="I1372" t="s">
        <v>3338</v>
      </c>
      <c r="J1372" t="s">
        <v>2232</v>
      </c>
      <c r="K1372" t="s">
        <v>2233</v>
      </c>
      <c r="L1372" t="s">
        <v>3342</v>
      </c>
      <c r="N1372" t="s">
        <v>3402</v>
      </c>
      <c r="O1372" t="s">
        <v>3403</v>
      </c>
      <c r="P1372">
        <v>41274924</v>
      </c>
    </row>
    <row r="1373" spans="1:16">
      <c r="A1373" t="s">
        <v>69</v>
      </c>
      <c r="B1373">
        <v>1</v>
      </c>
      <c r="E1373" t="s">
        <v>3395</v>
      </c>
      <c r="F1373" t="s">
        <v>3396</v>
      </c>
      <c r="G1373" t="s">
        <v>3397</v>
      </c>
      <c r="I1373" t="s">
        <v>3338</v>
      </c>
      <c r="J1373" t="s">
        <v>2232</v>
      </c>
      <c r="K1373" t="s">
        <v>2233</v>
      </c>
      <c r="L1373" t="s">
        <v>3342</v>
      </c>
      <c r="N1373" t="s">
        <v>3404</v>
      </c>
      <c r="O1373" t="s">
        <v>3405</v>
      </c>
      <c r="P1373">
        <v>41274924</v>
      </c>
    </row>
    <row r="1374" spans="1:16">
      <c r="A1374" t="s">
        <v>69</v>
      </c>
      <c r="B1374">
        <v>0</v>
      </c>
      <c r="G1374" t="s">
        <v>3338</v>
      </c>
      <c r="I1374" t="s">
        <v>3338</v>
      </c>
      <c r="N1374" t="s">
        <v>3406</v>
      </c>
      <c r="O1374" t="s">
        <v>3407</v>
      </c>
      <c r="P1374">
        <v>41274924</v>
      </c>
    </row>
    <row r="1375" spans="1:16">
      <c r="A1375" t="s">
        <v>69</v>
      </c>
      <c r="B1375">
        <v>1</v>
      </c>
      <c r="E1375" t="s">
        <v>3406</v>
      </c>
      <c r="F1375" t="s">
        <v>3407</v>
      </c>
      <c r="G1375" t="s">
        <v>3408</v>
      </c>
      <c r="I1375" t="s">
        <v>3338</v>
      </c>
      <c r="J1375" t="s">
        <v>2421</v>
      </c>
      <c r="K1375" t="s">
        <v>3354</v>
      </c>
      <c r="L1375" t="s">
        <v>3369</v>
      </c>
      <c r="N1375" t="s">
        <v>3409</v>
      </c>
      <c r="O1375" t="s">
        <v>3410</v>
      </c>
      <c r="P1375">
        <v>41274924</v>
      </c>
    </row>
    <row r="1376" spans="1:16">
      <c r="A1376" t="s">
        <v>69</v>
      </c>
      <c r="B1376">
        <v>1</v>
      </c>
      <c r="E1376" t="s">
        <v>3406</v>
      </c>
      <c r="F1376" t="s">
        <v>3407</v>
      </c>
      <c r="G1376" t="s">
        <v>3408</v>
      </c>
      <c r="I1376" t="s">
        <v>3338</v>
      </c>
      <c r="L1376" t="s">
        <v>193</v>
      </c>
      <c r="N1376" t="s">
        <v>3411</v>
      </c>
      <c r="O1376" t="s">
        <v>3412</v>
      </c>
      <c r="P1376">
        <v>41274924</v>
      </c>
    </row>
    <row r="1377" spans="1:16">
      <c r="A1377" t="s">
        <v>69</v>
      </c>
      <c r="B1377">
        <v>2</v>
      </c>
      <c r="E1377" t="s">
        <v>3411</v>
      </c>
      <c r="F1377" t="s">
        <v>3412</v>
      </c>
      <c r="G1377" t="s">
        <v>3413</v>
      </c>
      <c r="I1377" t="s">
        <v>3338</v>
      </c>
      <c r="J1377" t="s">
        <v>2232</v>
      </c>
      <c r="K1377" t="s">
        <v>2233</v>
      </c>
      <c r="L1377" t="s">
        <v>3342</v>
      </c>
      <c r="N1377" t="s">
        <v>3414</v>
      </c>
      <c r="O1377" t="s">
        <v>3415</v>
      </c>
      <c r="P1377">
        <v>41274924</v>
      </c>
    </row>
    <row r="1378" spans="1:16">
      <c r="A1378" t="s">
        <v>69</v>
      </c>
      <c r="B1378">
        <v>2</v>
      </c>
      <c r="E1378" t="s">
        <v>3411</v>
      </c>
      <c r="F1378" t="s">
        <v>3412</v>
      </c>
      <c r="G1378" t="s">
        <v>3413</v>
      </c>
      <c r="I1378" t="s">
        <v>3338</v>
      </c>
      <c r="J1378" t="s">
        <v>2232</v>
      </c>
      <c r="K1378" t="s">
        <v>2233</v>
      </c>
      <c r="L1378" t="s">
        <v>3342</v>
      </c>
      <c r="N1378" t="s">
        <v>3416</v>
      </c>
      <c r="O1378" t="s">
        <v>3417</v>
      </c>
      <c r="P1378">
        <v>41274924</v>
      </c>
    </row>
    <row r="1379" spans="1:16">
      <c r="A1379" t="s">
        <v>69</v>
      </c>
      <c r="B1379">
        <v>2</v>
      </c>
      <c r="E1379" t="s">
        <v>3411</v>
      </c>
      <c r="F1379" t="s">
        <v>3412</v>
      </c>
      <c r="G1379" t="s">
        <v>3413</v>
      </c>
      <c r="I1379" t="s">
        <v>3338</v>
      </c>
      <c r="J1379" t="s">
        <v>2232</v>
      </c>
      <c r="K1379" t="s">
        <v>2233</v>
      </c>
      <c r="L1379" t="s">
        <v>3342</v>
      </c>
      <c r="N1379" t="s">
        <v>3418</v>
      </c>
      <c r="O1379" t="s">
        <v>3419</v>
      </c>
      <c r="P1379">
        <v>41274924</v>
      </c>
    </row>
    <row r="1380" spans="1:16">
      <c r="A1380" t="s">
        <v>69</v>
      </c>
      <c r="B1380">
        <v>2</v>
      </c>
      <c r="E1380" t="s">
        <v>3411</v>
      </c>
      <c r="F1380" t="s">
        <v>3412</v>
      </c>
      <c r="G1380" t="s">
        <v>3413</v>
      </c>
      <c r="I1380" t="s">
        <v>3338</v>
      </c>
      <c r="J1380" t="s">
        <v>2232</v>
      </c>
      <c r="K1380" t="s">
        <v>2233</v>
      </c>
      <c r="L1380" t="s">
        <v>3342</v>
      </c>
      <c r="N1380" t="s">
        <v>3420</v>
      </c>
      <c r="O1380" t="s">
        <v>3421</v>
      </c>
      <c r="P1380">
        <v>41274924</v>
      </c>
    </row>
    <row r="1381" spans="1:16">
      <c r="A1381" t="s">
        <v>69</v>
      </c>
      <c r="B1381">
        <v>2</v>
      </c>
      <c r="E1381" t="s">
        <v>3411</v>
      </c>
      <c r="F1381" t="s">
        <v>3412</v>
      </c>
      <c r="G1381" t="s">
        <v>3413</v>
      </c>
      <c r="I1381" t="s">
        <v>3338</v>
      </c>
      <c r="J1381" t="s">
        <v>2232</v>
      </c>
      <c r="K1381" t="s">
        <v>2233</v>
      </c>
      <c r="L1381" t="s">
        <v>3342</v>
      </c>
      <c r="N1381" t="s">
        <v>3422</v>
      </c>
      <c r="O1381" t="s">
        <v>3423</v>
      </c>
      <c r="P1381">
        <v>41274924</v>
      </c>
    </row>
    <row r="1382" spans="1:16">
      <c r="A1382" t="s">
        <v>69</v>
      </c>
      <c r="B1382">
        <v>0</v>
      </c>
      <c r="G1382" t="s">
        <v>3338</v>
      </c>
      <c r="I1382" t="s">
        <v>3338</v>
      </c>
      <c r="N1382" t="s">
        <v>3424</v>
      </c>
      <c r="O1382" t="s">
        <v>3425</v>
      </c>
      <c r="P1382">
        <v>41274924</v>
      </c>
    </row>
    <row r="1383" spans="1:16">
      <c r="A1383" t="s">
        <v>69</v>
      </c>
      <c r="B1383">
        <v>1</v>
      </c>
      <c r="E1383" t="s">
        <v>3424</v>
      </c>
      <c r="F1383" t="s">
        <v>3425</v>
      </c>
      <c r="G1383" t="s">
        <v>3426</v>
      </c>
      <c r="I1383" t="s">
        <v>3338</v>
      </c>
      <c r="J1383" t="s">
        <v>2421</v>
      </c>
      <c r="K1383" t="s">
        <v>3354</v>
      </c>
      <c r="L1383" t="s">
        <v>3369</v>
      </c>
      <c r="N1383" t="s">
        <v>3427</v>
      </c>
      <c r="O1383" t="s">
        <v>3428</v>
      </c>
      <c r="P1383">
        <v>41274924</v>
      </c>
    </row>
    <row r="1384" spans="1:16">
      <c r="A1384" t="s">
        <v>69</v>
      </c>
      <c r="B1384">
        <v>1</v>
      </c>
      <c r="E1384" t="s">
        <v>3424</v>
      </c>
      <c r="F1384" t="s">
        <v>3425</v>
      </c>
      <c r="G1384" t="s">
        <v>3426</v>
      </c>
      <c r="I1384" t="s">
        <v>3338</v>
      </c>
      <c r="J1384" t="s">
        <v>2421</v>
      </c>
      <c r="K1384" t="s">
        <v>3354</v>
      </c>
      <c r="L1384" t="s">
        <v>3369</v>
      </c>
      <c r="N1384" t="s">
        <v>3429</v>
      </c>
      <c r="O1384" t="s">
        <v>3430</v>
      </c>
      <c r="P1384">
        <v>41274924</v>
      </c>
    </row>
    <row r="1385" spans="1:16">
      <c r="A1385" t="s">
        <v>69</v>
      </c>
      <c r="B1385">
        <v>1</v>
      </c>
      <c r="E1385" t="s">
        <v>3424</v>
      </c>
      <c r="F1385" t="s">
        <v>3425</v>
      </c>
      <c r="G1385" t="s">
        <v>3426</v>
      </c>
      <c r="I1385" t="s">
        <v>3338</v>
      </c>
      <c r="J1385" t="s">
        <v>2232</v>
      </c>
      <c r="K1385" t="s">
        <v>2233</v>
      </c>
      <c r="L1385" t="s">
        <v>3342</v>
      </c>
      <c r="N1385" t="s">
        <v>3431</v>
      </c>
      <c r="O1385" t="s">
        <v>3432</v>
      </c>
      <c r="P1385">
        <v>41274924</v>
      </c>
    </row>
    <row r="1386" spans="1:16">
      <c r="A1386" t="s">
        <v>69</v>
      </c>
      <c r="B1386">
        <v>0</v>
      </c>
      <c r="G1386" t="s">
        <v>3338</v>
      </c>
      <c r="I1386" t="s">
        <v>3338</v>
      </c>
      <c r="N1386" t="s">
        <v>3433</v>
      </c>
      <c r="O1386" t="s">
        <v>3434</v>
      </c>
      <c r="P1386">
        <v>41274924</v>
      </c>
    </row>
    <row r="1387" spans="1:16">
      <c r="A1387" t="s">
        <v>69</v>
      </c>
      <c r="B1387">
        <v>1</v>
      </c>
      <c r="E1387" t="s">
        <v>3433</v>
      </c>
      <c r="F1387" t="s">
        <v>3434</v>
      </c>
      <c r="G1387" t="s">
        <v>3435</v>
      </c>
      <c r="I1387" t="s">
        <v>3338</v>
      </c>
      <c r="J1387" t="s">
        <v>2232</v>
      </c>
      <c r="K1387" t="s">
        <v>2233</v>
      </c>
      <c r="L1387" t="s">
        <v>3342</v>
      </c>
      <c r="N1387" t="s">
        <v>3436</v>
      </c>
      <c r="O1387" t="s">
        <v>3437</v>
      </c>
      <c r="P1387">
        <v>41274924</v>
      </c>
    </row>
    <row r="1388" spans="1:16">
      <c r="A1388" t="s">
        <v>69</v>
      </c>
      <c r="B1388">
        <v>1</v>
      </c>
      <c r="E1388" t="s">
        <v>3433</v>
      </c>
      <c r="F1388" t="s">
        <v>3434</v>
      </c>
      <c r="G1388" t="s">
        <v>3435</v>
      </c>
      <c r="I1388" t="s">
        <v>3338</v>
      </c>
      <c r="J1388" t="s">
        <v>2232</v>
      </c>
      <c r="K1388" t="s">
        <v>2233</v>
      </c>
      <c r="L1388" t="s">
        <v>3342</v>
      </c>
      <c r="N1388" t="s">
        <v>3438</v>
      </c>
      <c r="O1388" t="s">
        <v>3439</v>
      </c>
      <c r="P1388">
        <v>41274924</v>
      </c>
    </row>
    <row r="1389" spans="1:16">
      <c r="A1389" t="s">
        <v>69</v>
      </c>
      <c r="B1389">
        <v>1</v>
      </c>
      <c r="E1389" t="s">
        <v>3433</v>
      </c>
      <c r="F1389" t="s">
        <v>3434</v>
      </c>
      <c r="G1389" t="s">
        <v>3435</v>
      </c>
      <c r="I1389" t="s">
        <v>3338</v>
      </c>
      <c r="J1389" t="s">
        <v>2232</v>
      </c>
      <c r="K1389" t="s">
        <v>2233</v>
      </c>
      <c r="L1389" t="s">
        <v>3342</v>
      </c>
      <c r="N1389" t="s">
        <v>3440</v>
      </c>
      <c r="O1389" t="s">
        <v>3441</v>
      </c>
      <c r="P1389">
        <v>41274924</v>
      </c>
    </row>
    <row r="1390" spans="1:16">
      <c r="A1390" t="s">
        <v>69</v>
      </c>
      <c r="B1390">
        <v>1</v>
      </c>
      <c r="E1390" t="s">
        <v>3433</v>
      </c>
      <c r="F1390" t="s">
        <v>3434</v>
      </c>
      <c r="G1390" t="s">
        <v>3435</v>
      </c>
      <c r="I1390" t="s">
        <v>3338</v>
      </c>
      <c r="J1390" t="s">
        <v>2232</v>
      </c>
      <c r="K1390" t="s">
        <v>2233</v>
      </c>
      <c r="L1390" t="s">
        <v>3342</v>
      </c>
      <c r="N1390" t="s">
        <v>3442</v>
      </c>
      <c r="O1390" t="s">
        <v>3443</v>
      </c>
      <c r="P1390">
        <v>41274924</v>
      </c>
    </row>
    <row r="1391" spans="1:16">
      <c r="A1391" t="s">
        <v>69</v>
      </c>
      <c r="B1391">
        <v>1</v>
      </c>
      <c r="E1391" t="s">
        <v>3433</v>
      </c>
      <c r="F1391" t="s">
        <v>3434</v>
      </c>
      <c r="G1391" t="s">
        <v>3435</v>
      </c>
      <c r="I1391" t="s">
        <v>3338</v>
      </c>
      <c r="J1391" t="s">
        <v>2232</v>
      </c>
      <c r="K1391" t="s">
        <v>2233</v>
      </c>
      <c r="L1391" t="s">
        <v>3342</v>
      </c>
      <c r="N1391" t="s">
        <v>3444</v>
      </c>
      <c r="O1391" t="s">
        <v>3445</v>
      </c>
      <c r="P1391">
        <v>41274924</v>
      </c>
    </row>
    <row r="1392" spans="1:16">
      <c r="A1392" t="s">
        <v>69</v>
      </c>
      <c r="B1392">
        <v>1</v>
      </c>
      <c r="E1392" t="s">
        <v>3433</v>
      </c>
      <c r="F1392" t="s">
        <v>3434</v>
      </c>
      <c r="G1392" t="s">
        <v>3435</v>
      </c>
      <c r="I1392" t="s">
        <v>3338</v>
      </c>
      <c r="J1392" t="s">
        <v>2232</v>
      </c>
      <c r="K1392" t="s">
        <v>2233</v>
      </c>
      <c r="L1392" t="s">
        <v>3342</v>
      </c>
      <c r="N1392" t="s">
        <v>3446</v>
      </c>
      <c r="O1392" t="s">
        <v>3447</v>
      </c>
      <c r="P1392">
        <v>41274924</v>
      </c>
    </row>
    <row r="1393" spans="1:16">
      <c r="A1393" t="s">
        <v>69</v>
      </c>
      <c r="B1393">
        <v>0</v>
      </c>
      <c r="G1393" t="s">
        <v>3338</v>
      </c>
      <c r="I1393" t="s">
        <v>3338</v>
      </c>
      <c r="N1393" t="s">
        <v>3448</v>
      </c>
      <c r="O1393" t="s">
        <v>3449</v>
      </c>
      <c r="P1393">
        <v>41274924</v>
      </c>
    </row>
    <row r="1394" spans="1:16">
      <c r="A1394" t="s">
        <v>69</v>
      </c>
      <c r="B1394">
        <v>1</v>
      </c>
      <c r="E1394" t="s">
        <v>3448</v>
      </c>
      <c r="F1394" t="s">
        <v>3449</v>
      </c>
      <c r="G1394" t="s">
        <v>3450</v>
      </c>
      <c r="I1394" t="s">
        <v>3338</v>
      </c>
      <c r="J1394" t="s">
        <v>2421</v>
      </c>
      <c r="K1394" t="s">
        <v>3354</v>
      </c>
      <c r="L1394" t="s">
        <v>3451</v>
      </c>
      <c r="N1394" t="s">
        <v>3452</v>
      </c>
      <c r="O1394" t="s">
        <v>3453</v>
      </c>
      <c r="P1394">
        <v>41274924</v>
      </c>
    </row>
    <row r="1395" spans="1:16">
      <c r="A1395" t="s">
        <v>71</v>
      </c>
      <c r="B1395">
        <v>0</v>
      </c>
      <c r="G1395" t="s">
        <v>3338</v>
      </c>
      <c r="I1395" t="s">
        <v>3338</v>
      </c>
      <c r="N1395" t="s">
        <v>3339</v>
      </c>
      <c r="O1395" t="s">
        <v>3340</v>
      </c>
      <c r="P1395">
        <v>41270430</v>
      </c>
    </row>
    <row r="1396" spans="1:16">
      <c r="A1396" t="s">
        <v>71</v>
      </c>
      <c r="B1396">
        <v>1</v>
      </c>
      <c r="E1396" t="s">
        <v>3339</v>
      </c>
      <c r="F1396" t="s">
        <v>3340</v>
      </c>
      <c r="G1396" t="s">
        <v>3341</v>
      </c>
      <c r="I1396" t="s">
        <v>3338</v>
      </c>
      <c r="J1396" t="s">
        <v>2232</v>
      </c>
      <c r="K1396" t="s">
        <v>2233</v>
      </c>
      <c r="L1396" t="s">
        <v>3342</v>
      </c>
      <c r="N1396" t="s">
        <v>3343</v>
      </c>
      <c r="O1396" t="s">
        <v>3344</v>
      </c>
      <c r="P1396">
        <v>41270430</v>
      </c>
    </row>
    <row r="1397" spans="1:16">
      <c r="A1397" t="s">
        <v>71</v>
      </c>
      <c r="B1397">
        <v>1</v>
      </c>
      <c r="E1397" t="s">
        <v>3339</v>
      </c>
      <c r="F1397" t="s">
        <v>3340</v>
      </c>
      <c r="G1397" t="s">
        <v>3341</v>
      </c>
      <c r="I1397" t="s">
        <v>3338</v>
      </c>
      <c r="J1397" t="s">
        <v>2232</v>
      </c>
      <c r="K1397" t="s">
        <v>2233</v>
      </c>
      <c r="L1397" t="s">
        <v>3342</v>
      </c>
      <c r="N1397" t="s">
        <v>3345</v>
      </c>
      <c r="O1397" t="s">
        <v>3346</v>
      </c>
      <c r="P1397">
        <v>41270430</v>
      </c>
    </row>
    <row r="1398" spans="1:16">
      <c r="A1398" t="s">
        <v>71</v>
      </c>
      <c r="B1398">
        <v>0</v>
      </c>
      <c r="G1398" t="s">
        <v>3338</v>
      </c>
      <c r="I1398" t="s">
        <v>3338</v>
      </c>
      <c r="N1398" t="s">
        <v>3347</v>
      </c>
      <c r="O1398" t="s">
        <v>3344</v>
      </c>
      <c r="P1398">
        <v>41270430</v>
      </c>
    </row>
    <row r="1399" spans="1:16">
      <c r="A1399" t="s">
        <v>71</v>
      </c>
      <c r="B1399">
        <v>1</v>
      </c>
      <c r="E1399" t="s">
        <v>3347</v>
      </c>
      <c r="F1399" t="s">
        <v>3344</v>
      </c>
      <c r="G1399" t="s">
        <v>3348</v>
      </c>
      <c r="I1399" t="s">
        <v>3338</v>
      </c>
      <c r="J1399" t="s">
        <v>2232</v>
      </c>
      <c r="K1399" t="s">
        <v>2233</v>
      </c>
      <c r="L1399" t="s">
        <v>3342</v>
      </c>
      <c r="N1399" t="s">
        <v>3349</v>
      </c>
      <c r="O1399" t="s">
        <v>3350</v>
      </c>
      <c r="P1399">
        <v>41270430</v>
      </c>
    </row>
    <row r="1400" spans="1:16">
      <c r="A1400" t="s">
        <v>71</v>
      </c>
      <c r="B1400">
        <v>1</v>
      </c>
      <c r="E1400" t="s">
        <v>3347</v>
      </c>
      <c r="F1400" t="s">
        <v>3344</v>
      </c>
      <c r="G1400" t="s">
        <v>3348</v>
      </c>
      <c r="I1400" t="s">
        <v>3338</v>
      </c>
      <c r="L1400" t="s">
        <v>193</v>
      </c>
      <c r="N1400" t="s">
        <v>3351</v>
      </c>
      <c r="O1400" t="s">
        <v>3352</v>
      </c>
      <c r="P1400">
        <v>41270430</v>
      </c>
    </row>
    <row r="1401" spans="1:16">
      <c r="A1401" t="s">
        <v>71</v>
      </c>
      <c r="B1401">
        <v>2</v>
      </c>
      <c r="E1401" t="s">
        <v>3351</v>
      </c>
      <c r="F1401" t="s">
        <v>3352</v>
      </c>
      <c r="G1401" t="s">
        <v>3353</v>
      </c>
      <c r="I1401" t="s">
        <v>3338</v>
      </c>
      <c r="J1401" t="s">
        <v>2421</v>
      </c>
      <c r="K1401" t="s">
        <v>3354</v>
      </c>
      <c r="L1401" t="s">
        <v>3355</v>
      </c>
      <c r="N1401" t="s">
        <v>3356</v>
      </c>
      <c r="O1401" t="s">
        <v>3357</v>
      </c>
      <c r="P1401">
        <v>41270430</v>
      </c>
    </row>
    <row r="1402" spans="1:16">
      <c r="A1402" t="s">
        <v>71</v>
      </c>
      <c r="B1402">
        <v>2</v>
      </c>
      <c r="E1402" t="s">
        <v>3351</v>
      </c>
      <c r="F1402" t="s">
        <v>3352</v>
      </c>
      <c r="G1402" t="s">
        <v>3353</v>
      </c>
      <c r="I1402" t="s">
        <v>3338</v>
      </c>
      <c r="J1402" t="s">
        <v>2421</v>
      </c>
      <c r="K1402" t="s">
        <v>3354</v>
      </c>
      <c r="L1402" t="s">
        <v>3355</v>
      </c>
      <c r="N1402" t="s">
        <v>3358</v>
      </c>
      <c r="O1402" t="s">
        <v>3359</v>
      </c>
      <c r="P1402">
        <v>41270430</v>
      </c>
    </row>
    <row r="1403" spans="1:16">
      <c r="A1403" t="s">
        <v>71</v>
      </c>
      <c r="B1403">
        <v>2</v>
      </c>
      <c r="E1403" t="s">
        <v>3351</v>
      </c>
      <c r="F1403" t="s">
        <v>3352</v>
      </c>
      <c r="G1403" t="s">
        <v>3353</v>
      </c>
      <c r="I1403" t="s">
        <v>3338</v>
      </c>
      <c r="J1403" t="s">
        <v>2421</v>
      </c>
      <c r="K1403" t="s">
        <v>3354</v>
      </c>
      <c r="L1403" t="s">
        <v>3355</v>
      </c>
      <c r="N1403" t="s">
        <v>3360</v>
      </c>
      <c r="O1403" t="s">
        <v>3361</v>
      </c>
      <c r="P1403">
        <v>41270430</v>
      </c>
    </row>
    <row r="1404" spans="1:16">
      <c r="A1404" t="s">
        <v>71</v>
      </c>
      <c r="B1404">
        <v>1</v>
      </c>
      <c r="E1404" t="s">
        <v>3347</v>
      </c>
      <c r="F1404" t="s">
        <v>3344</v>
      </c>
      <c r="G1404" t="s">
        <v>3348</v>
      </c>
      <c r="I1404" t="s">
        <v>3338</v>
      </c>
      <c r="J1404" t="s">
        <v>2236</v>
      </c>
      <c r="K1404" t="s">
        <v>3362</v>
      </c>
      <c r="L1404" t="s">
        <v>3363</v>
      </c>
      <c r="N1404" t="s">
        <v>3364</v>
      </c>
      <c r="O1404" t="s">
        <v>3365</v>
      </c>
      <c r="P1404">
        <v>41270430</v>
      </c>
    </row>
    <row r="1405" spans="1:16">
      <c r="A1405" t="s">
        <v>71</v>
      </c>
      <c r="B1405">
        <v>1</v>
      </c>
      <c r="E1405" t="s">
        <v>3347</v>
      </c>
      <c r="F1405" t="s">
        <v>3344</v>
      </c>
      <c r="G1405" t="s">
        <v>3348</v>
      </c>
      <c r="I1405" t="s">
        <v>3338</v>
      </c>
      <c r="L1405" t="s">
        <v>193</v>
      </c>
      <c r="N1405" t="s">
        <v>3366</v>
      </c>
      <c r="O1405" t="s">
        <v>3367</v>
      </c>
      <c r="P1405">
        <v>41270430</v>
      </c>
    </row>
    <row r="1406" spans="1:16">
      <c r="A1406" t="s">
        <v>71</v>
      </c>
      <c r="B1406">
        <v>2</v>
      </c>
      <c r="E1406" t="s">
        <v>3366</v>
      </c>
      <c r="F1406" t="s">
        <v>3367</v>
      </c>
      <c r="G1406" t="s">
        <v>3368</v>
      </c>
      <c r="I1406" t="s">
        <v>3338</v>
      </c>
      <c r="J1406" t="s">
        <v>2421</v>
      </c>
      <c r="K1406" t="s">
        <v>3354</v>
      </c>
      <c r="L1406" t="s">
        <v>3369</v>
      </c>
      <c r="N1406" t="s">
        <v>3370</v>
      </c>
      <c r="O1406" t="s">
        <v>3359</v>
      </c>
      <c r="P1406">
        <v>41270430</v>
      </c>
    </row>
    <row r="1407" spans="1:16">
      <c r="A1407" t="s">
        <v>71</v>
      </c>
      <c r="B1407">
        <v>2</v>
      </c>
      <c r="E1407" t="s">
        <v>3366</v>
      </c>
      <c r="F1407" t="s">
        <v>3367</v>
      </c>
      <c r="G1407" t="s">
        <v>3368</v>
      </c>
      <c r="I1407" t="s">
        <v>3338</v>
      </c>
      <c r="J1407" t="s">
        <v>2421</v>
      </c>
      <c r="K1407" t="s">
        <v>3354</v>
      </c>
      <c r="L1407" t="s">
        <v>3369</v>
      </c>
      <c r="N1407" t="s">
        <v>3371</v>
      </c>
      <c r="O1407" t="s">
        <v>3372</v>
      </c>
      <c r="P1407">
        <v>41270430</v>
      </c>
    </row>
    <row r="1408" spans="1:16">
      <c r="A1408" t="s">
        <v>71</v>
      </c>
      <c r="B1408">
        <v>2</v>
      </c>
      <c r="E1408" t="s">
        <v>3366</v>
      </c>
      <c r="F1408" t="s">
        <v>3367</v>
      </c>
      <c r="G1408" t="s">
        <v>3368</v>
      </c>
      <c r="I1408" t="s">
        <v>3338</v>
      </c>
      <c r="J1408" t="s">
        <v>2421</v>
      </c>
      <c r="K1408" t="s">
        <v>3354</v>
      </c>
      <c r="L1408" t="s">
        <v>3369</v>
      </c>
      <c r="N1408" t="s">
        <v>3373</v>
      </c>
      <c r="O1408" t="s">
        <v>3374</v>
      </c>
      <c r="P1408">
        <v>41270430</v>
      </c>
    </row>
    <row r="1409" spans="1:16">
      <c r="A1409" t="s">
        <v>71</v>
      </c>
      <c r="B1409">
        <v>2</v>
      </c>
      <c r="E1409" t="s">
        <v>3366</v>
      </c>
      <c r="F1409" t="s">
        <v>3367</v>
      </c>
      <c r="G1409" t="s">
        <v>3368</v>
      </c>
      <c r="I1409" t="s">
        <v>3338</v>
      </c>
      <c r="J1409" t="s">
        <v>2236</v>
      </c>
      <c r="K1409" t="s">
        <v>3362</v>
      </c>
      <c r="L1409" t="s">
        <v>3363</v>
      </c>
      <c r="N1409" t="s">
        <v>3375</v>
      </c>
      <c r="O1409" t="s">
        <v>3376</v>
      </c>
      <c r="P1409">
        <v>41270430</v>
      </c>
    </row>
    <row r="1410" spans="1:16">
      <c r="A1410" t="s">
        <v>71</v>
      </c>
      <c r="B1410">
        <v>0</v>
      </c>
      <c r="G1410" t="s">
        <v>3338</v>
      </c>
      <c r="I1410" t="s">
        <v>3338</v>
      </c>
      <c r="N1410" t="s">
        <v>3377</v>
      </c>
      <c r="O1410" t="s">
        <v>3346</v>
      </c>
      <c r="P1410">
        <v>41270430</v>
      </c>
    </row>
    <row r="1411" spans="1:16">
      <c r="A1411" t="s">
        <v>71</v>
      </c>
      <c r="B1411">
        <v>1</v>
      </c>
      <c r="E1411" t="s">
        <v>3377</v>
      </c>
      <c r="F1411" t="s">
        <v>3346</v>
      </c>
      <c r="G1411" t="s">
        <v>3378</v>
      </c>
      <c r="I1411" t="s">
        <v>3338</v>
      </c>
      <c r="L1411" t="s">
        <v>193</v>
      </c>
      <c r="N1411" t="s">
        <v>3379</v>
      </c>
      <c r="O1411" t="s">
        <v>3380</v>
      </c>
      <c r="P1411">
        <v>41270430</v>
      </c>
    </row>
    <row r="1412" spans="1:16">
      <c r="A1412" t="s">
        <v>71</v>
      </c>
      <c r="B1412">
        <v>2</v>
      </c>
      <c r="E1412" t="s">
        <v>3379</v>
      </c>
      <c r="F1412" t="s">
        <v>3380</v>
      </c>
      <c r="G1412" t="s">
        <v>3381</v>
      </c>
      <c r="I1412" t="s">
        <v>3338</v>
      </c>
      <c r="J1412" t="s">
        <v>2421</v>
      </c>
      <c r="K1412" t="s">
        <v>3354</v>
      </c>
      <c r="L1412" t="s">
        <v>3369</v>
      </c>
      <c r="N1412" t="s">
        <v>3382</v>
      </c>
      <c r="O1412" t="s">
        <v>3352</v>
      </c>
      <c r="P1412">
        <v>41270430</v>
      </c>
    </row>
    <row r="1413" spans="1:16">
      <c r="A1413" t="s">
        <v>71</v>
      </c>
      <c r="B1413">
        <v>2</v>
      </c>
      <c r="E1413" t="s">
        <v>3379</v>
      </c>
      <c r="F1413" t="s">
        <v>3380</v>
      </c>
      <c r="G1413" t="s">
        <v>3381</v>
      </c>
      <c r="I1413" t="s">
        <v>3338</v>
      </c>
      <c r="L1413" t="s">
        <v>3383</v>
      </c>
      <c r="N1413" t="s">
        <v>3384</v>
      </c>
      <c r="O1413" t="s">
        <v>3385</v>
      </c>
      <c r="P1413">
        <v>41270430</v>
      </c>
    </row>
    <row r="1414" spans="1:16">
      <c r="A1414" t="s">
        <v>71</v>
      </c>
      <c r="B1414">
        <v>2</v>
      </c>
      <c r="E1414" t="s">
        <v>3379</v>
      </c>
      <c r="F1414" t="s">
        <v>3380</v>
      </c>
      <c r="G1414" t="s">
        <v>3381</v>
      </c>
      <c r="I1414" t="s">
        <v>3338</v>
      </c>
      <c r="J1414" t="s">
        <v>2232</v>
      </c>
      <c r="K1414" t="s">
        <v>2233</v>
      </c>
      <c r="L1414" t="s">
        <v>3342</v>
      </c>
      <c r="N1414" t="s">
        <v>3386</v>
      </c>
      <c r="O1414" t="s">
        <v>3350</v>
      </c>
      <c r="P1414">
        <v>41270430</v>
      </c>
    </row>
    <row r="1415" spans="1:16">
      <c r="A1415" t="s">
        <v>71</v>
      </c>
      <c r="B1415">
        <v>1</v>
      </c>
      <c r="E1415" t="s">
        <v>3377</v>
      </c>
      <c r="F1415" t="s">
        <v>3346</v>
      </c>
      <c r="G1415" t="s">
        <v>3378</v>
      </c>
      <c r="I1415" t="s">
        <v>3338</v>
      </c>
      <c r="L1415" t="s">
        <v>193</v>
      </c>
      <c r="N1415" t="s">
        <v>3387</v>
      </c>
      <c r="O1415" t="s">
        <v>3388</v>
      </c>
      <c r="P1415">
        <v>41270430</v>
      </c>
    </row>
    <row r="1416" spans="1:16">
      <c r="A1416" t="s">
        <v>71</v>
      </c>
      <c r="B1416">
        <v>2</v>
      </c>
      <c r="E1416" t="s">
        <v>3387</v>
      </c>
      <c r="F1416" t="s">
        <v>3388</v>
      </c>
      <c r="G1416" t="s">
        <v>3389</v>
      </c>
      <c r="I1416" t="s">
        <v>3338</v>
      </c>
      <c r="L1416" t="s">
        <v>3369</v>
      </c>
      <c r="N1416" t="s">
        <v>3390</v>
      </c>
      <c r="O1416" t="s">
        <v>3352</v>
      </c>
      <c r="P1416">
        <v>41270430</v>
      </c>
    </row>
    <row r="1417" spans="1:16">
      <c r="A1417" t="s">
        <v>71</v>
      </c>
      <c r="B1417">
        <v>2</v>
      </c>
      <c r="E1417" t="s">
        <v>3387</v>
      </c>
      <c r="F1417" t="s">
        <v>3388</v>
      </c>
      <c r="G1417" t="s">
        <v>3389</v>
      </c>
      <c r="I1417" t="s">
        <v>3338</v>
      </c>
      <c r="L1417" t="s">
        <v>3342</v>
      </c>
      <c r="N1417" t="s">
        <v>3391</v>
      </c>
      <c r="O1417" t="s">
        <v>3392</v>
      </c>
      <c r="P1417">
        <v>41270430</v>
      </c>
    </row>
    <row r="1418" spans="1:16">
      <c r="A1418" t="s">
        <v>71</v>
      </c>
      <c r="B1418">
        <v>2</v>
      </c>
      <c r="E1418" t="s">
        <v>3387</v>
      </c>
      <c r="F1418" t="s">
        <v>3388</v>
      </c>
      <c r="G1418" t="s">
        <v>3389</v>
      </c>
      <c r="I1418" t="s">
        <v>3338</v>
      </c>
      <c r="L1418" t="s">
        <v>3383</v>
      </c>
      <c r="N1418" t="s">
        <v>3393</v>
      </c>
      <c r="O1418" t="s">
        <v>3385</v>
      </c>
      <c r="P1418">
        <v>41270430</v>
      </c>
    </row>
    <row r="1419" spans="1:16">
      <c r="A1419" t="s">
        <v>71</v>
      </c>
      <c r="B1419">
        <v>2</v>
      </c>
      <c r="E1419" t="s">
        <v>3387</v>
      </c>
      <c r="F1419" t="s">
        <v>3388</v>
      </c>
      <c r="G1419" t="s">
        <v>3389</v>
      </c>
      <c r="I1419" t="s">
        <v>3338</v>
      </c>
      <c r="L1419" t="s">
        <v>3342</v>
      </c>
      <c r="N1419" t="s">
        <v>3394</v>
      </c>
      <c r="O1419" t="s">
        <v>3350</v>
      </c>
      <c r="P1419">
        <v>41270430</v>
      </c>
    </row>
    <row r="1420" spans="1:16">
      <c r="A1420" t="s">
        <v>71</v>
      </c>
      <c r="B1420">
        <v>0</v>
      </c>
      <c r="G1420" t="s">
        <v>3338</v>
      </c>
      <c r="I1420" t="s">
        <v>3338</v>
      </c>
      <c r="N1420" t="s">
        <v>3395</v>
      </c>
      <c r="O1420" t="s">
        <v>3396</v>
      </c>
      <c r="P1420">
        <v>41270430</v>
      </c>
    </row>
    <row r="1421" spans="1:16">
      <c r="A1421" t="s">
        <v>71</v>
      </c>
      <c r="B1421">
        <v>1</v>
      </c>
      <c r="E1421" t="s">
        <v>3395</v>
      </c>
      <c r="F1421" t="s">
        <v>3396</v>
      </c>
      <c r="G1421" t="s">
        <v>3397</v>
      </c>
      <c r="I1421" t="s">
        <v>3338</v>
      </c>
      <c r="L1421" t="s">
        <v>3342</v>
      </c>
      <c r="N1421" t="s">
        <v>3398</v>
      </c>
      <c r="O1421" t="s">
        <v>3399</v>
      </c>
      <c r="P1421">
        <v>41270430</v>
      </c>
    </row>
    <row r="1422" spans="1:16">
      <c r="A1422" t="s">
        <v>71</v>
      </c>
      <c r="B1422">
        <v>1</v>
      </c>
      <c r="E1422" t="s">
        <v>3395</v>
      </c>
      <c r="F1422" t="s">
        <v>3396</v>
      </c>
      <c r="G1422" t="s">
        <v>3397</v>
      </c>
      <c r="I1422" t="s">
        <v>3338</v>
      </c>
      <c r="J1422" t="s">
        <v>2232</v>
      </c>
      <c r="K1422" t="s">
        <v>2233</v>
      </c>
      <c r="L1422" t="s">
        <v>3342</v>
      </c>
      <c r="N1422" t="s">
        <v>3400</v>
      </c>
      <c r="O1422" t="s">
        <v>3401</v>
      </c>
      <c r="P1422">
        <v>41270430</v>
      </c>
    </row>
    <row r="1423" spans="1:16">
      <c r="A1423" t="s">
        <v>71</v>
      </c>
      <c r="B1423">
        <v>1</v>
      </c>
      <c r="E1423" t="s">
        <v>3395</v>
      </c>
      <c r="F1423" t="s">
        <v>3396</v>
      </c>
      <c r="G1423" t="s">
        <v>3397</v>
      </c>
      <c r="I1423" t="s">
        <v>3338</v>
      </c>
      <c r="L1423" t="s">
        <v>3342</v>
      </c>
      <c r="N1423" t="s">
        <v>3402</v>
      </c>
      <c r="O1423" t="s">
        <v>3403</v>
      </c>
      <c r="P1423">
        <v>41270430</v>
      </c>
    </row>
    <row r="1424" spans="1:16">
      <c r="A1424" t="s">
        <v>71</v>
      </c>
      <c r="B1424">
        <v>1</v>
      </c>
      <c r="E1424" t="s">
        <v>3395</v>
      </c>
      <c r="F1424" t="s">
        <v>3396</v>
      </c>
      <c r="G1424" t="s">
        <v>3397</v>
      </c>
      <c r="I1424" t="s">
        <v>3338</v>
      </c>
      <c r="L1424" t="s">
        <v>3342</v>
      </c>
      <c r="N1424" t="s">
        <v>3404</v>
      </c>
      <c r="O1424" t="s">
        <v>3405</v>
      </c>
      <c r="P1424">
        <v>41270430</v>
      </c>
    </row>
    <row r="1425" spans="1:16">
      <c r="A1425" t="s">
        <v>71</v>
      </c>
      <c r="B1425">
        <v>0</v>
      </c>
      <c r="G1425" t="s">
        <v>3338</v>
      </c>
      <c r="I1425" t="s">
        <v>3338</v>
      </c>
      <c r="N1425" t="s">
        <v>3406</v>
      </c>
      <c r="O1425" t="s">
        <v>3407</v>
      </c>
      <c r="P1425">
        <v>41270430</v>
      </c>
    </row>
    <row r="1426" spans="1:16">
      <c r="A1426" t="s">
        <v>71</v>
      </c>
      <c r="B1426">
        <v>1</v>
      </c>
      <c r="E1426" t="s">
        <v>3406</v>
      </c>
      <c r="F1426" t="s">
        <v>3407</v>
      </c>
      <c r="G1426" t="s">
        <v>3408</v>
      </c>
      <c r="I1426" t="s">
        <v>3338</v>
      </c>
      <c r="J1426" t="s">
        <v>2421</v>
      </c>
      <c r="K1426" t="s">
        <v>3354</v>
      </c>
      <c r="L1426" t="s">
        <v>3369</v>
      </c>
      <c r="N1426" t="s">
        <v>3409</v>
      </c>
      <c r="O1426" t="s">
        <v>3410</v>
      </c>
      <c r="P1426">
        <v>41270430</v>
      </c>
    </row>
    <row r="1427" spans="1:16">
      <c r="A1427" t="s">
        <v>71</v>
      </c>
      <c r="B1427">
        <v>1</v>
      </c>
      <c r="E1427" t="s">
        <v>3406</v>
      </c>
      <c r="F1427" t="s">
        <v>3407</v>
      </c>
      <c r="G1427" t="s">
        <v>3408</v>
      </c>
      <c r="I1427" t="s">
        <v>3338</v>
      </c>
      <c r="L1427" t="s">
        <v>193</v>
      </c>
      <c r="N1427" t="s">
        <v>3411</v>
      </c>
      <c r="O1427" t="s">
        <v>3412</v>
      </c>
      <c r="P1427">
        <v>41270430</v>
      </c>
    </row>
    <row r="1428" spans="1:16">
      <c r="A1428" t="s">
        <v>71</v>
      </c>
      <c r="B1428">
        <v>2</v>
      </c>
      <c r="E1428" t="s">
        <v>3411</v>
      </c>
      <c r="F1428" t="s">
        <v>3412</v>
      </c>
      <c r="G1428" t="s">
        <v>3413</v>
      </c>
      <c r="I1428" t="s">
        <v>3338</v>
      </c>
      <c r="L1428" t="s">
        <v>3342</v>
      </c>
      <c r="N1428" t="s">
        <v>3414</v>
      </c>
      <c r="O1428" t="s">
        <v>3415</v>
      </c>
      <c r="P1428">
        <v>41270430</v>
      </c>
    </row>
    <row r="1429" spans="1:16">
      <c r="A1429" t="s">
        <v>71</v>
      </c>
      <c r="B1429">
        <v>2</v>
      </c>
      <c r="E1429" t="s">
        <v>3411</v>
      </c>
      <c r="F1429" t="s">
        <v>3412</v>
      </c>
      <c r="G1429" t="s">
        <v>3413</v>
      </c>
      <c r="I1429" t="s">
        <v>3338</v>
      </c>
      <c r="J1429" t="s">
        <v>2232</v>
      </c>
      <c r="K1429" t="s">
        <v>2233</v>
      </c>
      <c r="L1429" t="s">
        <v>3342</v>
      </c>
      <c r="N1429" t="s">
        <v>3416</v>
      </c>
      <c r="O1429" t="s">
        <v>3417</v>
      </c>
      <c r="P1429">
        <v>41270430</v>
      </c>
    </row>
    <row r="1430" spans="1:16">
      <c r="A1430" t="s">
        <v>71</v>
      </c>
      <c r="B1430">
        <v>2</v>
      </c>
      <c r="E1430" t="s">
        <v>3411</v>
      </c>
      <c r="F1430" t="s">
        <v>3412</v>
      </c>
      <c r="G1430" t="s">
        <v>3413</v>
      </c>
      <c r="I1430" t="s">
        <v>3338</v>
      </c>
      <c r="J1430" t="s">
        <v>2232</v>
      </c>
      <c r="K1430" t="s">
        <v>2233</v>
      </c>
      <c r="L1430" t="s">
        <v>3342</v>
      </c>
      <c r="N1430" t="s">
        <v>3418</v>
      </c>
      <c r="O1430" t="s">
        <v>3419</v>
      </c>
      <c r="P1430">
        <v>41270430</v>
      </c>
    </row>
    <row r="1431" spans="1:16">
      <c r="A1431" t="s">
        <v>71</v>
      </c>
      <c r="B1431">
        <v>2</v>
      </c>
      <c r="E1431" t="s">
        <v>3411</v>
      </c>
      <c r="F1431" t="s">
        <v>3412</v>
      </c>
      <c r="G1431" t="s">
        <v>3413</v>
      </c>
      <c r="I1431" t="s">
        <v>3338</v>
      </c>
      <c r="L1431" t="s">
        <v>3342</v>
      </c>
      <c r="N1431" t="s">
        <v>3420</v>
      </c>
      <c r="O1431" t="s">
        <v>3421</v>
      </c>
      <c r="P1431">
        <v>41270430</v>
      </c>
    </row>
    <row r="1432" spans="1:16">
      <c r="A1432" t="s">
        <v>71</v>
      </c>
      <c r="B1432">
        <v>2</v>
      </c>
      <c r="E1432" t="s">
        <v>3411</v>
      </c>
      <c r="F1432" t="s">
        <v>3412</v>
      </c>
      <c r="G1432" t="s">
        <v>3413</v>
      </c>
      <c r="I1432" t="s">
        <v>3338</v>
      </c>
      <c r="J1432" t="s">
        <v>2232</v>
      </c>
      <c r="K1432" t="s">
        <v>2233</v>
      </c>
      <c r="L1432" t="s">
        <v>3342</v>
      </c>
      <c r="N1432" t="s">
        <v>3422</v>
      </c>
      <c r="O1432" t="s">
        <v>3423</v>
      </c>
      <c r="P1432">
        <v>41270430</v>
      </c>
    </row>
    <row r="1433" spans="1:16">
      <c r="A1433" t="s">
        <v>71</v>
      </c>
      <c r="B1433">
        <v>0</v>
      </c>
      <c r="G1433" t="s">
        <v>3338</v>
      </c>
      <c r="I1433" t="s">
        <v>3338</v>
      </c>
      <c r="N1433" t="s">
        <v>3424</v>
      </c>
      <c r="O1433" t="s">
        <v>3425</v>
      </c>
      <c r="P1433">
        <v>41270430</v>
      </c>
    </row>
    <row r="1434" spans="1:16">
      <c r="A1434" t="s">
        <v>71</v>
      </c>
      <c r="B1434">
        <v>1</v>
      </c>
      <c r="E1434" t="s">
        <v>3424</v>
      </c>
      <c r="F1434" t="s">
        <v>3425</v>
      </c>
      <c r="G1434" t="s">
        <v>3426</v>
      </c>
      <c r="I1434" t="s">
        <v>3338</v>
      </c>
      <c r="J1434" t="s">
        <v>2421</v>
      </c>
      <c r="K1434" t="s">
        <v>3354</v>
      </c>
      <c r="L1434" t="s">
        <v>3369</v>
      </c>
      <c r="N1434" t="s">
        <v>3427</v>
      </c>
      <c r="O1434" t="s">
        <v>3428</v>
      </c>
      <c r="P1434">
        <v>41270430</v>
      </c>
    </row>
    <row r="1435" spans="1:16">
      <c r="A1435" t="s">
        <v>71</v>
      </c>
      <c r="B1435">
        <v>1</v>
      </c>
      <c r="E1435" t="s">
        <v>3424</v>
      </c>
      <c r="F1435" t="s">
        <v>3425</v>
      </c>
      <c r="G1435" t="s">
        <v>3426</v>
      </c>
      <c r="I1435" t="s">
        <v>3338</v>
      </c>
      <c r="J1435" t="s">
        <v>2421</v>
      </c>
      <c r="K1435" t="s">
        <v>3354</v>
      </c>
      <c r="L1435" t="s">
        <v>3369</v>
      </c>
      <c r="N1435" t="s">
        <v>3429</v>
      </c>
      <c r="O1435" t="s">
        <v>3430</v>
      </c>
      <c r="P1435">
        <v>41270430</v>
      </c>
    </row>
    <row r="1436" spans="1:16">
      <c r="A1436" t="s">
        <v>71</v>
      </c>
      <c r="B1436">
        <v>1</v>
      </c>
      <c r="E1436" t="s">
        <v>3424</v>
      </c>
      <c r="F1436" t="s">
        <v>3425</v>
      </c>
      <c r="G1436" t="s">
        <v>3426</v>
      </c>
      <c r="I1436" t="s">
        <v>3338</v>
      </c>
      <c r="J1436" t="s">
        <v>2232</v>
      </c>
      <c r="K1436" t="s">
        <v>2233</v>
      </c>
      <c r="L1436" t="s">
        <v>3342</v>
      </c>
      <c r="N1436" t="s">
        <v>3431</v>
      </c>
      <c r="O1436" t="s">
        <v>3432</v>
      </c>
      <c r="P1436">
        <v>41270430</v>
      </c>
    </row>
    <row r="1437" spans="1:16">
      <c r="A1437" t="s">
        <v>71</v>
      </c>
      <c r="B1437">
        <v>0</v>
      </c>
      <c r="G1437" t="s">
        <v>3338</v>
      </c>
      <c r="I1437" t="s">
        <v>3338</v>
      </c>
      <c r="N1437" t="s">
        <v>3433</v>
      </c>
      <c r="O1437" t="s">
        <v>3434</v>
      </c>
      <c r="P1437">
        <v>41270430</v>
      </c>
    </row>
    <row r="1438" spans="1:16">
      <c r="A1438" t="s">
        <v>71</v>
      </c>
      <c r="B1438">
        <v>1</v>
      </c>
      <c r="E1438" t="s">
        <v>3433</v>
      </c>
      <c r="F1438" t="s">
        <v>3434</v>
      </c>
      <c r="G1438" t="s">
        <v>3435</v>
      </c>
      <c r="I1438" t="s">
        <v>3338</v>
      </c>
      <c r="J1438" t="s">
        <v>2232</v>
      </c>
      <c r="K1438" t="s">
        <v>2233</v>
      </c>
      <c r="L1438" t="s">
        <v>3342</v>
      </c>
      <c r="N1438" t="s">
        <v>3436</v>
      </c>
      <c r="O1438" t="s">
        <v>3437</v>
      </c>
      <c r="P1438">
        <v>41270430</v>
      </c>
    </row>
    <row r="1439" spans="1:16">
      <c r="A1439" t="s">
        <v>71</v>
      </c>
      <c r="B1439">
        <v>1</v>
      </c>
      <c r="E1439" t="s">
        <v>3433</v>
      </c>
      <c r="F1439" t="s">
        <v>3434</v>
      </c>
      <c r="G1439" t="s">
        <v>3435</v>
      </c>
      <c r="I1439" t="s">
        <v>3338</v>
      </c>
      <c r="J1439" t="s">
        <v>2232</v>
      </c>
      <c r="K1439" t="s">
        <v>2233</v>
      </c>
      <c r="L1439" t="s">
        <v>3342</v>
      </c>
      <c r="N1439" t="s">
        <v>3438</v>
      </c>
      <c r="O1439" t="s">
        <v>3439</v>
      </c>
      <c r="P1439">
        <v>41270430</v>
      </c>
    </row>
    <row r="1440" spans="1:16">
      <c r="A1440" t="s">
        <v>71</v>
      </c>
      <c r="B1440">
        <v>1</v>
      </c>
      <c r="E1440" t="s">
        <v>3433</v>
      </c>
      <c r="F1440" t="s">
        <v>3434</v>
      </c>
      <c r="G1440" t="s">
        <v>3435</v>
      </c>
      <c r="I1440" t="s">
        <v>3338</v>
      </c>
      <c r="J1440" t="s">
        <v>2232</v>
      </c>
      <c r="K1440" t="s">
        <v>2233</v>
      </c>
      <c r="L1440" t="s">
        <v>3342</v>
      </c>
      <c r="N1440" t="s">
        <v>3440</v>
      </c>
      <c r="O1440" t="s">
        <v>3441</v>
      </c>
      <c r="P1440">
        <v>41270430</v>
      </c>
    </row>
    <row r="1441" spans="1:16">
      <c r="A1441" t="s">
        <v>71</v>
      </c>
      <c r="B1441">
        <v>1</v>
      </c>
      <c r="E1441" t="s">
        <v>3433</v>
      </c>
      <c r="F1441" t="s">
        <v>3434</v>
      </c>
      <c r="G1441" t="s">
        <v>3435</v>
      </c>
      <c r="I1441" t="s">
        <v>3338</v>
      </c>
      <c r="J1441" t="s">
        <v>2232</v>
      </c>
      <c r="K1441" t="s">
        <v>2233</v>
      </c>
      <c r="L1441" t="s">
        <v>3342</v>
      </c>
      <c r="N1441" t="s">
        <v>3442</v>
      </c>
      <c r="O1441" t="s">
        <v>3443</v>
      </c>
      <c r="P1441">
        <v>41270430</v>
      </c>
    </row>
    <row r="1442" spans="1:16">
      <c r="A1442" t="s">
        <v>71</v>
      </c>
      <c r="B1442">
        <v>1</v>
      </c>
      <c r="E1442" t="s">
        <v>3433</v>
      </c>
      <c r="F1442" t="s">
        <v>3434</v>
      </c>
      <c r="G1442" t="s">
        <v>3435</v>
      </c>
      <c r="I1442" t="s">
        <v>3338</v>
      </c>
      <c r="J1442" t="s">
        <v>2232</v>
      </c>
      <c r="K1442" t="s">
        <v>2233</v>
      </c>
      <c r="L1442" t="s">
        <v>3342</v>
      </c>
      <c r="N1442" t="s">
        <v>3444</v>
      </c>
      <c r="O1442" t="s">
        <v>3445</v>
      </c>
      <c r="P1442">
        <v>41270430</v>
      </c>
    </row>
    <row r="1443" spans="1:16">
      <c r="A1443" t="s">
        <v>71</v>
      </c>
      <c r="B1443">
        <v>1</v>
      </c>
      <c r="E1443" t="s">
        <v>3433</v>
      </c>
      <c r="F1443" t="s">
        <v>3434</v>
      </c>
      <c r="G1443" t="s">
        <v>3435</v>
      </c>
      <c r="I1443" t="s">
        <v>3338</v>
      </c>
      <c r="J1443" t="s">
        <v>2232</v>
      </c>
      <c r="K1443" t="s">
        <v>2233</v>
      </c>
      <c r="L1443" t="s">
        <v>3342</v>
      </c>
      <c r="N1443" t="s">
        <v>3446</v>
      </c>
      <c r="O1443" t="s">
        <v>3447</v>
      </c>
      <c r="P1443">
        <v>41270430</v>
      </c>
    </row>
    <row r="1444" spans="1:16">
      <c r="A1444" t="s">
        <v>71</v>
      </c>
      <c r="B1444">
        <v>0</v>
      </c>
      <c r="G1444" t="s">
        <v>3338</v>
      </c>
      <c r="I1444" t="s">
        <v>3338</v>
      </c>
      <c r="N1444" t="s">
        <v>3448</v>
      </c>
      <c r="O1444" t="s">
        <v>3449</v>
      </c>
      <c r="P1444">
        <v>41270430</v>
      </c>
    </row>
    <row r="1445" spans="1:16">
      <c r="A1445" t="s">
        <v>71</v>
      </c>
      <c r="B1445">
        <v>1</v>
      </c>
      <c r="E1445" t="s">
        <v>3448</v>
      </c>
      <c r="F1445" t="s">
        <v>3449</v>
      </c>
      <c r="G1445" t="s">
        <v>3450</v>
      </c>
      <c r="I1445" t="s">
        <v>3338</v>
      </c>
      <c r="J1445" t="s">
        <v>2421</v>
      </c>
      <c r="K1445" t="s">
        <v>3354</v>
      </c>
      <c r="L1445" t="s">
        <v>3451</v>
      </c>
      <c r="N1445" t="s">
        <v>3452</v>
      </c>
      <c r="O1445" t="s">
        <v>3453</v>
      </c>
      <c r="P1445">
        <v>41270430</v>
      </c>
    </row>
    <row r="1446" spans="1:16">
      <c r="A1446" t="s">
        <v>71</v>
      </c>
      <c r="B1446">
        <v>0</v>
      </c>
      <c r="G1446" t="s">
        <v>3456</v>
      </c>
      <c r="I1446" t="s">
        <v>3456</v>
      </c>
      <c r="M1446" t="s">
        <v>3463</v>
      </c>
      <c r="N1446" t="s">
        <v>3485</v>
      </c>
      <c r="O1446" t="s">
        <v>3486</v>
      </c>
      <c r="P1446">
        <v>41270430</v>
      </c>
    </row>
    <row r="1447" spans="1:16">
      <c r="A1447" t="s">
        <v>73</v>
      </c>
      <c r="B1447">
        <v>0</v>
      </c>
      <c r="G1447" t="s">
        <v>3338</v>
      </c>
      <c r="I1447" t="s">
        <v>3338</v>
      </c>
      <c r="N1447" t="s">
        <v>3339</v>
      </c>
      <c r="O1447" t="s">
        <v>3340</v>
      </c>
      <c r="P1447">
        <v>41259286</v>
      </c>
    </row>
    <row r="1448" spans="1:16">
      <c r="A1448" t="s">
        <v>73</v>
      </c>
      <c r="B1448">
        <v>1</v>
      </c>
      <c r="E1448" t="s">
        <v>3339</v>
      </c>
      <c r="F1448" t="s">
        <v>3340</v>
      </c>
      <c r="G1448" t="s">
        <v>3341</v>
      </c>
      <c r="I1448" t="s">
        <v>3338</v>
      </c>
      <c r="J1448" t="s">
        <v>2232</v>
      </c>
      <c r="K1448" t="s">
        <v>2233</v>
      </c>
      <c r="L1448" t="s">
        <v>3342</v>
      </c>
      <c r="N1448" t="s">
        <v>3343</v>
      </c>
      <c r="O1448" t="s">
        <v>3344</v>
      </c>
      <c r="P1448">
        <v>41259286</v>
      </c>
    </row>
    <row r="1449" spans="1:16">
      <c r="A1449" t="s">
        <v>73</v>
      </c>
      <c r="B1449">
        <v>1</v>
      </c>
      <c r="E1449" t="s">
        <v>3339</v>
      </c>
      <c r="F1449" t="s">
        <v>3340</v>
      </c>
      <c r="G1449" t="s">
        <v>3341</v>
      </c>
      <c r="I1449" t="s">
        <v>3338</v>
      </c>
      <c r="J1449" t="s">
        <v>2232</v>
      </c>
      <c r="K1449" t="s">
        <v>2233</v>
      </c>
      <c r="L1449" t="s">
        <v>3342</v>
      </c>
      <c r="N1449" t="s">
        <v>3345</v>
      </c>
      <c r="O1449" t="s">
        <v>3346</v>
      </c>
      <c r="P1449">
        <v>41259286</v>
      </c>
    </row>
    <row r="1450" spans="1:16">
      <c r="A1450" t="s">
        <v>73</v>
      </c>
      <c r="B1450">
        <v>0</v>
      </c>
      <c r="G1450" t="s">
        <v>3338</v>
      </c>
      <c r="I1450" t="s">
        <v>3338</v>
      </c>
      <c r="N1450" t="s">
        <v>3347</v>
      </c>
      <c r="O1450" t="s">
        <v>3344</v>
      </c>
      <c r="P1450">
        <v>41259286</v>
      </c>
    </row>
    <row r="1451" spans="1:16">
      <c r="A1451" t="s">
        <v>73</v>
      </c>
      <c r="B1451">
        <v>1</v>
      </c>
      <c r="E1451" t="s">
        <v>3347</v>
      </c>
      <c r="F1451" t="s">
        <v>3344</v>
      </c>
      <c r="G1451" t="s">
        <v>3348</v>
      </c>
      <c r="I1451" t="s">
        <v>3338</v>
      </c>
      <c r="J1451" t="s">
        <v>2232</v>
      </c>
      <c r="K1451" t="s">
        <v>2233</v>
      </c>
      <c r="L1451" t="s">
        <v>3342</v>
      </c>
      <c r="N1451" t="s">
        <v>3349</v>
      </c>
      <c r="O1451" t="s">
        <v>3350</v>
      </c>
      <c r="P1451">
        <v>41259286</v>
      </c>
    </row>
    <row r="1452" spans="1:16">
      <c r="A1452" t="s">
        <v>73</v>
      </c>
      <c r="B1452">
        <v>1</v>
      </c>
      <c r="E1452" t="s">
        <v>3347</v>
      </c>
      <c r="F1452" t="s">
        <v>3344</v>
      </c>
      <c r="G1452" t="s">
        <v>3348</v>
      </c>
      <c r="I1452" t="s">
        <v>3338</v>
      </c>
      <c r="L1452" t="s">
        <v>193</v>
      </c>
      <c r="N1452" t="s">
        <v>3351</v>
      </c>
      <c r="O1452" t="s">
        <v>3352</v>
      </c>
      <c r="P1452">
        <v>41259286</v>
      </c>
    </row>
    <row r="1453" spans="1:16">
      <c r="A1453" t="s">
        <v>73</v>
      </c>
      <c r="B1453">
        <v>2</v>
      </c>
      <c r="E1453" t="s">
        <v>3351</v>
      </c>
      <c r="F1453" t="s">
        <v>3352</v>
      </c>
      <c r="G1453" t="s">
        <v>3353</v>
      </c>
      <c r="I1453" t="s">
        <v>3338</v>
      </c>
      <c r="J1453" t="s">
        <v>2421</v>
      </c>
      <c r="K1453" t="s">
        <v>3354</v>
      </c>
      <c r="L1453" t="s">
        <v>3355</v>
      </c>
      <c r="N1453" t="s">
        <v>3356</v>
      </c>
      <c r="O1453" t="s">
        <v>3357</v>
      </c>
      <c r="P1453">
        <v>41259286</v>
      </c>
    </row>
    <row r="1454" spans="1:16">
      <c r="A1454" t="s">
        <v>73</v>
      </c>
      <c r="B1454">
        <v>2</v>
      </c>
      <c r="E1454" t="s">
        <v>3351</v>
      </c>
      <c r="F1454" t="s">
        <v>3352</v>
      </c>
      <c r="G1454" t="s">
        <v>3353</v>
      </c>
      <c r="I1454" t="s">
        <v>3338</v>
      </c>
      <c r="J1454" t="s">
        <v>2421</v>
      </c>
      <c r="K1454" t="s">
        <v>3354</v>
      </c>
      <c r="L1454" t="s">
        <v>3355</v>
      </c>
      <c r="N1454" t="s">
        <v>3358</v>
      </c>
      <c r="O1454" t="s">
        <v>3359</v>
      </c>
      <c r="P1454">
        <v>41259286</v>
      </c>
    </row>
    <row r="1455" spans="1:16">
      <c r="A1455" t="s">
        <v>73</v>
      </c>
      <c r="B1455">
        <v>2</v>
      </c>
      <c r="E1455" t="s">
        <v>3351</v>
      </c>
      <c r="F1455" t="s">
        <v>3352</v>
      </c>
      <c r="G1455" t="s">
        <v>3353</v>
      </c>
      <c r="I1455" t="s">
        <v>3338</v>
      </c>
      <c r="J1455" t="s">
        <v>2421</v>
      </c>
      <c r="K1455" t="s">
        <v>3354</v>
      </c>
      <c r="L1455" t="s">
        <v>3355</v>
      </c>
      <c r="N1455" t="s">
        <v>3360</v>
      </c>
      <c r="O1455" t="s">
        <v>3361</v>
      </c>
      <c r="P1455">
        <v>41259286</v>
      </c>
    </row>
    <row r="1456" spans="1:16">
      <c r="A1456" t="s">
        <v>73</v>
      </c>
      <c r="B1456">
        <v>1</v>
      </c>
      <c r="E1456" t="s">
        <v>3347</v>
      </c>
      <c r="F1456" t="s">
        <v>3344</v>
      </c>
      <c r="G1456" t="s">
        <v>3348</v>
      </c>
      <c r="I1456" t="s">
        <v>3338</v>
      </c>
      <c r="J1456" t="s">
        <v>2236</v>
      </c>
      <c r="K1456" t="s">
        <v>3362</v>
      </c>
      <c r="L1456" t="s">
        <v>3363</v>
      </c>
      <c r="N1456" t="s">
        <v>3364</v>
      </c>
      <c r="O1456" t="s">
        <v>3365</v>
      </c>
      <c r="P1456">
        <v>41259286</v>
      </c>
    </row>
    <row r="1457" spans="1:16">
      <c r="A1457" t="s">
        <v>73</v>
      </c>
      <c r="B1457">
        <v>1</v>
      </c>
      <c r="E1457" t="s">
        <v>3347</v>
      </c>
      <c r="F1457" t="s">
        <v>3344</v>
      </c>
      <c r="G1457" t="s">
        <v>3348</v>
      </c>
      <c r="I1457" t="s">
        <v>3338</v>
      </c>
      <c r="L1457" t="s">
        <v>193</v>
      </c>
      <c r="N1457" t="s">
        <v>3366</v>
      </c>
      <c r="O1457" t="s">
        <v>3367</v>
      </c>
      <c r="P1457">
        <v>41259286</v>
      </c>
    </row>
    <row r="1458" spans="1:16">
      <c r="A1458" t="s">
        <v>73</v>
      </c>
      <c r="B1458">
        <v>2</v>
      </c>
      <c r="E1458" t="s">
        <v>3366</v>
      </c>
      <c r="F1458" t="s">
        <v>3367</v>
      </c>
      <c r="G1458" t="s">
        <v>3368</v>
      </c>
      <c r="I1458" t="s">
        <v>3338</v>
      </c>
      <c r="J1458" t="s">
        <v>2421</v>
      </c>
      <c r="K1458" t="s">
        <v>3354</v>
      </c>
      <c r="L1458" t="s">
        <v>3369</v>
      </c>
      <c r="N1458" t="s">
        <v>3370</v>
      </c>
      <c r="O1458" t="s">
        <v>3359</v>
      </c>
      <c r="P1458">
        <v>41259286</v>
      </c>
    </row>
    <row r="1459" spans="1:16">
      <c r="A1459" t="s">
        <v>73</v>
      </c>
      <c r="B1459">
        <v>2</v>
      </c>
      <c r="E1459" t="s">
        <v>3366</v>
      </c>
      <c r="F1459" t="s">
        <v>3367</v>
      </c>
      <c r="G1459" t="s">
        <v>3368</v>
      </c>
      <c r="I1459" t="s">
        <v>3338</v>
      </c>
      <c r="J1459" t="s">
        <v>2421</v>
      </c>
      <c r="K1459" t="s">
        <v>3354</v>
      </c>
      <c r="L1459" t="s">
        <v>3369</v>
      </c>
      <c r="N1459" t="s">
        <v>3371</v>
      </c>
      <c r="O1459" t="s">
        <v>3372</v>
      </c>
      <c r="P1459">
        <v>41259286</v>
      </c>
    </row>
    <row r="1460" spans="1:16">
      <c r="A1460" t="s">
        <v>73</v>
      </c>
      <c r="B1460">
        <v>2</v>
      </c>
      <c r="E1460" t="s">
        <v>3366</v>
      </c>
      <c r="F1460" t="s">
        <v>3367</v>
      </c>
      <c r="G1460" t="s">
        <v>3368</v>
      </c>
      <c r="I1460" t="s">
        <v>3338</v>
      </c>
      <c r="J1460" t="s">
        <v>2421</v>
      </c>
      <c r="K1460" t="s">
        <v>3354</v>
      </c>
      <c r="L1460" t="s">
        <v>3369</v>
      </c>
      <c r="N1460" t="s">
        <v>3373</v>
      </c>
      <c r="O1460" t="s">
        <v>3374</v>
      </c>
      <c r="P1460">
        <v>41259286</v>
      </c>
    </row>
    <row r="1461" spans="1:16">
      <c r="A1461" t="s">
        <v>73</v>
      </c>
      <c r="B1461">
        <v>2</v>
      </c>
      <c r="E1461" t="s">
        <v>3366</v>
      </c>
      <c r="F1461" t="s">
        <v>3367</v>
      </c>
      <c r="G1461" t="s">
        <v>3368</v>
      </c>
      <c r="I1461" t="s">
        <v>3338</v>
      </c>
      <c r="J1461" t="s">
        <v>2236</v>
      </c>
      <c r="K1461" t="s">
        <v>3362</v>
      </c>
      <c r="L1461" t="s">
        <v>3363</v>
      </c>
      <c r="N1461" t="s">
        <v>3375</v>
      </c>
      <c r="O1461" t="s">
        <v>3376</v>
      </c>
      <c r="P1461">
        <v>41259286</v>
      </c>
    </row>
    <row r="1462" spans="1:16">
      <c r="A1462" t="s">
        <v>73</v>
      </c>
      <c r="B1462">
        <v>1</v>
      </c>
      <c r="E1462" t="s">
        <v>3347</v>
      </c>
      <c r="F1462" t="s">
        <v>3344</v>
      </c>
      <c r="G1462" t="s">
        <v>3348</v>
      </c>
      <c r="I1462" t="s">
        <v>3338</v>
      </c>
      <c r="J1462" t="s">
        <v>2232</v>
      </c>
      <c r="K1462" t="s">
        <v>2233</v>
      </c>
      <c r="L1462" t="s">
        <v>3342</v>
      </c>
      <c r="N1462" t="s">
        <v>3454</v>
      </c>
      <c r="O1462" t="s">
        <v>3455</v>
      </c>
      <c r="P1462">
        <v>41259286</v>
      </c>
    </row>
    <row r="1463" spans="1:16">
      <c r="A1463" t="s">
        <v>73</v>
      </c>
      <c r="B1463">
        <v>0</v>
      </c>
      <c r="G1463" t="s">
        <v>3338</v>
      </c>
      <c r="I1463" t="s">
        <v>3338</v>
      </c>
      <c r="N1463" t="s">
        <v>3377</v>
      </c>
      <c r="O1463" t="s">
        <v>3346</v>
      </c>
      <c r="P1463">
        <v>41259286</v>
      </c>
    </row>
    <row r="1464" spans="1:16">
      <c r="A1464" t="s">
        <v>73</v>
      </c>
      <c r="B1464">
        <v>1</v>
      </c>
      <c r="E1464" t="s">
        <v>3377</v>
      </c>
      <c r="F1464" t="s">
        <v>3346</v>
      </c>
      <c r="G1464" t="s">
        <v>3378</v>
      </c>
      <c r="I1464" t="s">
        <v>3338</v>
      </c>
      <c r="L1464" t="s">
        <v>193</v>
      </c>
      <c r="N1464" t="s">
        <v>3379</v>
      </c>
      <c r="O1464" t="s">
        <v>3380</v>
      </c>
      <c r="P1464">
        <v>41259286</v>
      </c>
    </row>
    <row r="1465" spans="1:16">
      <c r="A1465" t="s">
        <v>73</v>
      </c>
      <c r="B1465">
        <v>2</v>
      </c>
      <c r="E1465" t="s">
        <v>3379</v>
      </c>
      <c r="F1465" t="s">
        <v>3380</v>
      </c>
      <c r="G1465" t="s">
        <v>3381</v>
      </c>
      <c r="I1465" t="s">
        <v>3338</v>
      </c>
      <c r="J1465" t="s">
        <v>2421</v>
      </c>
      <c r="K1465" t="s">
        <v>3354</v>
      </c>
      <c r="L1465" t="s">
        <v>3369</v>
      </c>
      <c r="N1465" t="s">
        <v>3382</v>
      </c>
      <c r="O1465" t="s">
        <v>3352</v>
      </c>
      <c r="P1465">
        <v>41259286</v>
      </c>
    </row>
    <row r="1466" spans="1:16">
      <c r="A1466" t="s">
        <v>73</v>
      </c>
      <c r="B1466">
        <v>2</v>
      </c>
      <c r="E1466" t="s">
        <v>3379</v>
      </c>
      <c r="F1466" t="s">
        <v>3380</v>
      </c>
      <c r="G1466" t="s">
        <v>3381</v>
      </c>
      <c r="I1466" t="s">
        <v>3338</v>
      </c>
      <c r="J1466" t="s">
        <v>2236</v>
      </c>
      <c r="K1466" t="s">
        <v>3362</v>
      </c>
      <c r="L1466" t="s">
        <v>3383</v>
      </c>
      <c r="N1466" t="s">
        <v>3384</v>
      </c>
      <c r="O1466" t="s">
        <v>3385</v>
      </c>
      <c r="P1466">
        <v>41259286</v>
      </c>
    </row>
    <row r="1467" spans="1:16">
      <c r="A1467" t="s">
        <v>73</v>
      </c>
      <c r="B1467">
        <v>2</v>
      </c>
      <c r="E1467" t="s">
        <v>3379</v>
      </c>
      <c r="F1467" t="s">
        <v>3380</v>
      </c>
      <c r="G1467" t="s">
        <v>3381</v>
      </c>
      <c r="I1467" t="s">
        <v>3338</v>
      </c>
      <c r="J1467" t="s">
        <v>2232</v>
      </c>
      <c r="K1467" t="s">
        <v>2233</v>
      </c>
      <c r="L1467" t="s">
        <v>3342</v>
      </c>
      <c r="N1467" t="s">
        <v>3386</v>
      </c>
      <c r="O1467" t="s">
        <v>3350</v>
      </c>
      <c r="P1467">
        <v>41259286</v>
      </c>
    </row>
    <row r="1468" spans="1:16">
      <c r="A1468" t="s">
        <v>73</v>
      </c>
      <c r="B1468">
        <v>1</v>
      </c>
      <c r="E1468" t="s">
        <v>3377</v>
      </c>
      <c r="F1468" t="s">
        <v>3346</v>
      </c>
      <c r="G1468" t="s">
        <v>3378</v>
      </c>
      <c r="I1468" t="s">
        <v>3338</v>
      </c>
      <c r="L1468" t="s">
        <v>193</v>
      </c>
      <c r="N1468" t="s">
        <v>3387</v>
      </c>
      <c r="O1468" t="s">
        <v>3388</v>
      </c>
      <c r="P1468">
        <v>41259286</v>
      </c>
    </row>
    <row r="1469" spans="1:16">
      <c r="A1469" t="s">
        <v>73</v>
      </c>
      <c r="B1469">
        <v>2</v>
      </c>
      <c r="E1469" t="s">
        <v>3387</v>
      </c>
      <c r="F1469" t="s">
        <v>3388</v>
      </c>
      <c r="G1469" t="s">
        <v>3389</v>
      </c>
      <c r="I1469" t="s">
        <v>3338</v>
      </c>
      <c r="L1469" t="s">
        <v>3369</v>
      </c>
      <c r="N1469" t="s">
        <v>3390</v>
      </c>
      <c r="O1469" t="s">
        <v>3352</v>
      </c>
      <c r="P1469">
        <v>41259286</v>
      </c>
    </row>
    <row r="1470" spans="1:16">
      <c r="A1470" t="s">
        <v>73</v>
      </c>
      <c r="B1470">
        <v>2</v>
      </c>
      <c r="E1470" t="s">
        <v>3387</v>
      </c>
      <c r="F1470" t="s">
        <v>3388</v>
      </c>
      <c r="G1470" t="s">
        <v>3389</v>
      </c>
      <c r="I1470" t="s">
        <v>3338</v>
      </c>
      <c r="L1470" t="s">
        <v>3342</v>
      </c>
      <c r="N1470" t="s">
        <v>3391</v>
      </c>
      <c r="O1470" t="s">
        <v>3392</v>
      </c>
      <c r="P1470">
        <v>41259286</v>
      </c>
    </row>
    <row r="1471" spans="1:16">
      <c r="A1471" t="s">
        <v>73</v>
      </c>
      <c r="B1471">
        <v>2</v>
      </c>
      <c r="E1471" t="s">
        <v>3387</v>
      </c>
      <c r="F1471" t="s">
        <v>3388</v>
      </c>
      <c r="G1471" t="s">
        <v>3389</v>
      </c>
      <c r="I1471" t="s">
        <v>3338</v>
      </c>
      <c r="L1471" t="s">
        <v>3383</v>
      </c>
      <c r="N1471" t="s">
        <v>3393</v>
      </c>
      <c r="O1471" t="s">
        <v>3385</v>
      </c>
      <c r="P1471">
        <v>41259286</v>
      </c>
    </row>
    <row r="1472" spans="1:16">
      <c r="A1472" t="s">
        <v>73</v>
      </c>
      <c r="B1472">
        <v>2</v>
      </c>
      <c r="E1472" t="s">
        <v>3387</v>
      </c>
      <c r="F1472" t="s">
        <v>3388</v>
      </c>
      <c r="G1472" t="s">
        <v>3389</v>
      </c>
      <c r="I1472" t="s">
        <v>3338</v>
      </c>
      <c r="L1472" t="s">
        <v>3342</v>
      </c>
      <c r="N1472" t="s">
        <v>3394</v>
      </c>
      <c r="O1472" t="s">
        <v>3350</v>
      </c>
      <c r="P1472">
        <v>41259286</v>
      </c>
    </row>
    <row r="1473" spans="1:16">
      <c r="A1473" t="s">
        <v>73</v>
      </c>
      <c r="B1473">
        <v>0</v>
      </c>
      <c r="G1473" t="s">
        <v>3338</v>
      </c>
      <c r="I1473" t="s">
        <v>3338</v>
      </c>
      <c r="N1473" t="s">
        <v>3395</v>
      </c>
      <c r="O1473" t="s">
        <v>3396</v>
      </c>
      <c r="P1473">
        <v>41259286</v>
      </c>
    </row>
    <row r="1474" spans="1:16">
      <c r="A1474" t="s">
        <v>73</v>
      </c>
      <c r="B1474">
        <v>1</v>
      </c>
      <c r="E1474" t="s">
        <v>3395</v>
      </c>
      <c r="F1474" t="s">
        <v>3396</v>
      </c>
      <c r="G1474" t="s">
        <v>3397</v>
      </c>
      <c r="I1474" t="s">
        <v>3338</v>
      </c>
      <c r="L1474" t="s">
        <v>3342</v>
      </c>
      <c r="N1474" t="s">
        <v>3398</v>
      </c>
      <c r="O1474" t="s">
        <v>3399</v>
      </c>
      <c r="P1474">
        <v>41259286</v>
      </c>
    </row>
    <row r="1475" spans="1:16">
      <c r="A1475" t="s">
        <v>73</v>
      </c>
      <c r="B1475">
        <v>1</v>
      </c>
      <c r="E1475" t="s">
        <v>3395</v>
      </c>
      <c r="F1475" t="s">
        <v>3396</v>
      </c>
      <c r="G1475" t="s">
        <v>3397</v>
      </c>
      <c r="I1475" t="s">
        <v>3338</v>
      </c>
      <c r="J1475" t="s">
        <v>2232</v>
      </c>
      <c r="K1475" t="s">
        <v>2233</v>
      </c>
      <c r="L1475" t="s">
        <v>3342</v>
      </c>
      <c r="N1475" t="s">
        <v>3400</v>
      </c>
      <c r="O1475" t="s">
        <v>3401</v>
      </c>
      <c r="P1475">
        <v>41259286</v>
      </c>
    </row>
    <row r="1476" spans="1:16">
      <c r="A1476" t="s">
        <v>73</v>
      </c>
      <c r="B1476">
        <v>1</v>
      </c>
      <c r="E1476" t="s">
        <v>3395</v>
      </c>
      <c r="F1476" t="s">
        <v>3396</v>
      </c>
      <c r="G1476" t="s">
        <v>3397</v>
      </c>
      <c r="I1476" t="s">
        <v>3338</v>
      </c>
      <c r="J1476" t="s">
        <v>2232</v>
      </c>
      <c r="K1476" t="s">
        <v>2233</v>
      </c>
      <c r="L1476" t="s">
        <v>3342</v>
      </c>
      <c r="N1476" t="s">
        <v>3402</v>
      </c>
      <c r="O1476" t="s">
        <v>3403</v>
      </c>
      <c r="P1476">
        <v>41259286</v>
      </c>
    </row>
    <row r="1477" spans="1:16">
      <c r="A1477" t="s">
        <v>73</v>
      </c>
      <c r="B1477">
        <v>1</v>
      </c>
      <c r="E1477" t="s">
        <v>3395</v>
      </c>
      <c r="F1477" t="s">
        <v>3396</v>
      </c>
      <c r="G1477" t="s">
        <v>3397</v>
      </c>
      <c r="I1477" t="s">
        <v>3338</v>
      </c>
      <c r="J1477" t="s">
        <v>2232</v>
      </c>
      <c r="K1477" t="s">
        <v>2233</v>
      </c>
      <c r="L1477" t="s">
        <v>3342</v>
      </c>
      <c r="N1477" t="s">
        <v>3404</v>
      </c>
      <c r="O1477" t="s">
        <v>3405</v>
      </c>
      <c r="P1477">
        <v>41259286</v>
      </c>
    </row>
    <row r="1478" spans="1:16">
      <c r="A1478" t="s">
        <v>73</v>
      </c>
      <c r="B1478">
        <v>0</v>
      </c>
      <c r="G1478" t="s">
        <v>3338</v>
      </c>
      <c r="I1478" t="s">
        <v>3338</v>
      </c>
      <c r="N1478" t="s">
        <v>3406</v>
      </c>
      <c r="O1478" t="s">
        <v>3407</v>
      </c>
      <c r="P1478">
        <v>41259286</v>
      </c>
    </row>
    <row r="1479" spans="1:16">
      <c r="A1479" t="s">
        <v>73</v>
      </c>
      <c r="B1479">
        <v>1</v>
      </c>
      <c r="E1479" t="s">
        <v>3406</v>
      </c>
      <c r="F1479" t="s">
        <v>3407</v>
      </c>
      <c r="G1479" t="s">
        <v>3408</v>
      </c>
      <c r="I1479" t="s">
        <v>3338</v>
      </c>
      <c r="J1479" t="s">
        <v>2421</v>
      </c>
      <c r="K1479" t="s">
        <v>3354</v>
      </c>
      <c r="L1479" t="s">
        <v>3369</v>
      </c>
      <c r="N1479" t="s">
        <v>3409</v>
      </c>
      <c r="O1479" t="s">
        <v>3410</v>
      </c>
      <c r="P1479">
        <v>41259286</v>
      </c>
    </row>
    <row r="1480" spans="1:16">
      <c r="A1480" t="s">
        <v>73</v>
      </c>
      <c r="B1480">
        <v>1</v>
      </c>
      <c r="E1480" t="s">
        <v>3406</v>
      </c>
      <c r="F1480" t="s">
        <v>3407</v>
      </c>
      <c r="G1480" t="s">
        <v>3408</v>
      </c>
      <c r="I1480" t="s">
        <v>3338</v>
      </c>
      <c r="L1480" t="s">
        <v>193</v>
      </c>
      <c r="N1480" t="s">
        <v>3411</v>
      </c>
      <c r="O1480" t="s">
        <v>3412</v>
      </c>
      <c r="P1480">
        <v>41259286</v>
      </c>
    </row>
    <row r="1481" spans="1:16">
      <c r="A1481" t="s">
        <v>73</v>
      </c>
      <c r="B1481">
        <v>2</v>
      </c>
      <c r="E1481" t="s">
        <v>3411</v>
      </c>
      <c r="F1481" t="s">
        <v>3412</v>
      </c>
      <c r="G1481" t="s">
        <v>3413</v>
      </c>
      <c r="I1481" t="s">
        <v>3338</v>
      </c>
      <c r="J1481" t="s">
        <v>2232</v>
      </c>
      <c r="K1481" t="s">
        <v>2233</v>
      </c>
      <c r="L1481" t="s">
        <v>3342</v>
      </c>
      <c r="N1481" t="s">
        <v>3414</v>
      </c>
      <c r="O1481" t="s">
        <v>3415</v>
      </c>
      <c r="P1481">
        <v>41259286</v>
      </c>
    </row>
    <row r="1482" spans="1:16">
      <c r="A1482" t="s">
        <v>73</v>
      </c>
      <c r="B1482">
        <v>2</v>
      </c>
      <c r="E1482" t="s">
        <v>3411</v>
      </c>
      <c r="F1482" t="s">
        <v>3412</v>
      </c>
      <c r="G1482" t="s">
        <v>3413</v>
      </c>
      <c r="I1482" t="s">
        <v>3338</v>
      </c>
      <c r="J1482" t="s">
        <v>2232</v>
      </c>
      <c r="K1482" t="s">
        <v>2233</v>
      </c>
      <c r="L1482" t="s">
        <v>3342</v>
      </c>
      <c r="N1482" t="s">
        <v>3416</v>
      </c>
      <c r="O1482" t="s">
        <v>3417</v>
      </c>
      <c r="P1482">
        <v>41259286</v>
      </c>
    </row>
    <row r="1483" spans="1:16">
      <c r="A1483" t="s">
        <v>73</v>
      </c>
      <c r="B1483">
        <v>2</v>
      </c>
      <c r="E1483" t="s">
        <v>3411</v>
      </c>
      <c r="F1483" t="s">
        <v>3412</v>
      </c>
      <c r="G1483" t="s">
        <v>3413</v>
      </c>
      <c r="I1483" t="s">
        <v>3338</v>
      </c>
      <c r="J1483" t="s">
        <v>2232</v>
      </c>
      <c r="K1483" t="s">
        <v>2233</v>
      </c>
      <c r="L1483" t="s">
        <v>3342</v>
      </c>
      <c r="N1483" t="s">
        <v>3418</v>
      </c>
      <c r="O1483" t="s">
        <v>3419</v>
      </c>
      <c r="P1483">
        <v>41259286</v>
      </c>
    </row>
    <row r="1484" spans="1:16">
      <c r="A1484" t="s">
        <v>73</v>
      </c>
      <c r="B1484">
        <v>2</v>
      </c>
      <c r="E1484" t="s">
        <v>3411</v>
      </c>
      <c r="F1484" t="s">
        <v>3412</v>
      </c>
      <c r="G1484" t="s">
        <v>3413</v>
      </c>
      <c r="I1484" t="s">
        <v>3338</v>
      </c>
      <c r="J1484" t="s">
        <v>2232</v>
      </c>
      <c r="K1484" t="s">
        <v>2233</v>
      </c>
      <c r="L1484" t="s">
        <v>3342</v>
      </c>
      <c r="N1484" t="s">
        <v>3420</v>
      </c>
      <c r="O1484" t="s">
        <v>3421</v>
      </c>
      <c r="P1484">
        <v>41259286</v>
      </c>
    </row>
    <row r="1485" spans="1:16">
      <c r="A1485" t="s">
        <v>73</v>
      </c>
      <c r="B1485">
        <v>2</v>
      </c>
      <c r="E1485" t="s">
        <v>3411</v>
      </c>
      <c r="F1485" t="s">
        <v>3412</v>
      </c>
      <c r="G1485" t="s">
        <v>3413</v>
      </c>
      <c r="I1485" t="s">
        <v>3338</v>
      </c>
      <c r="J1485" t="s">
        <v>2232</v>
      </c>
      <c r="K1485" t="s">
        <v>2233</v>
      </c>
      <c r="L1485" t="s">
        <v>3342</v>
      </c>
      <c r="N1485" t="s">
        <v>3422</v>
      </c>
      <c r="O1485" t="s">
        <v>3423</v>
      </c>
      <c r="P1485">
        <v>41259286</v>
      </c>
    </row>
    <row r="1486" spans="1:16">
      <c r="A1486" t="s">
        <v>73</v>
      </c>
      <c r="B1486">
        <v>0</v>
      </c>
      <c r="G1486" t="s">
        <v>3338</v>
      </c>
      <c r="I1486" t="s">
        <v>3338</v>
      </c>
      <c r="N1486" t="s">
        <v>3424</v>
      </c>
      <c r="O1486" t="s">
        <v>3425</v>
      </c>
      <c r="P1486">
        <v>41259286</v>
      </c>
    </row>
    <row r="1487" spans="1:16">
      <c r="A1487" t="s">
        <v>73</v>
      </c>
      <c r="B1487">
        <v>1</v>
      </c>
      <c r="E1487" t="s">
        <v>3424</v>
      </c>
      <c r="F1487" t="s">
        <v>3425</v>
      </c>
      <c r="G1487" t="s">
        <v>3426</v>
      </c>
      <c r="I1487" t="s">
        <v>3338</v>
      </c>
      <c r="J1487" t="s">
        <v>2421</v>
      </c>
      <c r="K1487" t="s">
        <v>3354</v>
      </c>
      <c r="L1487" t="s">
        <v>3369</v>
      </c>
      <c r="N1487" t="s">
        <v>3427</v>
      </c>
      <c r="O1487" t="s">
        <v>3428</v>
      </c>
      <c r="P1487">
        <v>41259286</v>
      </c>
    </row>
    <row r="1488" spans="1:16">
      <c r="A1488" t="s">
        <v>73</v>
      </c>
      <c r="B1488">
        <v>1</v>
      </c>
      <c r="E1488" t="s">
        <v>3424</v>
      </c>
      <c r="F1488" t="s">
        <v>3425</v>
      </c>
      <c r="G1488" t="s">
        <v>3426</v>
      </c>
      <c r="I1488" t="s">
        <v>3338</v>
      </c>
      <c r="J1488" t="s">
        <v>2421</v>
      </c>
      <c r="K1488" t="s">
        <v>3354</v>
      </c>
      <c r="L1488" t="s">
        <v>3369</v>
      </c>
      <c r="N1488" t="s">
        <v>3429</v>
      </c>
      <c r="O1488" t="s">
        <v>3430</v>
      </c>
      <c r="P1488">
        <v>41259286</v>
      </c>
    </row>
    <row r="1489" spans="1:16">
      <c r="A1489" t="s">
        <v>73</v>
      </c>
      <c r="B1489">
        <v>1</v>
      </c>
      <c r="E1489" t="s">
        <v>3424</v>
      </c>
      <c r="F1489" t="s">
        <v>3425</v>
      </c>
      <c r="G1489" t="s">
        <v>3426</v>
      </c>
      <c r="I1489" t="s">
        <v>3338</v>
      </c>
      <c r="J1489" t="s">
        <v>2232</v>
      </c>
      <c r="K1489" t="s">
        <v>2233</v>
      </c>
      <c r="L1489" t="s">
        <v>3342</v>
      </c>
      <c r="N1489" t="s">
        <v>3431</v>
      </c>
      <c r="O1489" t="s">
        <v>3432</v>
      </c>
      <c r="P1489">
        <v>41259286</v>
      </c>
    </row>
    <row r="1490" spans="1:16">
      <c r="A1490" t="s">
        <v>73</v>
      </c>
      <c r="B1490">
        <v>0</v>
      </c>
      <c r="G1490" t="s">
        <v>3338</v>
      </c>
      <c r="I1490" t="s">
        <v>3338</v>
      </c>
      <c r="N1490" t="s">
        <v>3433</v>
      </c>
      <c r="O1490" t="s">
        <v>3434</v>
      </c>
      <c r="P1490">
        <v>41259286</v>
      </c>
    </row>
    <row r="1491" spans="1:16">
      <c r="A1491" t="s">
        <v>73</v>
      </c>
      <c r="B1491">
        <v>1</v>
      </c>
      <c r="E1491" t="s">
        <v>3433</v>
      </c>
      <c r="F1491" t="s">
        <v>3434</v>
      </c>
      <c r="G1491" t="s">
        <v>3435</v>
      </c>
      <c r="I1491" t="s">
        <v>3338</v>
      </c>
      <c r="J1491" t="s">
        <v>2232</v>
      </c>
      <c r="K1491" t="s">
        <v>2233</v>
      </c>
      <c r="L1491" t="s">
        <v>3342</v>
      </c>
      <c r="N1491" t="s">
        <v>3436</v>
      </c>
      <c r="O1491" t="s">
        <v>3437</v>
      </c>
      <c r="P1491">
        <v>41259286</v>
      </c>
    </row>
    <row r="1492" spans="1:16">
      <c r="A1492" t="s">
        <v>73</v>
      </c>
      <c r="B1492">
        <v>1</v>
      </c>
      <c r="E1492" t="s">
        <v>3433</v>
      </c>
      <c r="F1492" t="s">
        <v>3434</v>
      </c>
      <c r="G1492" t="s">
        <v>3435</v>
      </c>
      <c r="I1492" t="s">
        <v>3338</v>
      </c>
      <c r="J1492" t="s">
        <v>2232</v>
      </c>
      <c r="K1492" t="s">
        <v>2233</v>
      </c>
      <c r="L1492" t="s">
        <v>3342</v>
      </c>
      <c r="N1492" t="s">
        <v>3438</v>
      </c>
      <c r="O1492" t="s">
        <v>3439</v>
      </c>
      <c r="P1492">
        <v>41259286</v>
      </c>
    </row>
    <row r="1493" spans="1:16">
      <c r="A1493" t="s">
        <v>73</v>
      </c>
      <c r="B1493">
        <v>1</v>
      </c>
      <c r="E1493" t="s">
        <v>3433</v>
      </c>
      <c r="F1493" t="s">
        <v>3434</v>
      </c>
      <c r="G1493" t="s">
        <v>3435</v>
      </c>
      <c r="I1493" t="s">
        <v>3338</v>
      </c>
      <c r="J1493" t="s">
        <v>2232</v>
      </c>
      <c r="K1493" t="s">
        <v>2233</v>
      </c>
      <c r="L1493" t="s">
        <v>3342</v>
      </c>
      <c r="N1493" t="s">
        <v>3440</v>
      </c>
      <c r="O1493" t="s">
        <v>3441</v>
      </c>
      <c r="P1493">
        <v>41259286</v>
      </c>
    </row>
    <row r="1494" spans="1:16">
      <c r="A1494" t="s">
        <v>73</v>
      </c>
      <c r="B1494">
        <v>1</v>
      </c>
      <c r="E1494" t="s">
        <v>3433</v>
      </c>
      <c r="F1494" t="s">
        <v>3434</v>
      </c>
      <c r="G1494" t="s">
        <v>3435</v>
      </c>
      <c r="I1494" t="s">
        <v>3338</v>
      </c>
      <c r="J1494" t="s">
        <v>2232</v>
      </c>
      <c r="K1494" t="s">
        <v>2233</v>
      </c>
      <c r="L1494" t="s">
        <v>3342</v>
      </c>
      <c r="N1494" t="s">
        <v>3442</v>
      </c>
      <c r="O1494" t="s">
        <v>3443</v>
      </c>
      <c r="P1494">
        <v>41259286</v>
      </c>
    </row>
    <row r="1495" spans="1:16">
      <c r="A1495" t="s">
        <v>73</v>
      </c>
      <c r="B1495">
        <v>1</v>
      </c>
      <c r="E1495" t="s">
        <v>3433</v>
      </c>
      <c r="F1495" t="s">
        <v>3434</v>
      </c>
      <c r="G1495" t="s">
        <v>3435</v>
      </c>
      <c r="I1495" t="s">
        <v>3338</v>
      </c>
      <c r="J1495" t="s">
        <v>2232</v>
      </c>
      <c r="K1495" t="s">
        <v>2233</v>
      </c>
      <c r="L1495" t="s">
        <v>3342</v>
      </c>
      <c r="N1495" t="s">
        <v>3444</v>
      </c>
      <c r="O1495" t="s">
        <v>3445</v>
      </c>
      <c r="P1495">
        <v>41259286</v>
      </c>
    </row>
    <row r="1496" spans="1:16">
      <c r="A1496" t="s">
        <v>73</v>
      </c>
      <c r="B1496">
        <v>1</v>
      </c>
      <c r="E1496" t="s">
        <v>3433</v>
      </c>
      <c r="F1496" t="s">
        <v>3434</v>
      </c>
      <c r="G1496" t="s">
        <v>3435</v>
      </c>
      <c r="I1496" t="s">
        <v>3338</v>
      </c>
      <c r="J1496" t="s">
        <v>2232</v>
      </c>
      <c r="K1496" t="s">
        <v>2233</v>
      </c>
      <c r="L1496" t="s">
        <v>3342</v>
      </c>
      <c r="N1496" t="s">
        <v>3446</v>
      </c>
      <c r="O1496" t="s">
        <v>3447</v>
      </c>
      <c r="P1496">
        <v>41259286</v>
      </c>
    </row>
    <row r="1497" spans="1:16">
      <c r="A1497" t="s">
        <v>73</v>
      </c>
      <c r="B1497">
        <v>0</v>
      </c>
      <c r="G1497" t="s">
        <v>3338</v>
      </c>
      <c r="I1497" t="s">
        <v>3338</v>
      </c>
      <c r="N1497" t="s">
        <v>3448</v>
      </c>
      <c r="O1497" t="s">
        <v>3449</v>
      </c>
      <c r="P1497">
        <v>41259286</v>
      </c>
    </row>
    <row r="1498" spans="1:16">
      <c r="A1498" t="s">
        <v>73</v>
      </c>
      <c r="B1498">
        <v>1</v>
      </c>
      <c r="E1498" t="s">
        <v>3448</v>
      </c>
      <c r="F1498" t="s">
        <v>3449</v>
      </c>
      <c r="G1498" t="s">
        <v>3450</v>
      </c>
      <c r="I1498" t="s">
        <v>3338</v>
      </c>
      <c r="J1498" t="s">
        <v>2421</v>
      </c>
      <c r="K1498" t="s">
        <v>3354</v>
      </c>
      <c r="L1498" t="s">
        <v>3451</v>
      </c>
      <c r="N1498" t="s">
        <v>3452</v>
      </c>
      <c r="O1498" t="s">
        <v>3453</v>
      </c>
      <c r="P1498">
        <v>41259286</v>
      </c>
    </row>
    <row r="1499" spans="1:16">
      <c r="A1499" t="s">
        <v>77</v>
      </c>
      <c r="B1499">
        <v>0</v>
      </c>
      <c r="G1499" t="s">
        <v>3338</v>
      </c>
      <c r="I1499" t="s">
        <v>3338</v>
      </c>
      <c r="N1499" t="s">
        <v>3339</v>
      </c>
      <c r="O1499" t="s">
        <v>3340</v>
      </c>
      <c r="P1499">
        <v>41247540</v>
      </c>
    </row>
    <row r="1500" spans="1:16">
      <c r="A1500" t="s">
        <v>77</v>
      </c>
      <c r="B1500">
        <v>1</v>
      </c>
      <c r="E1500" t="s">
        <v>3339</v>
      </c>
      <c r="F1500" t="s">
        <v>3340</v>
      </c>
      <c r="G1500" t="s">
        <v>3341</v>
      </c>
      <c r="I1500" t="s">
        <v>3338</v>
      </c>
      <c r="J1500" t="s">
        <v>2232</v>
      </c>
      <c r="K1500" t="s">
        <v>2233</v>
      </c>
      <c r="L1500" t="s">
        <v>3342</v>
      </c>
      <c r="N1500" t="s">
        <v>3343</v>
      </c>
      <c r="O1500" t="s">
        <v>3344</v>
      </c>
      <c r="P1500">
        <v>41247540</v>
      </c>
    </row>
    <row r="1501" spans="1:16">
      <c r="A1501" t="s">
        <v>77</v>
      </c>
      <c r="B1501">
        <v>1</v>
      </c>
      <c r="E1501" t="s">
        <v>3339</v>
      </c>
      <c r="F1501" t="s">
        <v>3340</v>
      </c>
      <c r="G1501" t="s">
        <v>3341</v>
      </c>
      <c r="I1501" t="s">
        <v>3338</v>
      </c>
      <c r="J1501" t="s">
        <v>2232</v>
      </c>
      <c r="K1501" t="s">
        <v>2233</v>
      </c>
      <c r="L1501" t="s">
        <v>3342</v>
      </c>
      <c r="N1501" t="s">
        <v>3345</v>
      </c>
      <c r="O1501" t="s">
        <v>3346</v>
      </c>
      <c r="P1501">
        <v>41247540</v>
      </c>
    </row>
    <row r="1502" spans="1:16">
      <c r="A1502" t="s">
        <v>77</v>
      </c>
      <c r="B1502">
        <v>0</v>
      </c>
      <c r="G1502" t="s">
        <v>3338</v>
      </c>
      <c r="I1502" t="s">
        <v>3338</v>
      </c>
      <c r="N1502" t="s">
        <v>3347</v>
      </c>
      <c r="O1502" t="s">
        <v>3344</v>
      </c>
      <c r="P1502">
        <v>41247540</v>
      </c>
    </row>
    <row r="1503" spans="1:16">
      <c r="A1503" t="s">
        <v>77</v>
      </c>
      <c r="B1503">
        <v>1</v>
      </c>
      <c r="E1503" t="s">
        <v>3347</v>
      </c>
      <c r="F1503" t="s">
        <v>3344</v>
      </c>
      <c r="G1503" t="s">
        <v>3348</v>
      </c>
      <c r="I1503" t="s">
        <v>3338</v>
      </c>
      <c r="J1503" t="s">
        <v>2232</v>
      </c>
      <c r="K1503" t="s">
        <v>2233</v>
      </c>
      <c r="L1503" t="s">
        <v>3342</v>
      </c>
      <c r="N1503" t="s">
        <v>3349</v>
      </c>
      <c r="O1503" t="s">
        <v>3350</v>
      </c>
      <c r="P1503">
        <v>41247540</v>
      </c>
    </row>
    <row r="1504" spans="1:16">
      <c r="A1504" t="s">
        <v>77</v>
      </c>
      <c r="B1504">
        <v>1</v>
      </c>
      <c r="E1504" t="s">
        <v>3347</v>
      </c>
      <c r="F1504" t="s">
        <v>3344</v>
      </c>
      <c r="G1504" t="s">
        <v>3348</v>
      </c>
      <c r="I1504" t="s">
        <v>3338</v>
      </c>
      <c r="L1504" t="s">
        <v>193</v>
      </c>
      <c r="N1504" t="s">
        <v>3351</v>
      </c>
      <c r="O1504" t="s">
        <v>3352</v>
      </c>
      <c r="P1504">
        <v>41247540</v>
      </c>
    </row>
    <row r="1505" spans="1:16">
      <c r="A1505" t="s">
        <v>77</v>
      </c>
      <c r="B1505">
        <v>2</v>
      </c>
      <c r="E1505" t="s">
        <v>3351</v>
      </c>
      <c r="F1505" t="s">
        <v>3352</v>
      </c>
      <c r="G1505" t="s">
        <v>3353</v>
      </c>
      <c r="I1505" t="s">
        <v>3338</v>
      </c>
      <c r="J1505" t="s">
        <v>2421</v>
      </c>
      <c r="K1505" t="s">
        <v>3354</v>
      </c>
      <c r="L1505" t="s">
        <v>3355</v>
      </c>
      <c r="N1505" t="s">
        <v>3356</v>
      </c>
      <c r="O1505" t="s">
        <v>3357</v>
      </c>
      <c r="P1505">
        <v>41247540</v>
      </c>
    </row>
    <row r="1506" spans="1:16">
      <c r="A1506" t="s">
        <v>77</v>
      </c>
      <c r="B1506">
        <v>2</v>
      </c>
      <c r="E1506" t="s">
        <v>3351</v>
      </c>
      <c r="F1506" t="s">
        <v>3352</v>
      </c>
      <c r="G1506" t="s">
        <v>3353</v>
      </c>
      <c r="I1506" t="s">
        <v>3338</v>
      </c>
      <c r="J1506" t="s">
        <v>2421</v>
      </c>
      <c r="K1506" t="s">
        <v>3354</v>
      </c>
      <c r="L1506" t="s">
        <v>3355</v>
      </c>
      <c r="N1506" t="s">
        <v>3358</v>
      </c>
      <c r="O1506" t="s">
        <v>3359</v>
      </c>
      <c r="P1506">
        <v>41247540</v>
      </c>
    </row>
    <row r="1507" spans="1:16">
      <c r="A1507" t="s">
        <v>77</v>
      </c>
      <c r="B1507">
        <v>2</v>
      </c>
      <c r="E1507" t="s">
        <v>3351</v>
      </c>
      <c r="F1507" t="s">
        <v>3352</v>
      </c>
      <c r="G1507" t="s">
        <v>3353</v>
      </c>
      <c r="I1507" t="s">
        <v>3338</v>
      </c>
      <c r="J1507" t="s">
        <v>2421</v>
      </c>
      <c r="K1507" t="s">
        <v>3354</v>
      </c>
      <c r="L1507" t="s">
        <v>3355</v>
      </c>
      <c r="N1507" t="s">
        <v>3360</v>
      </c>
      <c r="O1507" t="s">
        <v>3361</v>
      </c>
      <c r="P1507">
        <v>41247540</v>
      </c>
    </row>
    <row r="1508" spans="1:16">
      <c r="A1508" t="s">
        <v>77</v>
      </c>
      <c r="B1508">
        <v>1</v>
      </c>
      <c r="E1508" t="s">
        <v>3347</v>
      </c>
      <c r="F1508" t="s">
        <v>3344</v>
      </c>
      <c r="G1508" t="s">
        <v>3348</v>
      </c>
      <c r="I1508" t="s">
        <v>3338</v>
      </c>
      <c r="J1508" t="s">
        <v>2236</v>
      </c>
      <c r="K1508" t="s">
        <v>3362</v>
      </c>
      <c r="L1508" t="s">
        <v>3363</v>
      </c>
      <c r="N1508" t="s">
        <v>3364</v>
      </c>
      <c r="O1508" t="s">
        <v>3365</v>
      </c>
      <c r="P1508">
        <v>41247540</v>
      </c>
    </row>
    <row r="1509" spans="1:16">
      <c r="A1509" t="s">
        <v>77</v>
      </c>
      <c r="B1509">
        <v>1</v>
      </c>
      <c r="E1509" t="s">
        <v>3347</v>
      </c>
      <c r="F1509" t="s">
        <v>3344</v>
      </c>
      <c r="G1509" t="s">
        <v>3348</v>
      </c>
      <c r="I1509" t="s">
        <v>3338</v>
      </c>
      <c r="L1509" t="s">
        <v>193</v>
      </c>
      <c r="N1509" t="s">
        <v>3366</v>
      </c>
      <c r="O1509" t="s">
        <v>3367</v>
      </c>
      <c r="P1509">
        <v>41247540</v>
      </c>
    </row>
    <row r="1510" spans="1:16">
      <c r="A1510" t="s">
        <v>77</v>
      </c>
      <c r="B1510">
        <v>2</v>
      </c>
      <c r="E1510" t="s">
        <v>3366</v>
      </c>
      <c r="F1510" t="s">
        <v>3367</v>
      </c>
      <c r="G1510" t="s">
        <v>3368</v>
      </c>
      <c r="I1510" t="s">
        <v>3338</v>
      </c>
      <c r="J1510" t="s">
        <v>2421</v>
      </c>
      <c r="K1510" t="s">
        <v>3354</v>
      </c>
      <c r="L1510" t="s">
        <v>3369</v>
      </c>
      <c r="N1510" t="s">
        <v>3370</v>
      </c>
      <c r="O1510" t="s">
        <v>3359</v>
      </c>
      <c r="P1510">
        <v>41247540</v>
      </c>
    </row>
    <row r="1511" spans="1:16">
      <c r="A1511" t="s">
        <v>77</v>
      </c>
      <c r="B1511">
        <v>2</v>
      </c>
      <c r="E1511" t="s">
        <v>3366</v>
      </c>
      <c r="F1511" t="s">
        <v>3367</v>
      </c>
      <c r="G1511" t="s">
        <v>3368</v>
      </c>
      <c r="I1511" t="s">
        <v>3338</v>
      </c>
      <c r="J1511" t="s">
        <v>2421</v>
      </c>
      <c r="K1511" t="s">
        <v>3354</v>
      </c>
      <c r="L1511" t="s">
        <v>3369</v>
      </c>
      <c r="N1511" t="s">
        <v>3371</v>
      </c>
      <c r="O1511" t="s">
        <v>3372</v>
      </c>
      <c r="P1511">
        <v>41247540</v>
      </c>
    </row>
    <row r="1512" spans="1:16">
      <c r="A1512" t="s">
        <v>77</v>
      </c>
      <c r="B1512">
        <v>2</v>
      </c>
      <c r="E1512" t="s">
        <v>3366</v>
      </c>
      <c r="F1512" t="s">
        <v>3367</v>
      </c>
      <c r="G1512" t="s">
        <v>3368</v>
      </c>
      <c r="I1512" t="s">
        <v>3338</v>
      </c>
      <c r="J1512" t="s">
        <v>2421</v>
      </c>
      <c r="K1512" t="s">
        <v>3354</v>
      </c>
      <c r="L1512" t="s">
        <v>3369</v>
      </c>
      <c r="N1512" t="s">
        <v>3373</v>
      </c>
      <c r="O1512" t="s">
        <v>3374</v>
      </c>
      <c r="P1512">
        <v>41247540</v>
      </c>
    </row>
    <row r="1513" spans="1:16">
      <c r="A1513" t="s">
        <v>77</v>
      </c>
      <c r="B1513">
        <v>2</v>
      </c>
      <c r="E1513" t="s">
        <v>3366</v>
      </c>
      <c r="F1513" t="s">
        <v>3367</v>
      </c>
      <c r="G1513" t="s">
        <v>3368</v>
      </c>
      <c r="I1513" t="s">
        <v>3338</v>
      </c>
      <c r="J1513" t="s">
        <v>2236</v>
      </c>
      <c r="K1513" t="s">
        <v>3362</v>
      </c>
      <c r="L1513" t="s">
        <v>3363</v>
      </c>
      <c r="N1513" t="s">
        <v>3375</v>
      </c>
      <c r="O1513" t="s">
        <v>3376</v>
      </c>
      <c r="P1513">
        <v>41247540</v>
      </c>
    </row>
    <row r="1514" spans="1:16">
      <c r="A1514" t="s">
        <v>77</v>
      </c>
      <c r="B1514">
        <v>0</v>
      </c>
      <c r="G1514" t="s">
        <v>3338</v>
      </c>
      <c r="I1514" t="s">
        <v>3338</v>
      </c>
      <c r="N1514" t="s">
        <v>3377</v>
      </c>
      <c r="O1514" t="s">
        <v>3346</v>
      </c>
      <c r="P1514">
        <v>41247540</v>
      </c>
    </row>
    <row r="1515" spans="1:16">
      <c r="A1515" t="s">
        <v>77</v>
      </c>
      <c r="B1515">
        <v>1</v>
      </c>
      <c r="E1515" t="s">
        <v>3377</v>
      </c>
      <c r="F1515" t="s">
        <v>3346</v>
      </c>
      <c r="G1515" t="s">
        <v>3378</v>
      </c>
      <c r="I1515" t="s">
        <v>3338</v>
      </c>
      <c r="L1515" t="s">
        <v>193</v>
      </c>
      <c r="N1515" t="s">
        <v>3379</v>
      </c>
      <c r="O1515" t="s">
        <v>3380</v>
      </c>
      <c r="P1515">
        <v>41247540</v>
      </c>
    </row>
    <row r="1516" spans="1:16">
      <c r="A1516" t="s">
        <v>77</v>
      </c>
      <c r="B1516">
        <v>2</v>
      </c>
      <c r="E1516" t="s">
        <v>3379</v>
      </c>
      <c r="F1516" t="s">
        <v>3380</v>
      </c>
      <c r="G1516" t="s">
        <v>3381</v>
      </c>
      <c r="I1516" t="s">
        <v>3338</v>
      </c>
      <c r="J1516" t="s">
        <v>2421</v>
      </c>
      <c r="K1516" t="s">
        <v>3354</v>
      </c>
      <c r="L1516" t="s">
        <v>3369</v>
      </c>
      <c r="N1516" t="s">
        <v>3382</v>
      </c>
      <c r="O1516" t="s">
        <v>3352</v>
      </c>
      <c r="P1516">
        <v>41247540</v>
      </c>
    </row>
    <row r="1517" spans="1:16">
      <c r="A1517" t="s">
        <v>77</v>
      </c>
      <c r="B1517">
        <v>2</v>
      </c>
      <c r="E1517" t="s">
        <v>3379</v>
      </c>
      <c r="F1517" t="s">
        <v>3380</v>
      </c>
      <c r="G1517" t="s">
        <v>3381</v>
      </c>
      <c r="I1517" t="s">
        <v>3338</v>
      </c>
      <c r="L1517" t="s">
        <v>3383</v>
      </c>
      <c r="N1517" t="s">
        <v>3384</v>
      </c>
      <c r="O1517" t="s">
        <v>3385</v>
      </c>
      <c r="P1517">
        <v>41247540</v>
      </c>
    </row>
    <row r="1518" spans="1:16">
      <c r="A1518" t="s">
        <v>77</v>
      </c>
      <c r="B1518">
        <v>2</v>
      </c>
      <c r="E1518" t="s">
        <v>3379</v>
      </c>
      <c r="F1518" t="s">
        <v>3380</v>
      </c>
      <c r="G1518" t="s">
        <v>3381</v>
      </c>
      <c r="I1518" t="s">
        <v>3338</v>
      </c>
      <c r="J1518" t="s">
        <v>2232</v>
      </c>
      <c r="K1518" t="s">
        <v>2233</v>
      </c>
      <c r="L1518" t="s">
        <v>3342</v>
      </c>
      <c r="N1518" t="s">
        <v>3386</v>
      </c>
      <c r="O1518" t="s">
        <v>3350</v>
      </c>
      <c r="P1518">
        <v>41247540</v>
      </c>
    </row>
    <row r="1519" spans="1:16">
      <c r="A1519" t="s">
        <v>77</v>
      </c>
      <c r="B1519">
        <v>0</v>
      </c>
      <c r="G1519" t="s">
        <v>3338</v>
      </c>
      <c r="I1519" t="s">
        <v>3338</v>
      </c>
      <c r="N1519" t="s">
        <v>3395</v>
      </c>
      <c r="O1519" t="s">
        <v>3396</v>
      </c>
      <c r="P1519">
        <v>41247540</v>
      </c>
    </row>
    <row r="1520" spans="1:16">
      <c r="A1520" t="s">
        <v>77</v>
      </c>
      <c r="B1520">
        <v>1</v>
      </c>
      <c r="E1520" t="s">
        <v>3395</v>
      </c>
      <c r="F1520" t="s">
        <v>3396</v>
      </c>
      <c r="G1520" t="s">
        <v>3397</v>
      </c>
      <c r="I1520" t="s">
        <v>3338</v>
      </c>
      <c r="L1520" t="s">
        <v>3342</v>
      </c>
      <c r="N1520" t="s">
        <v>3398</v>
      </c>
      <c r="O1520" t="s">
        <v>3399</v>
      </c>
      <c r="P1520">
        <v>41247540</v>
      </c>
    </row>
    <row r="1521" spans="1:16">
      <c r="A1521" t="s">
        <v>77</v>
      </c>
      <c r="B1521">
        <v>1</v>
      </c>
      <c r="E1521" t="s">
        <v>3395</v>
      </c>
      <c r="F1521" t="s">
        <v>3396</v>
      </c>
      <c r="G1521" t="s">
        <v>3397</v>
      </c>
      <c r="I1521" t="s">
        <v>3338</v>
      </c>
      <c r="J1521" t="s">
        <v>2232</v>
      </c>
      <c r="K1521" t="s">
        <v>2233</v>
      </c>
      <c r="L1521" t="s">
        <v>3342</v>
      </c>
      <c r="N1521" t="s">
        <v>3400</v>
      </c>
      <c r="O1521" t="s">
        <v>3401</v>
      </c>
      <c r="P1521">
        <v>41247540</v>
      </c>
    </row>
    <row r="1522" spans="1:16">
      <c r="A1522" t="s">
        <v>77</v>
      </c>
      <c r="B1522">
        <v>1</v>
      </c>
      <c r="E1522" t="s">
        <v>3395</v>
      </c>
      <c r="F1522" t="s">
        <v>3396</v>
      </c>
      <c r="G1522" t="s">
        <v>3397</v>
      </c>
      <c r="I1522" t="s">
        <v>3338</v>
      </c>
      <c r="L1522" t="s">
        <v>3342</v>
      </c>
      <c r="N1522" t="s">
        <v>3402</v>
      </c>
      <c r="O1522" t="s">
        <v>3403</v>
      </c>
      <c r="P1522">
        <v>41247540</v>
      </c>
    </row>
    <row r="1523" spans="1:16">
      <c r="A1523" t="s">
        <v>77</v>
      </c>
      <c r="B1523">
        <v>1</v>
      </c>
      <c r="E1523" t="s">
        <v>3395</v>
      </c>
      <c r="F1523" t="s">
        <v>3396</v>
      </c>
      <c r="G1523" t="s">
        <v>3397</v>
      </c>
      <c r="I1523" t="s">
        <v>3338</v>
      </c>
      <c r="L1523" t="s">
        <v>3342</v>
      </c>
      <c r="N1523" t="s">
        <v>3404</v>
      </c>
      <c r="O1523" t="s">
        <v>3405</v>
      </c>
      <c r="P1523">
        <v>41247540</v>
      </c>
    </row>
    <row r="1524" spans="1:16">
      <c r="A1524" t="s">
        <v>77</v>
      </c>
      <c r="B1524">
        <v>0</v>
      </c>
      <c r="G1524" t="s">
        <v>3338</v>
      </c>
      <c r="I1524" t="s">
        <v>3338</v>
      </c>
      <c r="N1524" t="s">
        <v>3406</v>
      </c>
      <c r="O1524" t="s">
        <v>3407</v>
      </c>
      <c r="P1524">
        <v>41247540</v>
      </c>
    </row>
    <row r="1525" spans="1:16">
      <c r="A1525" t="s">
        <v>77</v>
      </c>
      <c r="B1525">
        <v>1</v>
      </c>
      <c r="E1525" t="s">
        <v>3406</v>
      </c>
      <c r="F1525" t="s">
        <v>3407</v>
      </c>
      <c r="G1525" t="s">
        <v>3408</v>
      </c>
      <c r="I1525" t="s">
        <v>3338</v>
      </c>
      <c r="J1525" t="s">
        <v>2421</v>
      </c>
      <c r="K1525" t="s">
        <v>3354</v>
      </c>
      <c r="L1525" t="s">
        <v>3369</v>
      </c>
      <c r="N1525" t="s">
        <v>3409</v>
      </c>
      <c r="O1525" t="s">
        <v>3410</v>
      </c>
      <c r="P1525">
        <v>41247540</v>
      </c>
    </row>
    <row r="1526" spans="1:16">
      <c r="A1526" t="s">
        <v>77</v>
      </c>
      <c r="B1526">
        <v>1</v>
      </c>
      <c r="E1526" t="s">
        <v>3406</v>
      </c>
      <c r="F1526" t="s">
        <v>3407</v>
      </c>
      <c r="G1526" t="s">
        <v>3408</v>
      </c>
      <c r="I1526" t="s">
        <v>3338</v>
      </c>
      <c r="L1526" t="s">
        <v>193</v>
      </c>
      <c r="N1526" t="s">
        <v>3411</v>
      </c>
      <c r="O1526" t="s">
        <v>3412</v>
      </c>
      <c r="P1526">
        <v>41247540</v>
      </c>
    </row>
    <row r="1527" spans="1:16">
      <c r="A1527" t="s">
        <v>77</v>
      </c>
      <c r="B1527">
        <v>2</v>
      </c>
      <c r="E1527" t="s">
        <v>3411</v>
      </c>
      <c r="F1527" t="s">
        <v>3412</v>
      </c>
      <c r="G1527" t="s">
        <v>3413</v>
      </c>
      <c r="I1527" t="s">
        <v>3338</v>
      </c>
      <c r="L1527" t="s">
        <v>3342</v>
      </c>
      <c r="N1527" t="s">
        <v>3414</v>
      </c>
      <c r="O1527" t="s">
        <v>3415</v>
      </c>
      <c r="P1527">
        <v>41247540</v>
      </c>
    </row>
    <row r="1528" spans="1:16">
      <c r="A1528" t="s">
        <v>77</v>
      </c>
      <c r="B1528">
        <v>2</v>
      </c>
      <c r="E1528" t="s">
        <v>3411</v>
      </c>
      <c r="F1528" t="s">
        <v>3412</v>
      </c>
      <c r="G1528" t="s">
        <v>3413</v>
      </c>
      <c r="I1528" t="s">
        <v>3338</v>
      </c>
      <c r="J1528" t="s">
        <v>2232</v>
      </c>
      <c r="K1528" t="s">
        <v>2233</v>
      </c>
      <c r="L1528" t="s">
        <v>3342</v>
      </c>
      <c r="N1528" t="s">
        <v>3416</v>
      </c>
      <c r="O1528" t="s">
        <v>3417</v>
      </c>
      <c r="P1528">
        <v>41247540</v>
      </c>
    </row>
    <row r="1529" spans="1:16">
      <c r="A1529" t="s">
        <v>77</v>
      </c>
      <c r="B1529">
        <v>2</v>
      </c>
      <c r="E1529" t="s">
        <v>3411</v>
      </c>
      <c r="F1529" t="s">
        <v>3412</v>
      </c>
      <c r="G1529" t="s">
        <v>3413</v>
      </c>
      <c r="I1529" t="s">
        <v>3338</v>
      </c>
      <c r="J1529" t="s">
        <v>2232</v>
      </c>
      <c r="K1529" t="s">
        <v>2233</v>
      </c>
      <c r="L1529" t="s">
        <v>3342</v>
      </c>
      <c r="N1529" t="s">
        <v>3418</v>
      </c>
      <c r="O1529" t="s">
        <v>3419</v>
      </c>
      <c r="P1529">
        <v>41247540</v>
      </c>
    </row>
    <row r="1530" spans="1:16">
      <c r="A1530" t="s">
        <v>77</v>
      </c>
      <c r="B1530">
        <v>2</v>
      </c>
      <c r="E1530" t="s">
        <v>3411</v>
      </c>
      <c r="F1530" t="s">
        <v>3412</v>
      </c>
      <c r="G1530" t="s">
        <v>3413</v>
      </c>
      <c r="I1530" t="s">
        <v>3338</v>
      </c>
      <c r="L1530" t="s">
        <v>3342</v>
      </c>
      <c r="N1530" t="s">
        <v>3420</v>
      </c>
      <c r="O1530" t="s">
        <v>3421</v>
      </c>
      <c r="P1530">
        <v>41247540</v>
      </c>
    </row>
    <row r="1531" spans="1:16">
      <c r="A1531" t="s">
        <v>77</v>
      </c>
      <c r="B1531">
        <v>2</v>
      </c>
      <c r="E1531" t="s">
        <v>3411</v>
      </c>
      <c r="F1531" t="s">
        <v>3412</v>
      </c>
      <c r="G1531" t="s">
        <v>3413</v>
      </c>
      <c r="I1531" t="s">
        <v>3338</v>
      </c>
      <c r="J1531" t="s">
        <v>2232</v>
      </c>
      <c r="K1531" t="s">
        <v>2233</v>
      </c>
      <c r="L1531" t="s">
        <v>3342</v>
      </c>
      <c r="N1531" t="s">
        <v>3422</v>
      </c>
      <c r="O1531" t="s">
        <v>3423</v>
      </c>
      <c r="P1531">
        <v>41247540</v>
      </c>
    </row>
    <row r="1532" spans="1:16">
      <c r="A1532" t="s">
        <v>77</v>
      </c>
      <c r="B1532">
        <v>0</v>
      </c>
      <c r="G1532" t="s">
        <v>3338</v>
      </c>
      <c r="I1532" t="s">
        <v>3338</v>
      </c>
      <c r="N1532" t="s">
        <v>3424</v>
      </c>
      <c r="O1532" t="s">
        <v>3425</v>
      </c>
      <c r="P1532">
        <v>41247540</v>
      </c>
    </row>
    <row r="1533" spans="1:16">
      <c r="A1533" t="s">
        <v>77</v>
      </c>
      <c r="B1533">
        <v>1</v>
      </c>
      <c r="E1533" t="s">
        <v>3424</v>
      </c>
      <c r="F1533" t="s">
        <v>3425</v>
      </c>
      <c r="G1533" t="s">
        <v>3426</v>
      </c>
      <c r="I1533" t="s">
        <v>3338</v>
      </c>
      <c r="J1533" t="s">
        <v>2421</v>
      </c>
      <c r="K1533" t="s">
        <v>3354</v>
      </c>
      <c r="L1533" t="s">
        <v>3369</v>
      </c>
      <c r="N1533" t="s">
        <v>3427</v>
      </c>
      <c r="O1533" t="s">
        <v>3428</v>
      </c>
      <c r="P1533">
        <v>41247540</v>
      </c>
    </row>
    <row r="1534" spans="1:16">
      <c r="A1534" t="s">
        <v>77</v>
      </c>
      <c r="B1534">
        <v>1</v>
      </c>
      <c r="E1534" t="s">
        <v>3424</v>
      </c>
      <c r="F1534" t="s">
        <v>3425</v>
      </c>
      <c r="G1534" t="s">
        <v>3426</v>
      </c>
      <c r="I1534" t="s">
        <v>3338</v>
      </c>
      <c r="J1534" t="s">
        <v>2421</v>
      </c>
      <c r="K1534" t="s">
        <v>3354</v>
      </c>
      <c r="L1534" t="s">
        <v>3369</v>
      </c>
      <c r="N1534" t="s">
        <v>3429</v>
      </c>
      <c r="O1534" t="s">
        <v>3430</v>
      </c>
      <c r="P1534">
        <v>41247540</v>
      </c>
    </row>
    <row r="1535" spans="1:16">
      <c r="A1535" t="s">
        <v>77</v>
      </c>
      <c r="B1535">
        <v>1</v>
      </c>
      <c r="E1535" t="s">
        <v>3424</v>
      </c>
      <c r="F1535" t="s">
        <v>3425</v>
      </c>
      <c r="G1535" t="s">
        <v>3426</v>
      </c>
      <c r="I1535" t="s">
        <v>3338</v>
      </c>
      <c r="J1535" t="s">
        <v>2232</v>
      </c>
      <c r="K1535" t="s">
        <v>2233</v>
      </c>
      <c r="L1535" t="s">
        <v>3342</v>
      </c>
      <c r="N1535" t="s">
        <v>3431</v>
      </c>
      <c r="O1535" t="s">
        <v>3432</v>
      </c>
      <c r="P1535">
        <v>41247540</v>
      </c>
    </row>
    <row r="1536" spans="1:16">
      <c r="A1536" t="s">
        <v>77</v>
      </c>
      <c r="B1536">
        <v>0</v>
      </c>
      <c r="G1536" t="s">
        <v>3338</v>
      </c>
      <c r="I1536" t="s">
        <v>3338</v>
      </c>
      <c r="N1536" t="s">
        <v>3433</v>
      </c>
      <c r="O1536" t="s">
        <v>3434</v>
      </c>
      <c r="P1536">
        <v>41247540</v>
      </c>
    </row>
    <row r="1537" spans="1:16">
      <c r="A1537" t="s">
        <v>77</v>
      </c>
      <c r="B1537">
        <v>1</v>
      </c>
      <c r="E1537" t="s">
        <v>3433</v>
      </c>
      <c r="F1537" t="s">
        <v>3434</v>
      </c>
      <c r="G1537" t="s">
        <v>3435</v>
      </c>
      <c r="I1537" t="s">
        <v>3338</v>
      </c>
      <c r="J1537" t="s">
        <v>2232</v>
      </c>
      <c r="K1537" t="s">
        <v>2233</v>
      </c>
      <c r="L1537" t="s">
        <v>3342</v>
      </c>
      <c r="N1537" t="s">
        <v>3436</v>
      </c>
      <c r="O1537" t="s">
        <v>3437</v>
      </c>
      <c r="P1537">
        <v>41247540</v>
      </c>
    </row>
    <row r="1538" spans="1:16">
      <c r="A1538" t="s">
        <v>77</v>
      </c>
      <c r="B1538">
        <v>1</v>
      </c>
      <c r="E1538" t="s">
        <v>3433</v>
      </c>
      <c r="F1538" t="s">
        <v>3434</v>
      </c>
      <c r="G1538" t="s">
        <v>3435</v>
      </c>
      <c r="I1538" t="s">
        <v>3338</v>
      </c>
      <c r="J1538" t="s">
        <v>2232</v>
      </c>
      <c r="K1538" t="s">
        <v>2233</v>
      </c>
      <c r="L1538" t="s">
        <v>3342</v>
      </c>
      <c r="N1538" t="s">
        <v>3438</v>
      </c>
      <c r="O1538" t="s">
        <v>3439</v>
      </c>
      <c r="P1538">
        <v>41247540</v>
      </c>
    </row>
    <row r="1539" spans="1:16">
      <c r="A1539" t="s">
        <v>77</v>
      </c>
      <c r="B1539">
        <v>1</v>
      </c>
      <c r="E1539" t="s">
        <v>3433</v>
      </c>
      <c r="F1539" t="s">
        <v>3434</v>
      </c>
      <c r="G1539" t="s">
        <v>3435</v>
      </c>
      <c r="I1539" t="s">
        <v>3338</v>
      </c>
      <c r="J1539" t="s">
        <v>2232</v>
      </c>
      <c r="K1539" t="s">
        <v>2233</v>
      </c>
      <c r="L1539" t="s">
        <v>3342</v>
      </c>
      <c r="N1539" t="s">
        <v>3440</v>
      </c>
      <c r="O1539" t="s">
        <v>3441</v>
      </c>
      <c r="P1539">
        <v>41247540</v>
      </c>
    </row>
    <row r="1540" spans="1:16">
      <c r="A1540" t="s">
        <v>77</v>
      </c>
      <c r="B1540">
        <v>1</v>
      </c>
      <c r="E1540" t="s">
        <v>3433</v>
      </c>
      <c r="F1540" t="s">
        <v>3434</v>
      </c>
      <c r="G1540" t="s">
        <v>3435</v>
      </c>
      <c r="I1540" t="s">
        <v>3338</v>
      </c>
      <c r="J1540" t="s">
        <v>2232</v>
      </c>
      <c r="K1540" t="s">
        <v>2233</v>
      </c>
      <c r="L1540" t="s">
        <v>3342</v>
      </c>
      <c r="N1540" t="s">
        <v>3442</v>
      </c>
      <c r="O1540" t="s">
        <v>3443</v>
      </c>
      <c r="P1540">
        <v>41247540</v>
      </c>
    </row>
    <row r="1541" spans="1:16">
      <c r="A1541" t="s">
        <v>77</v>
      </c>
      <c r="B1541">
        <v>1</v>
      </c>
      <c r="E1541" t="s">
        <v>3433</v>
      </c>
      <c r="F1541" t="s">
        <v>3434</v>
      </c>
      <c r="G1541" t="s">
        <v>3435</v>
      </c>
      <c r="I1541" t="s">
        <v>3338</v>
      </c>
      <c r="J1541" t="s">
        <v>2232</v>
      </c>
      <c r="K1541" t="s">
        <v>2233</v>
      </c>
      <c r="L1541" t="s">
        <v>3342</v>
      </c>
      <c r="N1541" t="s">
        <v>3444</v>
      </c>
      <c r="O1541" t="s">
        <v>3445</v>
      </c>
      <c r="P1541">
        <v>41247540</v>
      </c>
    </row>
    <row r="1542" spans="1:16">
      <c r="A1542" t="s">
        <v>77</v>
      </c>
      <c r="B1542">
        <v>1</v>
      </c>
      <c r="E1542" t="s">
        <v>3433</v>
      </c>
      <c r="F1542" t="s">
        <v>3434</v>
      </c>
      <c r="G1542" t="s">
        <v>3435</v>
      </c>
      <c r="I1542" t="s">
        <v>3338</v>
      </c>
      <c r="J1542" t="s">
        <v>2232</v>
      </c>
      <c r="K1542" t="s">
        <v>2233</v>
      </c>
      <c r="L1542" t="s">
        <v>3342</v>
      </c>
      <c r="N1542" t="s">
        <v>3446</v>
      </c>
      <c r="O1542" t="s">
        <v>3447</v>
      </c>
      <c r="P1542">
        <v>41247540</v>
      </c>
    </row>
    <row r="1543" spans="1:16">
      <c r="A1543" t="s">
        <v>77</v>
      </c>
      <c r="B1543">
        <v>0</v>
      </c>
      <c r="G1543" t="s">
        <v>3338</v>
      </c>
      <c r="I1543" t="s">
        <v>3338</v>
      </c>
      <c r="N1543" t="s">
        <v>3448</v>
      </c>
      <c r="O1543" t="s">
        <v>3449</v>
      </c>
      <c r="P1543">
        <v>41247540</v>
      </c>
    </row>
    <row r="1544" spans="1:16">
      <c r="A1544" t="s">
        <v>77</v>
      </c>
      <c r="B1544">
        <v>1</v>
      </c>
      <c r="E1544" t="s">
        <v>3448</v>
      </c>
      <c r="F1544" t="s">
        <v>3449</v>
      </c>
      <c r="G1544" t="s">
        <v>3450</v>
      </c>
      <c r="I1544" t="s">
        <v>3338</v>
      </c>
      <c r="J1544" t="s">
        <v>2421</v>
      </c>
      <c r="K1544" t="s">
        <v>3354</v>
      </c>
      <c r="L1544" t="s">
        <v>3451</v>
      </c>
      <c r="N1544" t="s">
        <v>3452</v>
      </c>
      <c r="O1544" t="s">
        <v>3453</v>
      </c>
      <c r="P1544">
        <v>41247540</v>
      </c>
    </row>
    <row r="1545" spans="1:16">
      <c r="A1545" t="s">
        <v>77</v>
      </c>
      <c r="B1545">
        <v>0</v>
      </c>
      <c r="G1545" t="s">
        <v>3456</v>
      </c>
      <c r="I1545" t="s">
        <v>3456</v>
      </c>
      <c r="M1545" t="s">
        <v>3463</v>
      </c>
      <c r="N1545" t="s">
        <v>3464</v>
      </c>
      <c r="O1545" t="s">
        <v>3465</v>
      </c>
      <c r="P1545">
        <v>41247540</v>
      </c>
    </row>
    <row r="1546" spans="1:16">
      <c r="A1546" t="s">
        <v>77</v>
      </c>
      <c r="B1546">
        <v>0</v>
      </c>
      <c r="G1546" t="s">
        <v>3456</v>
      </c>
      <c r="I1546" t="s">
        <v>3456</v>
      </c>
      <c r="M1546" t="s">
        <v>3460</v>
      </c>
      <c r="N1546" t="s">
        <v>3487</v>
      </c>
      <c r="O1546" t="s">
        <v>3488</v>
      </c>
      <c r="P1546">
        <v>41247540</v>
      </c>
    </row>
    <row r="1547" spans="1:16">
      <c r="A1547" t="s">
        <v>78</v>
      </c>
      <c r="B1547">
        <v>0</v>
      </c>
      <c r="G1547" t="s">
        <v>3338</v>
      </c>
      <c r="I1547" t="s">
        <v>3338</v>
      </c>
      <c r="N1547" t="s">
        <v>3339</v>
      </c>
      <c r="O1547" t="s">
        <v>3340</v>
      </c>
      <c r="P1547">
        <v>41238114</v>
      </c>
    </row>
    <row r="1548" spans="1:16">
      <c r="A1548" t="s">
        <v>78</v>
      </c>
      <c r="B1548">
        <v>1</v>
      </c>
      <c r="E1548" t="s">
        <v>3339</v>
      </c>
      <c r="F1548" t="s">
        <v>3340</v>
      </c>
      <c r="G1548" t="s">
        <v>3341</v>
      </c>
      <c r="I1548" t="s">
        <v>3338</v>
      </c>
      <c r="J1548" t="s">
        <v>2232</v>
      </c>
      <c r="K1548" t="s">
        <v>2233</v>
      </c>
      <c r="L1548" t="s">
        <v>3342</v>
      </c>
      <c r="N1548" t="s">
        <v>3343</v>
      </c>
      <c r="O1548" t="s">
        <v>3344</v>
      </c>
      <c r="P1548">
        <v>41238114</v>
      </c>
    </row>
    <row r="1549" spans="1:16">
      <c r="A1549" t="s">
        <v>78</v>
      </c>
      <c r="B1549">
        <v>1</v>
      </c>
      <c r="E1549" t="s">
        <v>3339</v>
      </c>
      <c r="F1549" t="s">
        <v>3340</v>
      </c>
      <c r="G1549" t="s">
        <v>3341</v>
      </c>
      <c r="I1549" t="s">
        <v>3338</v>
      </c>
      <c r="J1549" t="s">
        <v>2232</v>
      </c>
      <c r="K1549" t="s">
        <v>2233</v>
      </c>
      <c r="L1549" t="s">
        <v>3342</v>
      </c>
      <c r="N1549" t="s">
        <v>3345</v>
      </c>
      <c r="O1549" t="s">
        <v>3346</v>
      </c>
      <c r="P1549">
        <v>41238114</v>
      </c>
    </row>
    <row r="1550" spans="1:16">
      <c r="A1550" t="s">
        <v>78</v>
      </c>
      <c r="B1550">
        <v>0</v>
      </c>
      <c r="G1550" t="s">
        <v>3338</v>
      </c>
      <c r="I1550" t="s">
        <v>3338</v>
      </c>
      <c r="N1550" t="s">
        <v>3347</v>
      </c>
      <c r="O1550" t="s">
        <v>3344</v>
      </c>
      <c r="P1550">
        <v>41238114</v>
      </c>
    </row>
    <row r="1551" spans="1:16">
      <c r="A1551" t="s">
        <v>78</v>
      </c>
      <c r="B1551">
        <v>1</v>
      </c>
      <c r="E1551" t="s">
        <v>3347</v>
      </c>
      <c r="F1551" t="s">
        <v>3344</v>
      </c>
      <c r="G1551" t="s">
        <v>3348</v>
      </c>
      <c r="I1551" t="s">
        <v>3338</v>
      </c>
      <c r="J1551" t="s">
        <v>2232</v>
      </c>
      <c r="K1551" t="s">
        <v>2233</v>
      </c>
      <c r="L1551" t="s">
        <v>3342</v>
      </c>
      <c r="N1551" t="s">
        <v>3349</v>
      </c>
      <c r="O1551" t="s">
        <v>3350</v>
      </c>
      <c r="P1551">
        <v>41238114</v>
      </c>
    </row>
    <row r="1552" spans="1:16">
      <c r="A1552" t="s">
        <v>78</v>
      </c>
      <c r="B1552">
        <v>1</v>
      </c>
      <c r="E1552" t="s">
        <v>3347</v>
      </c>
      <c r="F1552" t="s">
        <v>3344</v>
      </c>
      <c r="G1552" t="s">
        <v>3348</v>
      </c>
      <c r="I1552" t="s">
        <v>3338</v>
      </c>
      <c r="L1552" t="s">
        <v>193</v>
      </c>
      <c r="N1552" t="s">
        <v>3351</v>
      </c>
      <c r="O1552" t="s">
        <v>3352</v>
      </c>
      <c r="P1552">
        <v>41238114</v>
      </c>
    </row>
    <row r="1553" spans="1:16">
      <c r="A1553" t="s">
        <v>78</v>
      </c>
      <c r="B1553">
        <v>2</v>
      </c>
      <c r="E1553" t="s">
        <v>3351</v>
      </c>
      <c r="F1553" t="s">
        <v>3352</v>
      </c>
      <c r="G1553" t="s">
        <v>3353</v>
      </c>
      <c r="I1553" t="s">
        <v>3338</v>
      </c>
      <c r="J1553" t="s">
        <v>2421</v>
      </c>
      <c r="K1553" t="s">
        <v>3354</v>
      </c>
      <c r="L1553" t="s">
        <v>3355</v>
      </c>
      <c r="N1553" t="s">
        <v>3356</v>
      </c>
      <c r="O1553" t="s">
        <v>3357</v>
      </c>
      <c r="P1553">
        <v>41238114</v>
      </c>
    </row>
    <row r="1554" spans="1:16">
      <c r="A1554" t="s">
        <v>78</v>
      </c>
      <c r="B1554">
        <v>2</v>
      </c>
      <c r="E1554" t="s">
        <v>3351</v>
      </c>
      <c r="F1554" t="s">
        <v>3352</v>
      </c>
      <c r="G1554" t="s">
        <v>3353</v>
      </c>
      <c r="I1554" t="s">
        <v>3338</v>
      </c>
      <c r="J1554" t="s">
        <v>2421</v>
      </c>
      <c r="K1554" t="s">
        <v>3354</v>
      </c>
      <c r="L1554" t="s">
        <v>3355</v>
      </c>
      <c r="N1554" t="s">
        <v>3358</v>
      </c>
      <c r="O1554" t="s">
        <v>3359</v>
      </c>
      <c r="P1554">
        <v>41238114</v>
      </c>
    </row>
    <row r="1555" spans="1:16">
      <c r="A1555" t="s">
        <v>78</v>
      </c>
      <c r="B1555">
        <v>2</v>
      </c>
      <c r="E1555" t="s">
        <v>3351</v>
      </c>
      <c r="F1555" t="s">
        <v>3352</v>
      </c>
      <c r="G1555" t="s">
        <v>3353</v>
      </c>
      <c r="I1555" t="s">
        <v>3338</v>
      </c>
      <c r="J1555" t="s">
        <v>2421</v>
      </c>
      <c r="K1555" t="s">
        <v>3354</v>
      </c>
      <c r="L1555" t="s">
        <v>3355</v>
      </c>
      <c r="N1555" t="s">
        <v>3360</v>
      </c>
      <c r="O1555" t="s">
        <v>3361</v>
      </c>
      <c r="P1555">
        <v>41238114</v>
      </c>
    </row>
    <row r="1556" spans="1:16">
      <c r="A1556" t="s">
        <v>78</v>
      </c>
      <c r="B1556">
        <v>1</v>
      </c>
      <c r="E1556" t="s">
        <v>3347</v>
      </c>
      <c r="F1556" t="s">
        <v>3344</v>
      </c>
      <c r="G1556" t="s">
        <v>3348</v>
      </c>
      <c r="I1556" t="s">
        <v>3338</v>
      </c>
      <c r="J1556" t="s">
        <v>2236</v>
      </c>
      <c r="K1556" t="s">
        <v>3362</v>
      </c>
      <c r="L1556" t="s">
        <v>3363</v>
      </c>
      <c r="N1556" t="s">
        <v>3364</v>
      </c>
      <c r="O1556" t="s">
        <v>3365</v>
      </c>
      <c r="P1556">
        <v>41238114</v>
      </c>
    </row>
    <row r="1557" spans="1:16">
      <c r="A1557" t="s">
        <v>78</v>
      </c>
      <c r="B1557">
        <v>1</v>
      </c>
      <c r="E1557" t="s">
        <v>3347</v>
      </c>
      <c r="F1557" t="s">
        <v>3344</v>
      </c>
      <c r="G1557" t="s">
        <v>3348</v>
      </c>
      <c r="I1557" t="s">
        <v>3338</v>
      </c>
      <c r="L1557" t="s">
        <v>193</v>
      </c>
      <c r="N1557" t="s">
        <v>3366</v>
      </c>
      <c r="O1557" t="s">
        <v>3367</v>
      </c>
      <c r="P1557">
        <v>41238114</v>
      </c>
    </row>
    <row r="1558" spans="1:16">
      <c r="A1558" t="s">
        <v>78</v>
      </c>
      <c r="B1558">
        <v>2</v>
      </c>
      <c r="E1558" t="s">
        <v>3366</v>
      </c>
      <c r="F1558" t="s">
        <v>3367</v>
      </c>
      <c r="G1558" t="s">
        <v>3368</v>
      </c>
      <c r="I1558" t="s">
        <v>3338</v>
      </c>
      <c r="J1558" t="s">
        <v>2421</v>
      </c>
      <c r="K1558" t="s">
        <v>3354</v>
      </c>
      <c r="L1558" t="s">
        <v>3369</v>
      </c>
      <c r="N1558" t="s">
        <v>3370</v>
      </c>
      <c r="O1558" t="s">
        <v>3359</v>
      </c>
      <c r="P1558">
        <v>41238114</v>
      </c>
    </row>
    <row r="1559" spans="1:16">
      <c r="A1559" t="s">
        <v>78</v>
      </c>
      <c r="B1559">
        <v>2</v>
      </c>
      <c r="E1559" t="s">
        <v>3366</v>
      </c>
      <c r="F1559" t="s">
        <v>3367</v>
      </c>
      <c r="G1559" t="s">
        <v>3368</v>
      </c>
      <c r="I1559" t="s">
        <v>3338</v>
      </c>
      <c r="J1559" t="s">
        <v>2421</v>
      </c>
      <c r="K1559" t="s">
        <v>3354</v>
      </c>
      <c r="L1559" t="s">
        <v>3369</v>
      </c>
      <c r="N1559" t="s">
        <v>3371</v>
      </c>
      <c r="O1559" t="s">
        <v>3372</v>
      </c>
      <c r="P1559">
        <v>41238114</v>
      </c>
    </row>
    <row r="1560" spans="1:16">
      <c r="A1560" t="s">
        <v>78</v>
      </c>
      <c r="B1560">
        <v>2</v>
      </c>
      <c r="E1560" t="s">
        <v>3366</v>
      </c>
      <c r="F1560" t="s">
        <v>3367</v>
      </c>
      <c r="G1560" t="s">
        <v>3368</v>
      </c>
      <c r="I1560" t="s">
        <v>3338</v>
      </c>
      <c r="J1560" t="s">
        <v>2421</v>
      </c>
      <c r="K1560" t="s">
        <v>3354</v>
      </c>
      <c r="L1560" t="s">
        <v>3369</v>
      </c>
      <c r="N1560" t="s">
        <v>3373</v>
      </c>
      <c r="O1560" t="s">
        <v>3374</v>
      </c>
      <c r="P1560">
        <v>41238114</v>
      </c>
    </row>
    <row r="1561" spans="1:16">
      <c r="A1561" t="s">
        <v>78</v>
      </c>
      <c r="B1561">
        <v>2</v>
      </c>
      <c r="E1561" t="s">
        <v>3366</v>
      </c>
      <c r="F1561" t="s">
        <v>3367</v>
      </c>
      <c r="G1561" t="s">
        <v>3368</v>
      </c>
      <c r="I1561" t="s">
        <v>3338</v>
      </c>
      <c r="J1561" t="s">
        <v>2236</v>
      </c>
      <c r="K1561" t="s">
        <v>3362</v>
      </c>
      <c r="L1561" t="s">
        <v>3363</v>
      </c>
      <c r="N1561" t="s">
        <v>3375</v>
      </c>
      <c r="O1561" t="s">
        <v>3376</v>
      </c>
      <c r="P1561">
        <v>41238114</v>
      </c>
    </row>
    <row r="1562" spans="1:16">
      <c r="A1562" t="s">
        <v>78</v>
      </c>
      <c r="B1562">
        <v>0</v>
      </c>
      <c r="G1562" t="s">
        <v>3338</v>
      </c>
      <c r="I1562" t="s">
        <v>3338</v>
      </c>
      <c r="N1562" t="s">
        <v>3377</v>
      </c>
      <c r="O1562" t="s">
        <v>3346</v>
      </c>
      <c r="P1562">
        <v>41238114</v>
      </c>
    </row>
    <row r="1563" spans="1:16">
      <c r="A1563" t="s">
        <v>78</v>
      </c>
      <c r="B1563">
        <v>1</v>
      </c>
      <c r="E1563" t="s">
        <v>3377</v>
      </c>
      <c r="F1563" t="s">
        <v>3346</v>
      </c>
      <c r="G1563" t="s">
        <v>3378</v>
      </c>
      <c r="I1563" t="s">
        <v>3338</v>
      </c>
      <c r="L1563" t="s">
        <v>193</v>
      </c>
      <c r="N1563" t="s">
        <v>3379</v>
      </c>
      <c r="O1563" t="s">
        <v>3380</v>
      </c>
      <c r="P1563">
        <v>41238114</v>
      </c>
    </row>
    <row r="1564" spans="1:16">
      <c r="A1564" t="s">
        <v>78</v>
      </c>
      <c r="B1564">
        <v>2</v>
      </c>
      <c r="E1564" t="s">
        <v>3379</v>
      </c>
      <c r="F1564" t="s">
        <v>3380</v>
      </c>
      <c r="G1564" t="s">
        <v>3381</v>
      </c>
      <c r="I1564" t="s">
        <v>3338</v>
      </c>
      <c r="J1564" t="s">
        <v>2421</v>
      </c>
      <c r="K1564" t="s">
        <v>3354</v>
      </c>
      <c r="L1564" t="s">
        <v>3369</v>
      </c>
      <c r="N1564" t="s">
        <v>3382</v>
      </c>
      <c r="O1564" t="s">
        <v>3352</v>
      </c>
      <c r="P1564">
        <v>41238114</v>
      </c>
    </row>
    <row r="1565" spans="1:16">
      <c r="A1565" t="s">
        <v>78</v>
      </c>
      <c r="B1565">
        <v>2</v>
      </c>
      <c r="E1565" t="s">
        <v>3379</v>
      </c>
      <c r="F1565" t="s">
        <v>3380</v>
      </c>
      <c r="G1565" t="s">
        <v>3381</v>
      </c>
      <c r="I1565" t="s">
        <v>3338</v>
      </c>
      <c r="L1565" t="s">
        <v>3383</v>
      </c>
      <c r="N1565" t="s">
        <v>3384</v>
      </c>
      <c r="O1565" t="s">
        <v>3385</v>
      </c>
      <c r="P1565">
        <v>41238114</v>
      </c>
    </row>
    <row r="1566" spans="1:16">
      <c r="A1566" t="s">
        <v>78</v>
      </c>
      <c r="B1566">
        <v>2</v>
      </c>
      <c r="E1566" t="s">
        <v>3379</v>
      </c>
      <c r="F1566" t="s">
        <v>3380</v>
      </c>
      <c r="G1566" t="s">
        <v>3381</v>
      </c>
      <c r="I1566" t="s">
        <v>3338</v>
      </c>
      <c r="J1566" t="s">
        <v>2232</v>
      </c>
      <c r="K1566" t="s">
        <v>2233</v>
      </c>
      <c r="L1566" t="s">
        <v>3342</v>
      </c>
      <c r="N1566" t="s">
        <v>3386</v>
      </c>
      <c r="O1566" t="s">
        <v>3350</v>
      </c>
      <c r="P1566">
        <v>41238114</v>
      </c>
    </row>
    <row r="1567" spans="1:16">
      <c r="A1567" t="s">
        <v>78</v>
      </c>
      <c r="B1567">
        <v>0</v>
      </c>
      <c r="G1567" t="s">
        <v>3338</v>
      </c>
      <c r="I1567" t="s">
        <v>3338</v>
      </c>
      <c r="N1567" t="s">
        <v>3395</v>
      </c>
      <c r="O1567" t="s">
        <v>3396</v>
      </c>
      <c r="P1567">
        <v>41238114</v>
      </c>
    </row>
    <row r="1568" spans="1:16">
      <c r="A1568" t="s">
        <v>78</v>
      </c>
      <c r="B1568">
        <v>1</v>
      </c>
      <c r="E1568" t="s">
        <v>3395</v>
      </c>
      <c r="F1568" t="s">
        <v>3396</v>
      </c>
      <c r="G1568" t="s">
        <v>3397</v>
      </c>
      <c r="I1568" t="s">
        <v>3338</v>
      </c>
      <c r="L1568" t="s">
        <v>3342</v>
      </c>
      <c r="N1568" t="s">
        <v>3398</v>
      </c>
      <c r="O1568" t="s">
        <v>3399</v>
      </c>
      <c r="P1568">
        <v>41238114</v>
      </c>
    </row>
    <row r="1569" spans="1:16">
      <c r="A1569" t="s">
        <v>78</v>
      </c>
      <c r="B1569">
        <v>1</v>
      </c>
      <c r="E1569" t="s">
        <v>3395</v>
      </c>
      <c r="F1569" t="s">
        <v>3396</v>
      </c>
      <c r="G1569" t="s">
        <v>3397</v>
      </c>
      <c r="I1569" t="s">
        <v>3338</v>
      </c>
      <c r="J1569" t="s">
        <v>2232</v>
      </c>
      <c r="K1569" t="s">
        <v>2233</v>
      </c>
      <c r="L1569" t="s">
        <v>3342</v>
      </c>
      <c r="N1569" t="s">
        <v>3400</v>
      </c>
      <c r="O1569" t="s">
        <v>3401</v>
      </c>
      <c r="P1569">
        <v>41238114</v>
      </c>
    </row>
    <row r="1570" spans="1:16">
      <c r="A1570" t="s">
        <v>78</v>
      </c>
      <c r="B1570">
        <v>1</v>
      </c>
      <c r="E1570" t="s">
        <v>3395</v>
      </c>
      <c r="F1570" t="s">
        <v>3396</v>
      </c>
      <c r="G1570" t="s">
        <v>3397</v>
      </c>
      <c r="I1570" t="s">
        <v>3338</v>
      </c>
      <c r="L1570" t="s">
        <v>3342</v>
      </c>
      <c r="N1570" t="s">
        <v>3402</v>
      </c>
      <c r="O1570" t="s">
        <v>3403</v>
      </c>
      <c r="P1570">
        <v>41238114</v>
      </c>
    </row>
    <row r="1571" spans="1:16">
      <c r="A1571" t="s">
        <v>78</v>
      </c>
      <c r="B1571">
        <v>1</v>
      </c>
      <c r="E1571" t="s">
        <v>3395</v>
      </c>
      <c r="F1571" t="s">
        <v>3396</v>
      </c>
      <c r="G1571" t="s">
        <v>3397</v>
      </c>
      <c r="I1571" t="s">
        <v>3338</v>
      </c>
      <c r="L1571" t="s">
        <v>3342</v>
      </c>
      <c r="N1571" t="s">
        <v>3404</v>
      </c>
      <c r="O1571" t="s">
        <v>3405</v>
      </c>
      <c r="P1571">
        <v>41238114</v>
      </c>
    </row>
    <row r="1572" spans="1:16">
      <c r="A1572" t="s">
        <v>78</v>
      </c>
      <c r="B1572">
        <v>0</v>
      </c>
      <c r="G1572" t="s">
        <v>3338</v>
      </c>
      <c r="I1572" t="s">
        <v>3338</v>
      </c>
      <c r="N1572" t="s">
        <v>3406</v>
      </c>
      <c r="O1572" t="s">
        <v>3407</v>
      </c>
      <c r="P1572">
        <v>41238114</v>
      </c>
    </row>
    <row r="1573" spans="1:16">
      <c r="A1573" t="s">
        <v>78</v>
      </c>
      <c r="B1573">
        <v>1</v>
      </c>
      <c r="E1573" t="s">
        <v>3406</v>
      </c>
      <c r="F1573" t="s">
        <v>3407</v>
      </c>
      <c r="G1573" t="s">
        <v>3408</v>
      </c>
      <c r="I1573" t="s">
        <v>3338</v>
      </c>
      <c r="J1573" t="s">
        <v>2421</v>
      </c>
      <c r="K1573" t="s">
        <v>3354</v>
      </c>
      <c r="L1573" t="s">
        <v>3369</v>
      </c>
      <c r="N1573" t="s">
        <v>3409</v>
      </c>
      <c r="O1573" t="s">
        <v>3410</v>
      </c>
      <c r="P1573">
        <v>41238114</v>
      </c>
    </row>
    <row r="1574" spans="1:16">
      <c r="A1574" t="s">
        <v>78</v>
      </c>
      <c r="B1574">
        <v>1</v>
      </c>
      <c r="E1574" t="s">
        <v>3406</v>
      </c>
      <c r="F1574" t="s">
        <v>3407</v>
      </c>
      <c r="G1574" t="s">
        <v>3408</v>
      </c>
      <c r="I1574" t="s">
        <v>3338</v>
      </c>
      <c r="L1574" t="s">
        <v>193</v>
      </c>
      <c r="N1574" t="s">
        <v>3411</v>
      </c>
      <c r="O1574" t="s">
        <v>3412</v>
      </c>
      <c r="P1574">
        <v>41238114</v>
      </c>
    </row>
    <row r="1575" spans="1:16">
      <c r="A1575" t="s">
        <v>78</v>
      </c>
      <c r="B1575">
        <v>2</v>
      </c>
      <c r="E1575" t="s">
        <v>3411</v>
      </c>
      <c r="F1575" t="s">
        <v>3412</v>
      </c>
      <c r="G1575" t="s">
        <v>3413</v>
      </c>
      <c r="I1575" t="s">
        <v>3338</v>
      </c>
      <c r="L1575" t="s">
        <v>3342</v>
      </c>
      <c r="N1575" t="s">
        <v>3414</v>
      </c>
      <c r="O1575" t="s">
        <v>3415</v>
      </c>
      <c r="P1575">
        <v>41238114</v>
      </c>
    </row>
    <row r="1576" spans="1:16">
      <c r="A1576" t="s">
        <v>78</v>
      </c>
      <c r="B1576">
        <v>2</v>
      </c>
      <c r="E1576" t="s">
        <v>3411</v>
      </c>
      <c r="F1576" t="s">
        <v>3412</v>
      </c>
      <c r="G1576" t="s">
        <v>3413</v>
      </c>
      <c r="I1576" t="s">
        <v>3338</v>
      </c>
      <c r="J1576" t="s">
        <v>2232</v>
      </c>
      <c r="K1576" t="s">
        <v>2233</v>
      </c>
      <c r="L1576" t="s">
        <v>3342</v>
      </c>
      <c r="N1576" t="s">
        <v>3416</v>
      </c>
      <c r="O1576" t="s">
        <v>3417</v>
      </c>
      <c r="P1576">
        <v>41238114</v>
      </c>
    </row>
    <row r="1577" spans="1:16">
      <c r="A1577" t="s">
        <v>78</v>
      </c>
      <c r="B1577">
        <v>2</v>
      </c>
      <c r="E1577" t="s">
        <v>3411</v>
      </c>
      <c r="F1577" t="s">
        <v>3412</v>
      </c>
      <c r="G1577" t="s">
        <v>3413</v>
      </c>
      <c r="I1577" t="s">
        <v>3338</v>
      </c>
      <c r="J1577" t="s">
        <v>2232</v>
      </c>
      <c r="K1577" t="s">
        <v>2233</v>
      </c>
      <c r="L1577" t="s">
        <v>3342</v>
      </c>
      <c r="N1577" t="s">
        <v>3418</v>
      </c>
      <c r="O1577" t="s">
        <v>3419</v>
      </c>
      <c r="P1577">
        <v>41238114</v>
      </c>
    </row>
    <row r="1578" spans="1:16">
      <c r="A1578" t="s">
        <v>78</v>
      </c>
      <c r="B1578">
        <v>2</v>
      </c>
      <c r="E1578" t="s">
        <v>3411</v>
      </c>
      <c r="F1578" t="s">
        <v>3412</v>
      </c>
      <c r="G1578" t="s">
        <v>3413</v>
      </c>
      <c r="I1578" t="s">
        <v>3338</v>
      </c>
      <c r="L1578" t="s">
        <v>3342</v>
      </c>
      <c r="N1578" t="s">
        <v>3420</v>
      </c>
      <c r="O1578" t="s">
        <v>3421</v>
      </c>
      <c r="P1578">
        <v>41238114</v>
      </c>
    </row>
    <row r="1579" spans="1:16">
      <c r="A1579" t="s">
        <v>78</v>
      </c>
      <c r="B1579">
        <v>2</v>
      </c>
      <c r="E1579" t="s">
        <v>3411</v>
      </c>
      <c r="F1579" t="s">
        <v>3412</v>
      </c>
      <c r="G1579" t="s">
        <v>3413</v>
      </c>
      <c r="I1579" t="s">
        <v>3338</v>
      </c>
      <c r="J1579" t="s">
        <v>2232</v>
      </c>
      <c r="K1579" t="s">
        <v>2233</v>
      </c>
      <c r="L1579" t="s">
        <v>3342</v>
      </c>
      <c r="N1579" t="s">
        <v>3422</v>
      </c>
      <c r="O1579" t="s">
        <v>3423</v>
      </c>
      <c r="P1579">
        <v>41238114</v>
      </c>
    </row>
    <row r="1580" spans="1:16">
      <c r="A1580" t="s">
        <v>78</v>
      </c>
      <c r="B1580">
        <v>0</v>
      </c>
      <c r="G1580" t="s">
        <v>3338</v>
      </c>
      <c r="I1580" t="s">
        <v>3338</v>
      </c>
      <c r="N1580" t="s">
        <v>3424</v>
      </c>
      <c r="O1580" t="s">
        <v>3425</v>
      </c>
      <c r="P1580">
        <v>41238114</v>
      </c>
    </row>
    <row r="1581" spans="1:16">
      <c r="A1581" t="s">
        <v>78</v>
      </c>
      <c r="B1581">
        <v>1</v>
      </c>
      <c r="E1581" t="s">
        <v>3424</v>
      </c>
      <c r="F1581" t="s">
        <v>3425</v>
      </c>
      <c r="G1581" t="s">
        <v>3426</v>
      </c>
      <c r="I1581" t="s">
        <v>3338</v>
      </c>
      <c r="J1581" t="s">
        <v>2421</v>
      </c>
      <c r="K1581" t="s">
        <v>3354</v>
      </c>
      <c r="L1581" t="s">
        <v>3369</v>
      </c>
      <c r="N1581" t="s">
        <v>3427</v>
      </c>
      <c r="O1581" t="s">
        <v>3428</v>
      </c>
      <c r="P1581">
        <v>41238114</v>
      </c>
    </row>
    <row r="1582" spans="1:16">
      <c r="A1582" t="s">
        <v>78</v>
      </c>
      <c r="B1582">
        <v>1</v>
      </c>
      <c r="E1582" t="s">
        <v>3424</v>
      </c>
      <c r="F1582" t="s">
        <v>3425</v>
      </c>
      <c r="G1582" t="s">
        <v>3426</v>
      </c>
      <c r="I1582" t="s">
        <v>3338</v>
      </c>
      <c r="J1582" t="s">
        <v>2421</v>
      </c>
      <c r="K1582" t="s">
        <v>3354</v>
      </c>
      <c r="L1582" t="s">
        <v>3369</v>
      </c>
      <c r="N1582" t="s">
        <v>3429</v>
      </c>
      <c r="O1582" t="s">
        <v>3430</v>
      </c>
      <c r="P1582">
        <v>41238114</v>
      </c>
    </row>
    <row r="1583" spans="1:16">
      <c r="A1583" t="s">
        <v>78</v>
      </c>
      <c r="B1583">
        <v>1</v>
      </c>
      <c r="E1583" t="s">
        <v>3424</v>
      </c>
      <c r="F1583" t="s">
        <v>3425</v>
      </c>
      <c r="G1583" t="s">
        <v>3426</v>
      </c>
      <c r="I1583" t="s">
        <v>3338</v>
      </c>
      <c r="J1583" t="s">
        <v>2232</v>
      </c>
      <c r="K1583" t="s">
        <v>2233</v>
      </c>
      <c r="L1583" t="s">
        <v>3342</v>
      </c>
      <c r="N1583" t="s">
        <v>3431</v>
      </c>
      <c r="O1583" t="s">
        <v>3432</v>
      </c>
      <c r="P1583">
        <v>41238114</v>
      </c>
    </row>
    <row r="1584" spans="1:16">
      <c r="A1584" t="s">
        <v>78</v>
      </c>
      <c r="B1584">
        <v>0</v>
      </c>
      <c r="G1584" t="s">
        <v>3338</v>
      </c>
      <c r="I1584" t="s">
        <v>3338</v>
      </c>
      <c r="N1584" t="s">
        <v>3433</v>
      </c>
      <c r="O1584" t="s">
        <v>3434</v>
      </c>
      <c r="P1584">
        <v>41238114</v>
      </c>
    </row>
    <row r="1585" spans="1:16">
      <c r="A1585" t="s">
        <v>78</v>
      </c>
      <c r="B1585">
        <v>1</v>
      </c>
      <c r="E1585" t="s">
        <v>3433</v>
      </c>
      <c r="F1585" t="s">
        <v>3434</v>
      </c>
      <c r="G1585" t="s">
        <v>3435</v>
      </c>
      <c r="I1585" t="s">
        <v>3338</v>
      </c>
      <c r="J1585" t="s">
        <v>2232</v>
      </c>
      <c r="K1585" t="s">
        <v>2233</v>
      </c>
      <c r="L1585" t="s">
        <v>3342</v>
      </c>
      <c r="N1585" t="s">
        <v>3436</v>
      </c>
      <c r="O1585" t="s">
        <v>3437</v>
      </c>
      <c r="P1585">
        <v>41238114</v>
      </c>
    </row>
    <row r="1586" spans="1:16">
      <c r="A1586" t="s">
        <v>78</v>
      </c>
      <c r="B1586">
        <v>1</v>
      </c>
      <c r="E1586" t="s">
        <v>3433</v>
      </c>
      <c r="F1586" t="s">
        <v>3434</v>
      </c>
      <c r="G1586" t="s">
        <v>3435</v>
      </c>
      <c r="I1586" t="s">
        <v>3338</v>
      </c>
      <c r="J1586" t="s">
        <v>2232</v>
      </c>
      <c r="K1586" t="s">
        <v>2233</v>
      </c>
      <c r="L1586" t="s">
        <v>3342</v>
      </c>
      <c r="N1586" t="s">
        <v>3438</v>
      </c>
      <c r="O1586" t="s">
        <v>3439</v>
      </c>
      <c r="P1586">
        <v>41238114</v>
      </c>
    </row>
    <row r="1587" spans="1:16">
      <c r="A1587" t="s">
        <v>78</v>
      </c>
      <c r="B1587">
        <v>1</v>
      </c>
      <c r="E1587" t="s">
        <v>3433</v>
      </c>
      <c r="F1587" t="s">
        <v>3434</v>
      </c>
      <c r="G1587" t="s">
        <v>3435</v>
      </c>
      <c r="I1587" t="s">
        <v>3338</v>
      </c>
      <c r="J1587" t="s">
        <v>2232</v>
      </c>
      <c r="K1587" t="s">
        <v>2233</v>
      </c>
      <c r="L1587" t="s">
        <v>3342</v>
      </c>
      <c r="N1587" t="s">
        <v>3440</v>
      </c>
      <c r="O1587" t="s">
        <v>3441</v>
      </c>
      <c r="P1587">
        <v>41238114</v>
      </c>
    </row>
    <row r="1588" spans="1:16">
      <c r="A1588" t="s">
        <v>78</v>
      </c>
      <c r="B1588">
        <v>1</v>
      </c>
      <c r="E1588" t="s">
        <v>3433</v>
      </c>
      <c r="F1588" t="s">
        <v>3434</v>
      </c>
      <c r="G1588" t="s">
        <v>3435</v>
      </c>
      <c r="I1588" t="s">
        <v>3338</v>
      </c>
      <c r="J1588" t="s">
        <v>2232</v>
      </c>
      <c r="K1588" t="s">
        <v>2233</v>
      </c>
      <c r="L1588" t="s">
        <v>3342</v>
      </c>
      <c r="N1588" t="s">
        <v>3442</v>
      </c>
      <c r="O1588" t="s">
        <v>3443</v>
      </c>
      <c r="P1588">
        <v>41238114</v>
      </c>
    </row>
    <row r="1589" spans="1:16">
      <c r="A1589" t="s">
        <v>78</v>
      </c>
      <c r="B1589">
        <v>1</v>
      </c>
      <c r="E1589" t="s">
        <v>3433</v>
      </c>
      <c r="F1589" t="s">
        <v>3434</v>
      </c>
      <c r="G1589" t="s">
        <v>3435</v>
      </c>
      <c r="I1589" t="s">
        <v>3338</v>
      </c>
      <c r="J1589" t="s">
        <v>2232</v>
      </c>
      <c r="K1589" t="s">
        <v>2233</v>
      </c>
      <c r="L1589" t="s">
        <v>3342</v>
      </c>
      <c r="N1589" t="s">
        <v>3444</v>
      </c>
      <c r="O1589" t="s">
        <v>3445</v>
      </c>
      <c r="P1589">
        <v>41238114</v>
      </c>
    </row>
    <row r="1590" spans="1:16">
      <c r="A1590" t="s">
        <v>78</v>
      </c>
      <c r="B1590">
        <v>1</v>
      </c>
      <c r="E1590" t="s">
        <v>3433</v>
      </c>
      <c r="F1590" t="s">
        <v>3434</v>
      </c>
      <c r="G1590" t="s">
        <v>3435</v>
      </c>
      <c r="I1590" t="s">
        <v>3338</v>
      </c>
      <c r="J1590" t="s">
        <v>2232</v>
      </c>
      <c r="K1590" t="s">
        <v>2233</v>
      </c>
      <c r="L1590" t="s">
        <v>3342</v>
      </c>
      <c r="N1590" t="s">
        <v>3446</v>
      </c>
      <c r="O1590" t="s">
        <v>3447</v>
      </c>
      <c r="P1590">
        <v>41238114</v>
      </c>
    </row>
    <row r="1591" spans="1:16">
      <c r="A1591" t="s">
        <v>78</v>
      </c>
      <c r="B1591">
        <v>0</v>
      </c>
      <c r="G1591" t="s">
        <v>3338</v>
      </c>
      <c r="I1591" t="s">
        <v>3338</v>
      </c>
      <c r="N1591" t="s">
        <v>3448</v>
      </c>
      <c r="O1591" t="s">
        <v>3449</v>
      </c>
      <c r="P1591">
        <v>41238114</v>
      </c>
    </row>
    <row r="1592" spans="1:16">
      <c r="A1592" t="s">
        <v>78</v>
      </c>
      <c r="B1592">
        <v>1</v>
      </c>
      <c r="E1592" t="s">
        <v>3448</v>
      </c>
      <c r="F1592" t="s">
        <v>3449</v>
      </c>
      <c r="G1592" t="s">
        <v>3450</v>
      </c>
      <c r="I1592" t="s">
        <v>3338</v>
      </c>
      <c r="J1592" t="s">
        <v>2421</v>
      </c>
      <c r="K1592" t="s">
        <v>3354</v>
      </c>
      <c r="L1592" t="s">
        <v>3451</v>
      </c>
      <c r="N1592" t="s">
        <v>3452</v>
      </c>
      <c r="O1592" t="s">
        <v>3453</v>
      </c>
      <c r="P1592">
        <v>41238114</v>
      </c>
    </row>
    <row r="1593" spans="1:16">
      <c r="A1593" t="s">
        <v>78</v>
      </c>
      <c r="B1593">
        <v>0</v>
      </c>
      <c r="G1593" t="s">
        <v>3456</v>
      </c>
      <c r="I1593" t="s">
        <v>3456</v>
      </c>
      <c r="M1593" t="s">
        <v>3463</v>
      </c>
      <c r="N1593" t="s">
        <v>3479</v>
      </c>
      <c r="O1593" t="s">
        <v>3480</v>
      </c>
      <c r="P1593">
        <v>41238114</v>
      </c>
    </row>
    <row r="1594" spans="1:16">
      <c r="A1594" t="s">
        <v>78</v>
      </c>
      <c r="B1594">
        <v>0</v>
      </c>
      <c r="G1594" t="s">
        <v>3456</v>
      </c>
      <c r="I1594" t="s">
        <v>3456</v>
      </c>
      <c r="M1594" t="s">
        <v>3463</v>
      </c>
      <c r="N1594" t="s">
        <v>3481</v>
      </c>
      <c r="O1594" t="s">
        <v>3482</v>
      </c>
      <c r="P1594">
        <v>41238114</v>
      </c>
    </row>
    <row r="1595" spans="1:16">
      <c r="A1595" t="s">
        <v>80</v>
      </c>
      <c r="B1595">
        <v>0</v>
      </c>
      <c r="G1595" t="s">
        <v>3338</v>
      </c>
      <c r="I1595" t="s">
        <v>3338</v>
      </c>
      <c r="N1595" t="s">
        <v>3339</v>
      </c>
      <c r="O1595" t="s">
        <v>3340</v>
      </c>
      <c r="P1595">
        <v>41128990</v>
      </c>
    </row>
    <row r="1596" spans="1:16">
      <c r="A1596" t="s">
        <v>80</v>
      </c>
      <c r="B1596">
        <v>1</v>
      </c>
      <c r="E1596" t="s">
        <v>3339</v>
      </c>
      <c r="F1596" t="s">
        <v>3340</v>
      </c>
      <c r="G1596" t="s">
        <v>3341</v>
      </c>
      <c r="I1596" t="s">
        <v>3338</v>
      </c>
      <c r="J1596" t="s">
        <v>2232</v>
      </c>
      <c r="K1596" t="s">
        <v>2233</v>
      </c>
      <c r="L1596" t="s">
        <v>3342</v>
      </c>
      <c r="N1596" t="s">
        <v>3343</v>
      </c>
      <c r="O1596" t="s">
        <v>3344</v>
      </c>
      <c r="P1596">
        <v>41128990</v>
      </c>
    </row>
    <row r="1597" spans="1:16">
      <c r="A1597" t="s">
        <v>80</v>
      </c>
      <c r="B1597">
        <v>1</v>
      </c>
      <c r="E1597" t="s">
        <v>3339</v>
      </c>
      <c r="F1597" t="s">
        <v>3340</v>
      </c>
      <c r="G1597" t="s">
        <v>3341</v>
      </c>
      <c r="I1597" t="s">
        <v>3338</v>
      </c>
      <c r="J1597" t="s">
        <v>2232</v>
      </c>
      <c r="K1597" t="s">
        <v>2233</v>
      </c>
      <c r="L1597" t="s">
        <v>3342</v>
      </c>
      <c r="N1597" t="s">
        <v>3345</v>
      </c>
      <c r="O1597" t="s">
        <v>3346</v>
      </c>
      <c r="P1597">
        <v>41128990</v>
      </c>
    </row>
    <row r="1598" spans="1:16">
      <c r="A1598" t="s">
        <v>80</v>
      </c>
      <c r="B1598">
        <v>0</v>
      </c>
      <c r="G1598" t="s">
        <v>3338</v>
      </c>
      <c r="I1598" t="s">
        <v>3338</v>
      </c>
      <c r="N1598" t="s">
        <v>3347</v>
      </c>
      <c r="O1598" t="s">
        <v>3344</v>
      </c>
      <c r="P1598">
        <v>41128990</v>
      </c>
    </row>
    <row r="1599" spans="1:16">
      <c r="A1599" t="s">
        <v>80</v>
      </c>
      <c r="B1599">
        <v>1</v>
      </c>
      <c r="E1599" t="s">
        <v>3347</v>
      </c>
      <c r="F1599" t="s">
        <v>3344</v>
      </c>
      <c r="G1599" t="s">
        <v>3348</v>
      </c>
      <c r="I1599" t="s">
        <v>3338</v>
      </c>
      <c r="J1599" t="s">
        <v>2232</v>
      </c>
      <c r="K1599" t="s">
        <v>2233</v>
      </c>
      <c r="L1599" t="s">
        <v>3342</v>
      </c>
      <c r="N1599" t="s">
        <v>3349</v>
      </c>
      <c r="O1599" t="s">
        <v>3350</v>
      </c>
      <c r="P1599">
        <v>41128990</v>
      </c>
    </row>
    <row r="1600" spans="1:16">
      <c r="A1600" t="s">
        <v>80</v>
      </c>
      <c r="B1600">
        <v>1</v>
      </c>
      <c r="E1600" t="s">
        <v>3347</v>
      </c>
      <c r="F1600" t="s">
        <v>3344</v>
      </c>
      <c r="G1600" t="s">
        <v>3348</v>
      </c>
      <c r="I1600" t="s">
        <v>3338</v>
      </c>
      <c r="L1600" t="s">
        <v>193</v>
      </c>
      <c r="N1600" t="s">
        <v>3351</v>
      </c>
      <c r="O1600" t="s">
        <v>3352</v>
      </c>
      <c r="P1600">
        <v>41128990</v>
      </c>
    </row>
    <row r="1601" spans="1:16">
      <c r="A1601" t="s">
        <v>80</v>
      </c>
      <c r="B1601">
        <v>2</v>
      </c>
      <c r="E1601" t="s">
        <v>3351</v>
      </c>
      <c r="F1601" t="s">
        <v>3352</v>
      </c>
      <c r="G1601" t="s">
        <v>3353</v>
      </c>
      <c r="I1601" t="s">
        <v>3338</v>
      </c>
      <c r="J1601" t="s">
        <v>2421</v>
      </c>
      <c r="K1601" t="s">
        <v>3354</v>
      </c>
      <c r="L1601" t="s">
        <v>3355</v>
      </c>
      <c r="N1601" t="s">
        <v>3356</v>
      </c>
      <c r="O1601" t="s">
        <v>3357</v>
      </c>
      <c r="P1601">
        <v>41128990</v>
      </c>
    </row>
    <row r="1602" spans="1:16">
      <c r="A1602" t="s">
        <v>80</v>
      </c>
      <c r="B1602">
        <v>2</v>
      </c>
      <c r="E1602" t="s">
        <v>3351</v>
      </c>
      <c r="F1602" t="s">
        <v>3352</v>
      </c>
      <c r="G1602" t="s">
        <v>3353</v>
      </c>
      <c r="I1602" t="s">
        <v>3338</v>
      </c>
      <c r="J1602" t="s">
        <v>2421</v>
      </c>
      <c r="K1602" t="s">
        <v>3354</v>
      </c>
      <c r="L1602" t="s">
        <v>3355</v>
      </c>
      <c r="N1602" t="s">
        <v>3358</v>
      </c>
      <c r="O1602" t="s">
        <v>3359</v>
      </c>
      <c r="P1602">
        <v>41128990</v>
      </c>
    </row>
    <row r="1603" spans="1:16">
      <c r="A1603" t="s">
        <v>80</v>
      </c>
      <c r="B1603">
        <v>2</v>
      </c>
      <c r="E1603" t="s">
        <v>3351</v>
      </c>
      <c r="F1603" t="s">
        <v>3352</v>
      </c>
      <c r="G1603" t="s">
        <v>3353</v>
      </c>
      <c r="I1603" t="s">
        <v>3338</v>
      </c>
      <c r="J1603" t="s">
        <v>2421</v>
      </c>
      <c r="K1603" t="s">
        <v>3354</v>
      </c>
      <c r="L1603" t="s">
        <v>3355</v>
      </c>
      <c r="N1603" t="s">
        <v>3360</v>
      </c>
      <c r="O1603" t="s">
        <v>3361</v>
      </c>
      <c r="P1603">
        <v>41128990</v>
      </c>
    </row>
    <row r="1604" spans="1:16">
      <c r="A1604" t="s">
        <v>80</v>
      </c>
      <c r="B1604">
        <v>1</v>
      </c>
      <c r="E1604" t="s">
        <v>3347</v>
      </c>
      <c r="F1604" t="s">
        <v>3344</v>
      </c>
      <c r="G1604" t="s">
        <v>3348</v>
      </c>
      <c r="I1604" t="s">
        <v>3338</v>
      </c>
      <c r="J1604" t="s">
        <v>2236</v>
      </c>
      <c r="K1604" t="s">
        <v>3362</v>
      </c>
      <c r="L1604" t="s">
        <v>3363</v>
      </c>
      <c r="N1604" t="s">
        <v>3364</v>
      </c>
      <c r="O1604" t="s">
        <v>3365</v>
      </c>
      <c r="P1604">
        <v>41128990</v>
      </c>
    </row>
    <row r="1605" spans="1:16">
      <c r="A1605" t="s">
        <v>80</v>
      </c>
      <c r="B1605">
        <v>1</v>
      </c>
      <c r="E1605" t="s">
        <v>3347</v>
      </c>
      <c r="F1605" t="s">
        <v>3344</v>
      </c>
      <c r="G1605" t="s">
        <v>3348</v>
      </c>
      <c r="I1605" t="s">
        <v>3338</v>
      </c>
      <c r="L1605" t="s">
        <v>193</v>
      </c>
      <c r="N1605" t="s">
        <v>3366</v>
      </c>
      <c r="O1605" t="s">
        <v>3367</v>
      </c>
      <c r="P1605">
        <v>41128990</v>
      </c>
    </row>
    <row r="1606" spans="1:16">
      <c r="A1606" t="s">
        <v>80</v>
      </c>
      <c r="B1606">
        <v>2</v>
      </c>
      <c r="E1606" t="s">
        <v>3366</v>
      </c>
      <c r="F1606" t="s">
        <v>3367</v>
      </c>
      <c r="G1606" t="s">
        <v>3368</v>
      </c>
      <c r="I1606" t="s">
        <v>3338</v>
      </c>
      <c r="J1606" t="s">
        <v>2421</v>
      </c>
      <c r="K1606" t="s">
        <v>3354</v>
      </c>
      <c r="L1606" t="s">
        <v>3369</v>
      </c>
      <c r="N1606" t="s">
        <v>3370</v>
      </c>
      <c r="O1606" t="s">
        <v>3359</v>
      </c>
      <c r="P1606">
        <v>41128990</v>
      </c>
    </row>
    <row r="1607" spans="1:16">
      <c r="A1607" t="s">
        <v>80</v>
      </c>
      <c r="B1607">
        <v>2</v>
      </c>
      <c r="E1607" t="s">
        <v>3366</v>
      </c>
      <c r="F1607" t="s">
        <v>3367</v>
      </c>
      <c r="G1607" t="s">
        <v>3368</v>
      </c>
      <c r="I1607" t="s">
        <v>3338</v>
      </c>
      <c r="J1607" t="s">
        <v>2421</v>
      </c>
      <c r="K1607" t="s">
        <v>3354</v>
      </c>
      <c r="L1607" t="s">
        <v>3369</v>
      </c>
      <c r="N1607" t="s">
        <v>3371</v>
      </c>
      <c r="O1607" t="s">
        <v>3372</v>
      </c>
      <c r="P1607">
        <v>41128990</v>
      </c>
    </row>
    <row r="1608" spans="1:16">
      <c r="A1608" t="s">
        <v>80</v>
      </c>
      <c r="B1608">
        <v>2</v>
      </c>
      <c r="E1608" t="s">
        <v>3366</v>
      </c>
      <c r="F1608" t="s">
        <v>3367</v>
      </c>
      <c r="G1608" t="s">
        <v>3368</v>
      </c>
      <c r="I1608" t="s">
        <v>3338</v>
      </c>
      <c r="J1608" t="s">
        <v>2421</v>
      </c>
      <c r="K1608" t="s">
        <v>3354</v>
      </c>
      <c r="L1608" t="s">
        <v>3369</v>
      </c>
      <c r="N1608" t="s">
        <v>3373</v>
      </c>
      <c r="O1608" t="s">
        <v>3374</v>
      </c>
      <c r="P1608">
        <v>41128990</v>
      </c>
    </row>
    <row r="1609" spans="1:16">
      <c r="A1609" t="s">
        <v>80</v>
      </c>
      <c r="B1609">
        <v>2</v>
      </c>
      <c r="E1609" t="s">
        <v>3366</v>
      </c>
      <c r="F1609" t="s">
        <v>3367</v>
      </c>
      <c r="G1609" t="s">
        <v>3368</v>
      </c>
      <c r="I1609" t="s">
        <v>3338</v>
      </c>
      <c r="J1609" t="s">
        <v>2236</v>
      </c>
      <c r="K1609" t="s">
        <v>3362</v>
      </c>
      <c r="L1609" t="s">
        <v>3363</v>
      </c>
      <c r="N1609" t="s">
        <v>3375</v>
      </c>
      <c r="O1609" t="s">
        <v>3376</v>
      </c>
      <c r="P1609">
        <v>41128990</v>
      </c>
    </row>
    <row r="1610" spans="1:16">
      <c r="A1610" t="s">
        <v>80</v>
      </c>
      <c r="B1610">
        <v>0</v>
      </c>
      <c r="G1610" t="s">
        <v>3338</v>
      </c>
      <c r="I1610" t="s">
        <v>3338</v>
      </c>
      <c r="N1610" t="s">
        <v>3377</v>
      </c>
      <c r="O1610" t="s">
        <v>3346</v>
      </c>
      <c r="P1610">
        <v>41128990</v>
      </c>
    </row>
    <row r="1611" spans="1:16">
      <c r="A1611" t="s">
        <v>80</v>
      </c>
      <c r="B1611">
        <v>1</v>
      </c>
      <c r="E1611" t="s">
        <v>3377</v>
      </c>
      <c r="F1611" t="s">
        <v>3346</v>
      </c>
      <c r="G1611" t="s">
        <v>3378</v>
      </c>
      <c r="I1611" t="s">
        <v>3338</v>
      </c>
      <c r="L1611" t="s">
        <v>193</v>
      </c>
      <c r="N1611" t="s">
        <v>3379</v>
      </c>
      <c r="O1611" t="s">
        <v>3380</v>
      </c>
      <c r="P1611">
        <v>41128990</v>
      </c>
    </row>
    <row r="1612" spans="1:16">
      <c r="A1612" t="s">
        <v>80</v>
      </c>
      <c r="B1612">
        <v>2</v>
      </c>
      <c r="E1612" t="s">
        <v>3379</v>
      </c>
      <c r="F1612" t="s">
        <v>3380</v>
      </c>
      <c r="G1612" t="s">
        <v>3381</v>
      </c>
      <c r="I1612" t="s">
        <v>3338</v>
      </c>
      <c r="J1612" t="s">
        <v>2421</v>
      </c>
      <c r="K1612" t="s">
        <v>3354</v>
      </c>
      <c r="L1612" t="s">
        <v>3369</v>
      </c>
      <c r="N1612" t="s">
        <v>3382</v>
      </c>
      <c r="O1612" t="s">
        <v>3352</v>
      </c>
      <c r="P1612">
        <v>41128990</v>
      </c>
    </row>
    <row r="1613" spans="1:16">
      <c r="A1613" t="s">
        <v>80</v>
      </c>
      <c r="B1613">
        <v>2</v>
      </c>
      <c r="E1613" t="s">
        <v>3379</v>
      </c>
      <c r="F1613" t="s">
        <v>3380</v>
      </c>
      <c r="G1613" t="s">
        <v>3381</v>
      </c>
      <c r="I1613" t="s">
        <v>3338</v>
      </c>
      <c r="J1613" t="s">
        <v>2236</v>
      </c>
      <c r="K1613" t="s">
        <v>3362</v>
      </c>
      <c r="L1613" t="s">
        <v>3383</v>
      </c>
      <c r="N1613" t="s">
        <v>3384</v>
      </c>
      <c r="O1613" t="s">
        <v>3385</v>
      </c>
      <c r="P1613">
        <v>41128990</v>
      </c>
    </row>
    <row r="1614" spans="1:16">
      <c r="A1614" t="s">
        <v>80</v>
      </c>
      <c r="B1614">
        <v>2</v>
      </c>
      <c r="E1614" t="s">
        <v>3379</v>
      </c>
      <c r="F1614" t="s">
        <v>3380</v>
      </c>
      <c r="G1614" t="s">
        <v>3381</v>
      </c>
      <c r="I1614" t="s">
        <v>3338</v>
      </c>
      <c r="J1614" t="s">
        <v>2232</v>
      </c>
      <c r="K1614" t="s">
        <v>2233</v>
      </c>
      <c r="L1614" t="s">
        <v>3342</v>
      </c>
      <c r="N1614" t="s">
        <v>3386</v>
      </c>
      <c r="O1614" t="s">
        <v>3350</v>
      </c>
      <c r="P1614">
        <v>41128990</v>
      </c>
    </row>
    <row r="1615" spans="1:16">
      <c r="A1615" t="s">
        <v>80</v>
      </c>
      <c r="B1615">
        <v>1</v>
      </c>
      <c r="E1615" t="s">
        <v>3377</v>
      </c>
      <c r="F1615" t="s">
        <v>3346</v>
      </c>
      <c r="G1615" t="s">
        <v>3378</v>
      </c>
      <c r="I1615" t="s">
        <v>3338</v>
      </c>
      <c r="L1615" t="s">
        <v>193</v>
      </c>
      <c r="N1615" t="s">
        <v>3387</v>
      </c>
      <c r="O1615" t="s">
        <v>3388</v>
      </c>
      <c r="P1615">
        <v>41128990</v>
      </c>
    </row>
    <row r="1616" spans="1:16">
      <c r="A1616" t="s">
        <v>80</v>
      </c>
      <c r="B1616">
        <v>2</v>
      </c>
      <c r="E1616" t="s">
        <v>3387</v>
      </c>
      <c r="F1616" t="s">
        <v>3388</v>
      </c>
      <c r="G1616" t="s">
        <v>3389</v>
      </c>
      <c r="I1616" t="s">
        <v>3338</v>
      </c>
      <c r="L1616" t="s">
        <v>3369</v>
      </c>
      <c r="N1616" t="s">
        <v>3390</v>
      </c>
      <c r="O1616" t="s">
        <v>3352</v>
      </c>
      <c r="P1616">
        <v>41128990</v>
      </c>
    </row>
    <row r="1617" spans="1:16">
      <c r="A1617" t="s">
        <v>80</v>
      </c>
      <c r="B1617">
        <v>2</v>
      </c>
      <c r="E1617" t="s">
        <v>3387</v>
      </c>
      <c r="F1617" t="s">
        <v>3388</v>
      </c>
      <c r="G1617" t="s">
        <v>3389</v>
      </c>
      <c r="I1617" t="s">
        <v>3338</v>
      </c>
      <c r="L1617" t="s">
        <v>3342</v>
      </c>
      <c r="N1617" t="s">
        <v>3391</v>
      </c>
      <c r="O1617" t="s">
        <v>3392</v>
      </c>
      <c r="P1617">
        <v>41128990</v>
      </c>
    </row>
    <row r="1618" spans="1:16">
      <c r="A1618" t="s">
        <v>80</v>
      </c>
      <c r="B1618">
        <v>2</v>
      </c>
      <c r="E1618" t="s">
        <v>3387</v>
      </c>
      <c r="F1618" t="s">
        <v>3388</v>
      </c>
      <c r="G1618" t="s">
        <v>3389</v>
      </c>
      <c r="I1618" t="s">
        <v>3338</v>
      </c>
      <c r="L1618" t="s">
        <v>3383</v>
      </c>
      <c r="N1618" t="s">
        <v>3393</v>
      </c>
      <c r="O1618" t="s">
        <v>3385</v>
      </c>
      <c r="P1618">
        <v>41128990</v>
      </c>
    </row>
    <row r="1619" spans="1:16">
      <c r="A1619" t="s">
        <v>80</v>
      </c>
      <c r="B1619">
        <v>2</v>
      </c>
      <c r="E1619" t="s">
        <v>3387</v>
      </c>
      <c r="F1619" t="s">
        <v>3388</v>
      </c>
      <c r="G1619" t="s">
        <v>3389</v>
      </c>
      <c r="I1619" t="s">
        <v>3338</v>
      </c>
      <c r="L1619" t="s">
        <v>3342</v>
      </c>
      <c r="N1619" t="s">
        <v>3394</v>
      </c>
      <c r="O1619" t="s">
        <v>3350</v>
      </c>
      <c r="P1619">
        <v>41128990</v>
      </c>
    </row>
    <row r="1620" spans="1:16">
      <c r="A1620" t="s">
        <v>80</v>
      </c>
      <c r="B1620">
        <v>0</v>
      </c>
      <c r="G1620" t="s">
        <v>3338</v>
      </c>
      <c r="I1620" t="s">
        <v>3338</v>
      </c>
      <c r="N1620" t="s">
        <v>3395</v>
      </c>
      <c r="O1620" t="s">
        <v>3396</v>
      </c>
      <c r="P1620">
        <v>41128990</v>
      </c>
    </row>
    <row r="1621" spans="1:16">
      <c r="A1621" t="s">
        <v>80</v>
      </c>
      <c r="B1621">
        <v>1</v>
      </c>
      <c r="E1621" t="s">
        <v>3395</v>
      </c>
      <c r="F1621" t="s">
        <v>3396</v>
      </c>
      <c r="G1621" t="s">
        <v>3397</v>
      </c>
      <c r="I1621" t="s">
        <v>3338</v>
      </c>
      <c r="J1621" t="s">
        <v>2232</v>
      </c>
      <c r="K1621" t="s">
        <v>2233</v>
      </c>
      <c r="L1621" t="s">
        <v>3342</v>
      </c>
      <c r="N1621" t="s">
        <v>3398</v>
      </c>
      <c r="O1621" t="s">
        <v>3399</v>
      </c>
      <c r="P1621">
        <v>41128990</v>
      </c>
    </row>
    <row r="1622" spans="1:16">
      <c r="A1622" t="s">
        <v>80</v>
      </c>
      <c r="B1622">
        <v>1</v>
      </c>
      <c r="E1622" t="s">
        <v>3395</v>
      </c>
      <c r="F1622" t="s">
        <v>3396</v>
      </c>
      <c r="G1622" t="s">
        <v>3397</v>
      </c>
      <c r="I1622" t="s">
        <v>3338</v>
      </c>
      <c r="J1622" t="s">
        <v>2232</v>
      </c>
      <c r="K1622" t="s">
        <v>2233</v>
      </c>
      <c r="L1622" t="s">
        <v>3342</v>
      </c>
      <c r="N1622" t="s">
        <v>3400</v>
      </c>
      <c r="O1622" t="s">
        <v>3401</v>
      </c>
      <c r="P1622">
        <v>41128990</v>
      </c>
    </row>
    <row r="1623" spans="1:16">
      <c r="A1623" t="s">
        <v>80</v>
      </c>
      <c r="B1623">
        <v>1</v>
      </c>
      <c r="E1623" t="s">
        <v>3395</v>
      </c>
      <c r="F1623" t="s">
        <v>3396</v>
      </c>
      <c r="G1623" t="s">
        <v>3397</v>
      </c>
      <c r="I1623" t="s">
        <v>3338</v>
      </c>
      <c r="J1623" t="s">
        <v>2232</v>
      </c>
      <c r="K1623" t="s">
        <v>2233</v>
      </c>
      <c r="L1623" t="s">
        <v>3342</v>
      </c>
      <c r="N1623" t="s">
        <v>3402</v>
      </c>
      <c r="O1623" t="s">
        <v>3403</v>
      </c>
      <c r="P1623">
        <v>41128990</v>
      </c>
    </row>
    <row r="1624" spans="1:16">
      <c r="A1624" t="s">
        <v>80</v>
      </c>
      <c r="B1624">
        <v>1</v>
      </c>
      <c r="E1624" t="s">
        <v>3395</v>
      </c>
      <c r="F1624" t="s">
        <v>3396</v>
      </c>
      <c r="G1624" t="s">
        <v>3397</v>
      </c>
      <c r="I1624" t="s">
        <v>3338</v>
      </c>
      <c r="J1624" t="s">
        <v>2232</v>
      </c>
      <c r="K1624" t="s">
        <v>2233</v>
      </c>
      <c r="L1624" t="s">
        <v>3342</v>
      </c>
      <c r="N1624" t="s">
        <v>3404</v>
      </c>
      <c r="O1624" t="s">
        <v>3405</v>
      </c>
      <c r="P1624">
        <v>41128990</v>
      </c>
    </row>
    <row r="1625" spans="1:16">
      <c r="A1625" t="s">
        <v>80</v>
      </c>
      <c r="B1625">
        <v>0</v>
      </c>
      <c r="G1625" t="s">
        <v>3338</v>
      </c>
      <c r="I1625" t="s">
        <v>3338</v>
      </c>
      <c r="N1625" t="s">
        <v>3406</v>
      </c>
      <c r="O1625" t="s">
        <v>3407</v>
      </c>
      <c r="P1625">
        <v>41128990</v>
      </c>
    </row>
    <row r="1626" spans="1:16">
      <c r="A1626" t="s">
        <v>80</v>
      </c>
      <c r="B1626">
        <v>1</v>
      </c>
      <c r="E1626" t="s">
        <v>3406</v>
      </c>
      <c r="F1626" t="s">
        <v>3407</v>
      </c>
      <c r="G1626" t="s">
        <v>3408</v>
      </c>
      <c r="I1626" t="s">
        <v>3338</v>
      </c>
      <c r="J1626" t="s">
        <v>2421</v>
      </c>
      <c r="K1626" t="s">
        <v>3354</v>
      </c>
      <c r="L1626" t="s">
        <v>3369</v>
      </c>
      <c r="N1626" t="s">
        <v>3409</v>
      </c>
      <c r="O1626" t="s">
        <v>3410</v>
      </c>
      <c r="P1626">
        <v>41128990</v>
      </c>
    </row>
    <row r="1627" spans="1:16">
      <c r="A1627" t="s">
        <v>80</v>
      </c>
      <c r="B1627">
        <v>1</v>
      </c>
      <c r="E1627" t="s">
        <v>3406</v>
      </c>
      <c r="F1627" t="s">
        <v>3407</v>
      </c>
      <c r="G1627" t="s">
        <v>3408</v>
      </c>
      <c r="I1627" t="s">
        <v>3338</v>
      </c>
      <c r="L1627" t="s">
        <v>193</v>
      </c>
      <c r="N1627" t="s">
        <v>3411</v>
      </c>
      <c r="O1627" t="s">
        <v>3412</v>
      </c>
      <c r="P1627">
        <v>41128990</v>
      </c>
    </row>
    <row r="1628" spans="1:16">
      <c r="A1628" t="s">
        <v>80</v>
      </c>
      <c r="B1628">
        <v>2</v>
      </c>
      <c r="E1628" t="s">
        <v>3411</v>
      </c>
      <c r="F1628" t="s">
        <v>3412</v>
      </c>
      <c r="G1628" t="s">
        <v>3413</v>
      </c>
      <c r="I1628" t="s">
        <v>3338</v>
      </c>
      <c r="J1628" t="s">
        <v>2232</v>
      </c>
      <c r="K1628" t="s">
        <v>2233</v>
      </c>
      <c r="L1628" t="s">
        <v>3342</v>
      </c>
      <c r="N1628" t="s">
        <v>3414</v>
      </c>
      <c r="O1628" t="s">
        <v>3415</v>
      </c>
      <c r="P1628">
        <v>41128990</v>
      </c>
    </row>
    <row r="1629" spans="1:16">
      <c r="A1629" t="s">
        <v>80</v>
      </c>
      <c r="B1629">
        <v>2</v>
      </c>
      <c r="E1629" t="s">
        <v>3411</v>
      </c>
      <c r="F1629" t="s">
        <v>3412</v>
      </c>
      <c r="G1629" t="s">
        <v>3413</v>
      </c>
      <c r="I1629" t="s">
        <v>3338</v>
      </c>
      <c r="J1629" t="s">
        <v>2232</v>
      </c>
      <c r="K1629" t="s">
        <v>2233</v>
      </c>
      <c r="L1629" t="s">
        <v>3342</v>
      </c>
      <c r="N1629" t="s">
        <v>3416</v>
      </c>
      <c r="O1629" t="s">
        <v>3417</v>
      </c>
      <c r="P1629">
        <v>41128990</v>
      </c>
    </row>
    <row r="1630" spans="1:16">
      <c r="A1630" t="s">
        <v>80</v>
      </c>
      <c r="B1630">
        <v>2</v>
      </c>
      <c r="E1630" t="s">
        <v>3411</v>
      </c>
      <c r="F1630" t="s">
        <v>3412</v>
      </c>
      <c r="G1630" t="s">
        <v>3413</v>
      </c>
      <c r="I1630" t="s">
        <v>3338</v>
      </c>
      <c r="J1630" t="s">
        <v>2232</v>
      </c>
      <c r="K1630" t="s">
        <v>2233</v>
      </c>
      <c r="L1630" t="s">
        <v>3342</v>
      </c>
      <c r="N1630" t="s">
        <v>3418</v>
      </c>
      <c r="O1630" t="s">
        <v>3419</v>
      </c>
      <c r="P1630">
        <v>41128990</v>
      </c>
    </row>
    <row r="1631" spans="1:16">
      <c r="A1631" t="s">
        <v>80</v>
      </c>
      <c r="B1631">
        <v>2</v>
      </c>
      <c r="E1631" t="s">
        <v>3411</v>
      </c>
      <c r="F1631" t="s">
        <v>3412</v>
      </c>
      <c r="G1631" t="s">
        <v>3413</v>
      </c>
      <c r="I1631" t="s">
        <v>3338</v>
      </c>
      <c r="J1631" t="s">
        <v>2232</v>
      </c>
      <c r="K1631" t="s">
        <v>2233</v>
      </c>
      <c r="L1631" t="s">
        <v>3342</v>
      </c>
      <c r="N1631" t="s">
        <v>3420</v>
      </c>
      <c r="O1631" t="s">
        <v>3421</v>
      </c>
      <c r="P1631">
        <v>41128990</v>
      </c>
    </row>
    <row r="1632" spans="1:16">
      <c r="A1632" t="s">
        <v>80</v>
      </c>
      <c r="B1632">
        <v>2</v>
      </c>
      <c r="E1632" t="s">
        <v>3411</v>
      </c>
      <c r="F1632" t="s">
        <v>3412</v>
      </c>
      <c r="G1632" t="s">
        <v>3413</v>
      </c>
      <c r="I1632" t="s">
        <v>3338</v>
      </c>
      <c r="J1632" t="s">
        <v>2232</v>
      </c>
      <c r="K1632" t="s">
        <v>2233</v>
      </c>
      <c r="L1632" t="s">
        <v>3342</v>
      </c>
      <c r="N1632" t="s">
        <v>3422</v>
      </c>
      <c r="O1632" t="s">
        <v>3423</v>
      </c>
      <c r="P1632">
        <v>41128990</v>
      </c>
    </row>
    <row r="1633" spans="1:16">
      <c r="A1633" t="s">
        <v>80</v>
      </c>
      <c r="B1633">
        <v>0</v>
      </c>
      <c r="G1633" t="s">
        <v>3338</v>
      </c>
      <c r="I1633" t="s">
        <v>3338</v>
      </c>
      <c r="N1633" t="s">
        <v>3424</v>
      </c>
      <c r="O1633" t="s">
        <v>3425</v>
      </c>
      <c r="P1633">
        <v>41128990</v>
      </c>
    </row>
    <row r="1634" spans="1:16">
      <c r="A1634" t="s">
        <v>80</v>
      </c>
      <c r="B1634">
        <v>1</v>
      </c>
      <c r="E1634" t="s">
        <v>3424</v>
      </c>
      <c r="F1634" t="s">
        <v>3425</v>
      </c>
      <c r="G1634" t="s">
        <v>3426</v>
      </c>
      <c r="I1634" t="s">
        <v>3338</v>
      </c>
      <c r="J1634" t="s">
        <v>2421</v>
      </c>
      <c r="K1634" t="s">
        <v>3354</v>
      </c>
      <c r="L1634" t="s">
        <v>3369</v>
      </c>
      <c r="N1634" t="s">
        <v>3427</v>
      </c>
      <c r="O1634" t="s">
        <v>3428</v>
      </c>
      <c r="P1634">
        <v>41128990</v>
      </c>
    </row>
    <row r="1635" spans="1:16">
      <c r="A1635" t="s">
        <v>80</v>
      </c>
      <c r="B1635">
        <v>1</v>
      </c>
      <c r="E1635" t="s">
        <v>3424</v>
      </c>
      <c r="F1635" t="s">
        <v>3425</v>
      </c>
      <c r="G1635" t="s">
        <v>3426</v>
      </c>
      <c r="I1635" t="s">
        <v>3338</v>
      </c>
      <c r="J1635" t="s">
        <v>2421</v>
      </c>
      <c r="K1635" t="s">
        <v>3354</v>
      </c>
      <c r="L1635" t="s">
        <v>3369</v>
      </c>
      <c r="N1635" t="s">
        <v>3429</v>
      </c>
      <c r="O1635" t="s">
        <v>3430</v>
      </c>
      <c r="P1635">
        <v>41128990</v>
      </c>
    </row>
    <row r="1636" spans="1:16">
      <c r="A1636" t="s">
        <v>80</v>
      </c>
      <c r="B1636">
        <v>1</v>
      </c>
      <c r="E1636" t="s">
        <v>3424</v>
      </c>
      <c r="F1636" t="s">
        <v>3425</v>
      </c>
      <c r="G1636" t="s">
        <v>3426</v>
      </c>
      <c r="I1636" t="s">
        <v>3338</v>
      </c>
      <c r="J1636" t="s">
        <v>2232</v>
      </c>
      <c r="K1636" t="s">
        <v>2233</v>
      </c>
      <c r="L1636" t="s">
        <v>3342</v>
      </c>
      <c r="N1636" t="s">
        <v>3431</v>
      </c>
      <c r="O1636" t="s">
        <v>3432</v>
      </c>
      <c r="P1636">
        <v>41128990</v>
      </c>
    </row>
    <row r="1637" spans="1:16">
      <c r="A1637" t="s">
        <v>80</v>
      </c>
      <c r="B1637">
        <v>0</v>
      </c>
      <c r="G1637" t="s">
        <v>3338</v>
      </c>
      <c r="I1637" t="s">
        <v>3338</v>
      </c>
      <c r="N1637" t="s">
        <v>3433</v>
      </c>
      <c r="O1637" t="s">
        <v>3434</v>
      </c>
      <c r="P1637">
        <v>41128990</v>
      </c>
    </row>
    <row r="1638" spans="1:16">
      <c r="A1638" t="s">
        <v>80</v>
      </c>
      <c r="B1638">
        <v>1</v>
      </c>
      <c r="E1638" t="s">
        <v>3433</v>
      </c>
      <c r="F1638" t="s">
        <v>3434</v>
      </c>
      <c r="G1638" t="s">
        <v>3435</v>
      </c>
      <c r="I1638" t="s">
        <v>3338</v>
      </c>
      <c r="J1638" t="s">
        <v>2232</v>
      </c>
      <c r="K1638" t="s">
        <v>2233</v>
      </c>
      <c r="L1638" t="s">
        <v>3342</v>
      </c>
      <c r="N1638" t="s">
        <v>3436</v>
      </c>
      <c r="O1638" t="s">
        <v>3437</v>
      </c>
      <c r="P1638">
        <v>41128990</v>
      </c>
    </row>
    <row r="1639" spans="1:16">
      <c r="A1639" t="s">
        <v>80</v>
      </c>
      <c r="B1639">
        <v>1</v>
      </c>
      <c r="E1639" t="s">
        <v>3433</v>
      </c>
      <c r="F1639" t="s">
        <v>3434</v>
      </c>
      <c r="G1639" t="s">
        <v>3435</v>
      </c>
      <c r="I1639" t="s">
        <v>3338</v>
      </c>
      <c r="J1639" t="s">
        <v>2232</v>
      </c>
      <c r="K1639" t="s">
        <v>2233</v>
      </c>
      <c r="L1639" t="s">
        <v>3342</v>
      </c>
      <c r="N1639" t="s">
        <v>3438</v>
      </c>
      <c r="O1639" t="s">
        <v>3439</v>
      </c>
      <c r="P1639">
        <v>41128990</v>
      </c>
    </row>
    <row r="1640" spans="1:16">
      <c r="A1640" t="s">
        <v>80</v>
      </c>
      <c r="B1640">
        <v>1</v>
      </c>
      <c r="E1640" t="s">
        <v>3433</v>
      </c>
      <c r="F1640" t="s">
        <v>3434</v>
      </c>
      <c r="G1640" t="s">
        <v>3435</v>
      </c>
      <c r="I1640" t="s">
        <v>3338</v>
      </c>
      <c r="J1640" t="s">
        <v>2232</v>
      </c>
      <c r="K1640" t="s">
        <v>2233</v>
      </c>
      <c r="L1640" t="s">
        <v>3342</v>
      </c>
      <c r="N1640" t="s">
        <v>3440</v>
      </c>
      <c r="O1640" t="s">
        <v>3441</v>
      </c>
      <c r="P1640">
        <v>41128990</v>
      </c>
    </row>
    <row r="1641" spans="1:16">
      <c r="A1641" t="s">
        <v>80</v>
      </c>
      <c r="B1641">
        <v>1</v>
      </c>
      <c r="E1641" t="s">
        <v>3433</v>
      </c>
      <c r="F1641" t="s">
        <v>3434</v>
      </c>
      <c r="G1641" t="s">
        <v>3435</v>
      </c>
      <c r="I1641" t="s">
        <v>3338</v>
      </c>
      <c r="J1641" t="s">
        <v>2232</v>
      </c>
      <c r="K1641" t="s">
        <v>2233</v>
      </c>
      <c r="L1641" t="s">
        <v>3342</v>
      </c>
      <c r="N1641" t="s">
        <v>3442</v>
      </c>
      <c r="O1641" t="s">
        <v>3443</v>
      </c>
      <c r="P1641">
        <v>41128990</v>
      </c>
    </row>
    <row r="1642" spans="1:16">
      <c r="A1642" t="s">
        <v>80</v>
      </c>
      <c r="B1642">
        <v>1</v>
      </c>
      <c r="E1642" t="s">
        <v>3433</v>
      </c>
      <c r="F1642" t="s">
        <v>3434</v>
      </c>
      <c r="G1642" t="s">
        <v>3435</v>
      </c>
      <c r="I1642" t="s">
        <v>3338</v>
      </c>
      <c r="J1642" t="s">
        <v>2232</v>
      </c>
      <c r="K1642" t="s">
        <v>2233</v>
      </c>
      <c r="L1642" t="s">
        <v>3342</v>
      </c>
      <c r="N1642" t="s">
        <v>3444</v>
      </c>
      <c r="O1642" t="s">
        <v>3445</v>
      </c>
      <c r="P1642">
        <v>41128990</v>
      </c>
    </row>
    <row r="1643" spans="1:16">
      <c r="A1643" t="s">
        <v>80</v>
      </c>
      <c r="B1643">
        <v>1</v>
      </c>
      <c r="E1643" t="s">
        <v>3433</v>
      </c>
      <c r="F1643" t="s">
        <v>3434</v>
      </c>
      <c r="G1643" t="s">
        <v>3435</v>
      </c>
      <c r="I1643" t="s">
        <v>3338</v>
      </c>
      <c r="J1643" t="s">
        <v>2232</v>
      </c>
      <c r="K1643" t="s">
        <v>2233</v>
      </c>
      <c r="L1643" t="s">
        <v>3342</v>
      </c>
      <c r="N1643" t="s">
        <v>3446</v>
      </c>
      <c r="O1643" t="s">
        <v>3447</v>
      </c>
      <c r="P1643">
        <v>41128990</v>
      </c>
    </row>
    <row r="1644" spans="1:16">
      <c r="A1644" t="s">
        <v>80</v>
      </c>
      <c r="B1644">
        <v>0</v>
      </c>
      <c r="G1644" t="s">
        <v>3338</v>
      </c>
      <c r="I1644" t="s">
        <v>3338</v>
      </c>
      <c r="N1644" t="s">
        <v>3470</v>
      </c>
      <c r="O1644" t="s">
        <v>3471</v>
      </c>
      <c r="P1644">
        <v>41128990</v>
      </c>
    </row>
    <row r="1645" spans="1:16">
      <c r="A1645" t="s">
        <v>80</v>
      </c>
      <c r="B1645">
        <v>1</v>
      </c>
      <c r="E1645" t="s">
        <v>3470</v>
      </c>
      <c r="F1645" t="s">
        <v>3471</v>
      </c>
      <c r="G1645" t="s">
        <v>3472</v>
      </c>
      <c r="I1645" t="s">
        <v>3338</v>
      </c>
      <c r="J1645" t="s">
        <v>2232</v>
      </c>
      <c r="K1645" t="s">
        <v>2233</v>
      </c>
      <c r="L1645" t="s">
        <v>3342</v>
      </c>
      <c r="N1645" t="s">
        <v>3473</v>
      </c>
      <c r="O1645" t="s">
        <v>3474</v>
      </c>
      <c r="P1645">
        <v>41128990</v>
      </c>
    </row>
    <row r="1646" spans="1:16">
      <c r="A1646" t="s">
        <v>80</v>
      </c>
      <c r="B1646">
        <v>1</v>
      </c>
      <c r="E1646" t="s">
        <v>3470</v>
      </c>
      <c r="F1646" t="s">
        <v>3471</v>
      </c>
      <c r="G1646" t="s">
        <v>3472</v>
      </c>
      <c r="I1646" t="s">
        <v>3338</v>
      </c>
      <c r="J1646" t="s">
        <v>2232</v>
      </c>
      <c r="K1646" t="s">
        <v>2233</v>
      </c>
      <c r="L1646" t="s">
        <v>3342</v>
      </c>
      <c r="N1646" t="s">
        <v>3475</v>
      </c>
      <c r="O1646" t="s">
        <v>3476</v>
      </c>
      <c r="P1646">
        <v>41128990</v>
      </c>
    </row>
    <row r="1647" spans="1:16">
      <c r="A1647" t="s">
        <v>80</v>
      </c>
      <c r="B1647">
        <v>1</v>
      </c>
      <c r="E1647" t="s">
        <v>3470</v>
      </c>
      <c r="F1647" t="s">
        <v>3471</v>
      </c>
      <c r="G1647" t="s">
        <v>3472</v>
      </c>
      <c r="I1647" t="s">
        <v>3338</v>
      </c>
      <c r="J1647" t="s">
        <v>2232</v>
      </c>
      <c r="K1647" t="s">
        <v>2233</v>
      </c>
      <c r="L1647" t="s">
        <v>3342</v>
      </c>
      <c r="N1647" t="s">
        <v>3477</v>
      </c>
      <c r="O1647" t="s">
        <v>3478</v>
      </c>
      <c r="P1647">
        <v>41128990</v>
      </c>
    </row>
    <row r="1648" spans="1:16">
      <c r="A1648" t="s">
        <v>80</v>
      </c>
      <c r="B1648">
        <v>0</v>
      </c>
      <c r="G1648" t="s">
        <v>3338</v>
      </c>
      <c r="I1648" t="s">
        <v>3338</v>
      </c>
      <c r="N1648" t="s">
        <v>3448</v>
      </c>
      <c r="O1648" t="s">
        <v>3449</v>
      </c>
      <c r="P1648">
        <v>41128990</v>
      </c>
    </row>
    <row r="1649" spans="1:16">
      <c r="A1649" t="s">
        <v>80</v>
      </c>
      <c r="B1649">
        <v>1</v>
      </c>
      <c r="E1649" t="s">
        <v>3448</v>
      </c>
      <c r="F1649" t="s">
        <v>3449</v>
      </c>
      <c r="G1649" t="s">
        <v>3450</v>
      </c>
      <c r="I1649" t="s">
        <v>3338</v>
      </c>
      <c r="J1649" t="s">
        <v>2421</v>
      </c>
      <c r="K1649" t="s">
        <v>3354</v>
      </c>
      <c r="L1649" t="s">
        <v>3451</v>
      </c>
      <c r="N1649" t="s">
        <v>3452</v>
      </c>
      <c r="O1649" t="s">
        <v>3453</v>
      </c>
      <c r="P1649">
        <v>41128990</v>
      </c>
    </row>
    <row r="1650" spans="1:16">
      <c r="A1650" t="s">
        <v>82</v>
      </c>
      <c r="B1650">
        <v>0</v>
      </c>
      <c r="G1650" t="s">
        <v>3338</v>
      </c>
      <c r="I1650" t="s">
        <v>3338</v>
      </c>
      <c r="N1650" t="s">
        <v>3339</v>
      </c>
      <c r="O1650" t="s">
        <v>3340</v>
      </c>
      <c r="P1650">
        <v>41120507</v>
      </c>
    </row>
    <row r="1651" spans="1:16">
      <c r="A1651" t="s">
        <v>82</v>
      </c>
      <c r="B1651">
        <v>1</v>
      </c>
      <c r="E1651" t="s">
        <v>3339</v>
      </c>
      <c r="F1651" t="s">
        <v>3340</v>
      </c>
      <c r="G1651" t="s">
        <v>3341</v>
      </c>
      <c r="I1651" t="s">
        <v>3338</v>
      </c>
      <c r="J1651" t="s">
        <v>2232</v>
      </c>
      <c r="K1651" t="s">
        <v>2233</v>
      </c>
      <c r="L1651" t="s">
        <v>3342</v>
      </c>
      <c r="N1651" t="s">
        <v>3343</v>
      </c>
      <c r="O1651" t="s">
        <v>3344</v>
      </c>
      <c r="P1651">
        <v>41120507</v>
      </c>
    </row>
    <row r="1652" spans="1:16">
      <c r="A1652" t="s">
        <v>82</v>
      </c>
      <c r="B1652">
        <v>1</v>
      </c>
      <c r="E1652" t="s">
        <v>3339</v>
      </c>
      <c r="F1652" t="s">
        <v>3340</v>
      </c>
      <c r="G1652" t="s">
        <v>3341</v>
      </c>
      <c r="I1652" t="s">
        <v>3338</v>
      </c>
      <c r="J1652" t="s">
        <v>2232</v>
      </c>
      <c r="K1652" t="s">
        <v>2233</v>
      </c>
      <c r="L1652" t="s">
        <v>3342</v>
      </c>
      <c r="N1652" t="s">
        <v>3345</v>
      </c>
      <c r="O1652" t="s">
        <v>3346</v>
      </c>
      <c r="P1652">
        <v>41120507</v>
      </c>
    </row>
    <row r="1653" spans="1:16">
      <c r="A1653" t="s">
        <v>82</v>
      </c>
      <c r="B1653">
        <v>0</v>
      </c>
      <c r="G1653" t="s">
        <v>3338</v>
      </c>
      <c r="I1653" t="s">
        <v>3338</v>
      </c>
      <c r="N1653" t="s">
        <v>3347</v>
      </c>
      <c r="O1653" t="s">
        <v>3344</v>
      </c>
      <c r="P1653">
        <v>41120507</v>
      </c>
    </row>
    <row r="1654" spans="1:16">
      <c r="A1654" t="s">
        <v>82</v>
      </c>
      <c r="B1654">
        <v>1</v>
      </c>
      <c r="E1654" t="s">
        <v>3347</v>
      </c>
      <c r="F1654" t="s">
        <v>3344</v>
      </c>
      <c r="G1654" t="s">
        <v>3348</v>
      </c>
      <c r="I1654" t="s">
        <v>3338</v>
      </c>
      <c r="J1654" t="s">
        <v>2232</v>
      </c>
      <c r="K1654" t="s">
        <v>2233</v>
      </c>
      <c r="L1654" t="s">
        <v>3342</v>
      </c>
      <c r="N1654" t="s">
        <v>3349</v>
      </c>
      <c r="O1654" t="s">
        <v>3350</v>
      </c>
      <c r="P1654">
        <v>41120507</v>
      </c>
    </row>
    <row r="1655" spans="1:16">
      <c r="A1655" t="s">
        <v>82</v>
      </c>
      <c r="B1655">
        <v>1</v>
      </c>
      <c r="E1655" t="s">
        <v>3347</v>
      </c>
      <c r="F1655" t="s">
        <v>3344</v>
      </c>
      <c r="G1655" t="s">
        <v>3348</v>
      </c>
      <c r="I1655" t="s">
        <v>3338</v>
      </c>
      <c r="L1655" t="s">
        <v>193</v>
      </c>
      <c r="N1655" t="s">
        <v>3351</v>
      </c>
      <c r="O1655" t="s">
        <v>3352</v>
      </c>
      <c r="P1655">
        <v>41120507</v>
      </c>
    </row>
    <row r="1656" spans="1:16">
      <c r="A1656" t="s">
        <v>82</v>
      </c>
      <c r="B1656">
        <v>2</v>
      </c>
      <c r="E1656" t="s">
        <v>3351</v>
      </c>
      <c r="F1656" t="s">
        <v>3352</v>
      </c>
      <c r="G1656" t="s">
        <v>3353</v>
      </c>
      <c r="I1656" t="s">
        <v>3338</v>
      </c>
      <c r="J1656" t="s">
        <v>2421</v>
      </c>
      <c r="K1656" t="s">
        <v>3354</v>
      </c>
      <c r="L1656" t="s">
        <v>3355</v>
      </c>
      <c r="N1656" t="s">
        <v>3356</v>
      </c>
      <c r="O1656" t="s">
        <v>3357</v>
      </c>
      <c r="P1656">
        <v>41120507</v>
      </c>
    </row>
    <row r="1657" spans="1:16">
      <c r="A1657" t="s">
        <v>82</v>
      </c>
      <c r="B1657">
        <v>2</v>
      </c>
      <c r="E1657" t="s">
        <v>3351</v>
      </c>
      <c r="F1657" t="s">
        <v>3352</v>
      </c>
      <c r="G1657" t="s">
        <v>3353</v>
      </c>
      <c r="I1657" t="s">
        <v>3338</v>
      </c>
      <c r="J1657" t="s">
        <v>2421</v>
      </c>
      <c r="K1657" t="s">
        <v>3354</v>
      </c>
      <c r="L1657" t="s">
        <v>3355</v>
      </c>
      <c r="N1657" t="s">
        <v>3358</v>
      </c>
      <c r="O1657" t="s">
        <v>3359</v>
      </c>
      <c r="P1657">
        <v>41120507</v>
      </c>
    </row>
    <row r="1658" spans="1:16">
      <c r="A1658" t="s">
        <v>82</v>
      </c>
      <c r="B1658">
        <v>2</v>
      </c>
      <c r="E1658" t="s">
        <v>3351</v>
      </c>
      <c r="F1658" t="s">
        <v>3352</v>
      </c>
      <c r="G1658" t="s">
        <v>3353</v>
      </c>
      <c r="I1658" t="s">
        <v>3338</v>
      </c>
      <c r="J1658" t="s">
        <v>2421</v>
      </c>
      <c r="K1658" t="s">
        <v>3354</v>
      </c>
      <c r="L1658" t="s">
        <v>3355</v>
      </c>
      <c r="N1658" t="s">
        <v>3360</v>
      </c>
      <c r="O1658" t="s">
        <v>3361</v>
      </c>
      <c r="P1658">
        <v>41120507</v>
      </c>
    </row>
    <row r="1659" spans="1:16">
      <c r="A1659" t="s">
        <v>82</v>
      </c>
      <c r="B1659">
        <v>1</v>
      </c>
      <c r="E1659" t="s">
        <v>3347</v>
      </c>
      <c r="F1659" t="s">
        <v>3344</v>
      </c>
      <c r="G1659" t="s">
        <v>3348</v>
      </c>
      <c r="I1659" t="s">
        <v>3338</v>
      </c>
      <c r="J1659" t="s">
        <v>2236</v>
      </c>
      <c r="K1659" t="s">
        <v>3362</v>
      </c>
      <c r="L1659" t="s">
        <v>3363</v>
      </c>
      <c r="N1659" t="s">
        <v>3364</v>
      </c>
      <c r="O1659" t="s">
        <v>3365</v>
      </c>
      <c r="P1659">
        <v>41120507</v>
      </c>
    </row>
    <row r="1660" spans="1:16">
      <c r="A1660" t="s">
        <v>82</v>
      </c>
      <c r="B1660">
        <v>1</v>
      </c>
      <c r="E1660" t="s">
        <v>3347</v>
      </c>
      <c r="F1660" t="s">
        <v>3344</v>
      </c>
      <c r="G1660" t="s">
        <v>3348</v>
      </c>
      <c r="I1660" t="s">
        <v>3338</v>
      </c>
      <c r="L1660" t="s">
        <v>193</v>
      </c>
      <c r="N1660" t="s">
        <v>3366</v>
      </c>
      <c r="O1660" t="s">
        <v>3367</v>
      </c>
      <c r="P1660">
        <v>41120507</v>
      </c>
    </row>
    <row r="1661" spans="1:16">
      <c r="A1661" t="s">
        <v>82</v>
      </c>
      <c r="B1661">
        <v>2</v>
      </c>
      <c r="E1661" t="s">
        <v>3366</v>
      </c>
      <c r="F1661" t="s">
        <v>3367</v>
      </c>
      <c r="G1661" t="s">
        <v>3368</v>
      </c>
      <c r="I1661" t="s">
        <v>3338</v>
      </c>
      <c r="J1661" t="s">
        <v>2421</v>
      </c>
      <c r="K1661" t="s">
        <v>3354</v>
      </c>
      <c r="L1661" t="s">
        <v>3369</v>
      </c>
      <c r="N1661" t="s">
        <v>3370</v>
      </c>
      <c r="O1661" t="s">
        <v>3359</v>
      </c>
      <c r="P1661">
        <v>41120507</v>
      </c>
    </row>
    <row r="1662" spans="1:16">
      <c r="A1662" t="s">
        <v>82</v>
      </c>
      <c r="B1662">
        <v>2</v>
      </c>
      <c r="E1662" t="s">
        <v>3366</v>
      </c>
      <c r="F1662" t="s">
        <v>3367</v>
      </c>
      <c r="G1662" t="s">
        <v>3368</v>
      </c>
      <c r="I1662" t="s">
        <v>3338</v>
      </c>
      <c r="J1662" t="s">
        <v>2421</v>
      </c>
      <c r="K1662" t="s">
        <v>3354</v>
      </c>
      <c r="L1662" t="s">
        <v>3369</v>
      </c>
      <c r="N1662" t="s">
        <v>3371</v>
      </c>
      <c r="O1662" t="s">
        <v>3372</v>
      </c>
      <c r="P1662">
        <v>41120507</v>
      </c>
    </row>
    <row r="1663" spans="1:16">
      <c r="A1663" t="s">
        <v>82</v>
      </c>
      <c r="B1663">
        <v>2</v>
      </c>
      <c r="E1663" t="s">
        <v>3366</v>
      </c>
      <c r="F1663" t="s">
        <v>3367</v>
      </c>
      <c r="G1663" t="s">
        <v>3368</v>
      </c>
      <c r="I1663" t="s">
        <v>3338</v>
      </c>
      <c r="J1663" t="s">
        <v>2421</v>
      </c>
      <c r="K1663" t="s">
        <v>3354</v>
      </c>
      <c r="L1663" t="s">
        <v>3369</v>
      </c>
      <c r="N1663" t="s">
        <v>3373</v>
      </c>
      <c r="O1663" t="s">
        <v>3374</v>
      </c>
      <c r="P1663">
        <v>41120507</v>
      </c>
    </row>
    <row r="1664" spans="1:16">
      <c r="A1664" t="s">
        <v>82</v>
      </c>
      <c r="B1664">
        <v>2</v>
      </c>
      <c r="E1664" t="s">
        <v>3366</v>
      </c>
      <c r="F1664" t="s">
        <v>3367</v>
      </c>
      <c r="G1664" t="s">
        <v>3368</v>
      </c>
      <c r="I1664" t="s">
        <v>3338</v>
      </c>
      <c r="J1664" t="s">
        <v>2236</v>
      </c>
      <c r="K1664" t="s">
        <v>3362</v>
      </c>
      <c r="L1664" t="s">
        <v>3363</v>
      </c>
      <c r="N1664" t="s">
        <v>3375</v>
      </c>
      <c r="O1664" t="s">
        <v>3376</v>
      </c>
      <c r="P1664">
        <v>41120507</v>
      </c>
    </row>
    <row r="1665" spans="1:16">
      <c r="A1665" t="s">
        <v>82</v>
      </c>
      <c r="B1665">
        <v>0</v>
      </c>
      <c r="G1665" t="s">
        <v>3338</v>
      </c>
      <c r="I1665" t="s">
        <v>3338</v>
      </c>
      <c r="N1665" t="s">
        <v>3377</v>
      </c>
      <c r="O1665" t="s">
        <v>3346</v>
      </c>
      <c r="P1665">
        <v>41120507</v>
      </c>
    </row>
    <row r="1666" spans="1:16">
      <c r="A1666" t="s">
        <v>82</v>
      </c>
      <c r="B1666">
        <v>1</v>
      </c>
      <c r="E1666" t="s">
        <v>3377</v>
      </c>
      <c r="F1666" t="s">
        <v>3346</v>
      </c>
      <c r="G1666" t="s">
        <v>3378</v>
      </c>
      <c r="I1666" t="s">
        <v>3338</v>
      </c>
      <c r="L1666" t="s">
        <v>193</v>
      </c>
      <c r="N1666" t="s">
        <v>3379</v>
      </c>
      <c r="O1666" t="s">
        <v>3380</v>
      </c>
      <c r="P1666">
        <v>41120507</v>
      </c>
    </row>
    <row r="1667" spans="1:16">
      <c r="A1667" t="s">
        <v>82</v>
      </c>
      <c r="B1667">
        <v>2</v>
      </c>
      <c r="E1667" t="s">
        <v>3379</v>
      </c>
      <c r="F1667" t="s">
        <v>3380</v>
      </c>
      <c r="G1667" t="s">
        <v>3381</v>
      </c>
      <c r="I1667" t="s">
        <v>3338</v>
      </c>
      <c r="J1667" t="s">
        <v>2421</v>
      </c>
      <c r="K1667" t="s">
        <v>3354</v>
      </c>
      <c r="L1667" t="s">
        <v>3369</v>
      </c>
      <c r="N1667" t="s">
        <v>3382</v>
      </c>
      <c r="O1667" t="s">
        <v>3352</v>
      </c>
      <c r="P1667">
        <v>41120507</v>
      </c>
    </row>
    <row r="1668" spans="1:16">
      <c r="A1668" t="s">
        <v>82</v>
      </c>
      <c r="B1668">
        <v>2</v>
      </c>
      <c r="E1668" t="s">
        <v>3379</v>
      </c>
      <c r="F1668" t="s">
        <v>3380</v>
      </c>
      <c r="G1668" t="s">
        <v>3381</v>
      </c>
      <c r="I1668" t="s">
        <v>3338</v>
      </c>
      <c r="L1668" t="s">
        <v>3383</v>
      </c>
      <c r="N1668" t="s">
        <v>3384</v>
      </c>
      <c r="O1668" t="s">
        <v>3385</v>
      </c>
      <c r="P1668">
        <v>41120507</v>
      </c>
    </row>
    <row r="1669" spans="1:16">
      <c r="A1669" t="s">
        <v>82</v>
      </c>
      <c r="B1669">
        <v>2</v>
      </c>
      <c r="E1669" t="s">
        <v>3379</v>
      </c>
      <c r="F1669" t="s">
        <v>3380</v>
      </c>
      <c r="G1669" t="s">
        <v>3381</v>
      </c>
      <c r="I1669" t="s">
        <v>3338</v>
      </c>
      <c r="J1669" t="s">
        <v>2232</v>
      </c>
      <c r="K1669" t="s">
        <v>2233</v>
      </c>
      <c r="L1669" t="s">
        <v>3342</v>
      </c>
      <c r="N1669" t="s">
        <v>3386</v>
      </c>
      <c r="O1669" t="s">
        <v>3350</v>
      </c>
      <c r="P1669">
        <v>41120507</v>
      </c>
    </row>
    <row r="1670" spans="1:16">
      <c r="A1670" t="s">
        <v>82</v>
      </c>
      <c r="B1670">
        <v>0</v>
      </c>
      <c r="G1670" t="s">
        <v>3338</v>
      </c>
      <c r="I1670" t="s">
        <v>3338</v>
      </c>
      <c r="N1670" t="s">
        <v>3395</v>
      </c>
      <c r="O1670" t="s">
        <v>3396</v>
      </c>
      <c r="P1670">
        <v>41120507</v>
      </c>
    </row>
    <row r="1671" spans="1:16">
      <c r="A1671" t="s">
        <v>82</v>
      </c>
      <c r="B1671">
        <v>1</v>
      </c>
      <c r="E1671" t="s">
        <v>3395</v>
      </c>
      <c r="F1671" t="s">
        <v>3396</v>
      </c>
      <c r="G1671" t="s">
        <v>3397</v>
      </c>
      <c r="I1671" t="s">
        <v>3338</v>
      </c>
      <c r="J1671" t="s">
        <v>2232</v>
      </c>
      <c r="K1671" t="s">
        <v>2233</v>
      </c>
      <c r="L1671" t="s">
        <v>3342</v>
      </c>
      <c r="N1671" t="s">
        <v>3398</v>
      </c>
      <c r="O1671" t="s">
        <v>3399</v>
      </c>
      <c r="P1671">
        <v>41120507</v>
      </c>
    </row>
    <row r="1672" spans="1:16">
      <c r="A1672" t="s">
        <v>82</v>
      </c>
      <c r="B1672">
        <v>1</v>
      </c>
      <c r="E1672" t="s">
        <v>3395</v>
      </c>
      <c r="F1672" t="s">
        <v>3396</v>
      </c>
      <c r="G1672" t="s">
        <v>3397</v>
      </c>
      <c r="I1672" t="s">
        <v>3338</v>
      </c>
      <c r="J1672" t="s">
        <v>2232</v>
      </c>
      <c r="K1672" t="s">
        <v>2233</v>
      </c>
      <c r="L1672" t="s">
        <v>3342</v>
      </c>
      <c r="N1672" t="s">
        <v>3400</v>
      </c>
      <c r="O1672" t="s">
        <v>3401</v>
      </c>
      <c r="P1672">
        <v>41120507</v>
      </c>
    </row>
    <row r="1673" spans="1:16">
      <c r="A1673" t="s">
        <v>82</v>
      </c>
      <c r="B1673">
        <v>1</v>
      </c>
      <c r="E1673" t="s">
        <v>3395</v>
      </c>
      <c r="F1673" t="s">
        <v>3396</v>
      </c>
      <c r="G1673" t="s">
        <v>3397</v>
      </c>
      <c r="I1673" t="s">
        <v>3338</v>
      </c>
      <c r="L1673" t="s">
        <v>3342</v>
      </c>
      <c r="N1673" t="s">
        <v>3402</v>
      </c>
      <c r="O1673" t="s">
        <v>3403</v>
      </c>
      <c r="P1673">
        <v>41120507</v>
      </c>
    </row>
    <row r="1674" spans="1:16">
      <c r="A1674" t="s">
        <v>82</v>
      </c>
      <c r="B1674">
        <v>1</v>
      </c>
      <c r="E1674" t="s">
        <v>3395</v>
      </c>
      <c r="F1674" t="s">
        <v>3396</v>
      </c>
      <c r="G1674" t="s">
        <v>3397</v>
      </c>
      <c r="I1674" t="s">
        <v>3338</v>
      </c>
      <c r="L1674" t="s">
        <v>3342</v>
      </c>
      <c r="N1674" t="s">
        <v>3404</v>
      </c>
      <c r="O1674" t="s">
        <v>3405</v>
      </c>
      <c r="P1674">
        <v>41120507</v>
      </c>
    </row>
    <row r="1675" spans="1:16">
      <c r="A1675" t="s">
        <v>82</v>
      </c>
      <c r="B1675">
        <v>0</v>
      </c>
      <c r="G1675" t="s">
        <v>3338</v>
      </c>
      <c r="I1675" t="s">
        <v>3338</v>
      </c>
      <c r="N1675" t="s">
        <v>3406</v>
      </c>
      <c r="O1675" t="s">
        <v>3407</v>
      </c>
      <c r="P1675">
        <v>41120507</v>
      </c>
    </row>
    <row r="1676" spans="1:16">
      <c r="A1676" t="s">
        <v>82</v>
      </c>
      <c r="B1676">
        <v>1</v>
      </c>
      <c r="E1676" t="s">
        <v>3406</v>
      </c>
      <c r="F1676" t="s">
        <v>3407</v>
      </c>
      <c r="G1676" t="s">
        <v>3408</v>
      </c>
      <c r="I1676" t="s">
        <v>3338</v>
      </c>
      <c r="J1676" t="s">
        <v>2421</v>
      </c>
      <c r="K1676" t="s">
        <v>3354</v>
      </c>
      <c r="L1676" t="s">
        <v>3369</v>
      </c>
      <c r="N1676" t="s">
        <v>3409</v>
      </c>
      <c r="O1676" t="s">
        <v>3410</v>
      </c>
      <c r="P1676">
        <v>41120507</v>
      </c>
    </row>
    <row r="1677" spans="1:16">
      <c r="A1677" t="s">
        <v>82</v>
      </c>
      <c r="B1677">
        <v>1</v>
      </c>
      <c r="E1677" t="s">
        <v>3406</v>
      </c>
      <c r="F1677" t="s">
        <v>3407</v>
      </c>
      <c r="G1677" t="s">
        <v>3408</v>
      </c>
      <c r="I1677" t="s">
        <v>3338</v>
      </c>
      <c r="L1677" t="s">
        <v>193</v>
      </c>
      <c r="N1677" t="s">
        <v>3411</v>
      </c>
      <c r="O1677" t="s">
        <v>3412</v>
      </c>
      <c r="P1677">
        <v>41120507</v>
      </c>
    </row>
    <row r="1678" spans="1:16">
      <c r="A1678" t="s">
        <v>82</v>
      </c>
      <c r="B1678">
        <v>2</v>
      </c>
      <c r="E1678" t="s">
        <v>3411</v>
      </c>
      <c r="F1678" t="s">
        <v>3412</v>
      </c>
      <c r="G1678" t="s">
        <v>3413</v>
      </c>
      <c r="I1678" t="s">
        <v>3338</v>
      </c>
      <c r="L1678" t="s">
        <v>3342</v>
      </c>
      <c r="N1678" t="s">
        <v>3414</v>
      </c>
      <c r="O1678" t="s">
        <v>3415</v>
      </c>
      <c r="P1678">
        <v>41120507</v>
      </c>
    </row>
    <row r="1679" spans="1:16">
      <c r="A1679" t="s">
        <v>82</v>
      </c>
      <c r="B1679">
        <v>2</v>
      </c>
      <c r="E1679" t="s">
        <v>3411</v>
      </c>
      <c r="F1679" t="s">
        <v>3412</v>
      </c>
      <c r="G1679" t="s">
        <v>3413</v>
      </c>
      <c r="I1679" t="s">
        <v>3338</v>
      </c>
      <c r="J1679" t="s">
        <v>2232</v>
      </c>
      <c r="K1679" t="s">
        <v>2233</v>
      </c>
      <c r="L1679" t="s">
        <v>3342</v>
      </c>
      <c r="N1679" t="s">
        <v>3416</v>
      </c>
      <c r="O1679" t="s">
        <v>3417</v>
      </c>
      <c r="P1679">
        <v>41120507</v>
      </c>
    </row>
    <row r="1680" spans="1:16">
      <c r="A1680" t="s">
        <v>82</v>
      </c>
      <c r="B1680">
        <v>2</v>
      </c>
      <c r="E1680" t="s">
        <v>3411</v>
      </c>
      <c r="F1680" t="s">
        <v>3412</v>
      </c>
      <c r="G1680" t="s">
        <v>3413</v>
      </c>
      <c r="I1680" t="s">
        <v>3338</v>
      </c>
      <c r="J1680" t="s">
        <v>2232</v>
      </c>
      <c r="K1680" t="s">
        <v>2233</v>
      </c>
      <c r="L1680" t="s">
        <v>3342</v>
      </c>
      <c r="N1680" t="s">
        <v>3418</v>
      </c>
      <c r="O1680" t="s">
        <v>3419</v>
      </c>
      <c r="P1680">
        <v>41120507</v>
      </c>
    </row>
    <row r="1681" spans="1:16">
      <c r="A1681" t="s">
        <v>82</v>
      </c>
      <c r="B1681">
        <v>2</v>
      </c>
      <c r="E1681" t="s">
        <v>3411</v>
      </c>
      <c r="F1681" t="s">
        <v>3412</v>
      </c>
      <c r="G1681" t="s">
        <v>3413</v>
      </c>
      <c r="I1681" t="s">
        <v>3338</v>
      </c>
      <c r="L1681" t="s">
        <v>3342</v>
      </c>
      <c r="N1681" t="s">
        <v>3420</v>
      </c>
      <c r="O1681" t="s">
        <v>3421</v>
      </c>
      <c r="P1681">
        <v>41120507</v>
      </c>
    </row>
    <row r="1682" spans="1:16">
      <c r="A1682" t="s">
        <v>82</v>
      </c>
      <c r="B1682">
        <v>2</v>
      </c>
      <c r="E1682" t="s">
        <v>3411</v>
      </c>
      <c r="F1682" t="s">
        <v>3412</v>
      </c>
      <c r="G1682" t="s">
        <v>3413</v>
      </c>
      <c r="I1682" t="s">
        <v>3338</v>
      </c>
      <c r="J1682" t="s">
        <v>2232</v>
      </c>
      <c r="K1682" t="s">
        <v>2233</v>
      </c>
      <c r="L1682" t="s">
        <v>3342</v>
      </c>
      <c r="N1682" t="s">
        <v>3422</v>
      </c>
      <c r="O1682" t="s">
        <v>3423</v>
      </c>
      <c r="P1682">
        <v>41120507</v>
      </c>
    </row>
    <row r="1683" spans="1:16">
      <c r="A1683" t="s">
        <v>82</v>
      </c>
      <c r="B1683">
        <v>0</v>
      </c>
      <c r="G1683" t="s">
        <v>3338</v>
      </c>
      <c r="I1683" t="s">
        <v>3338</v>
      </c>
      <c r="N1683" t="s">
        <v>3424</v>
      </c>
      <c r="O1683" t="s">
        <v>3425</v>
      </c>
      <c r="P1683">
        <v>41120507</v>
      </c>
    </row>
    <row r="1684" spans="1:16">
      <c r="A1684" t="s">
        <v>82</v>
      </c>
      <c r="B1684">
        <v>1</v>
      </c>
      <c r="E1684" t="s">
        <v>3424</v>
      </c>
      <c r="F1684" t="s">
        <v>3425</v>
      </c>
      <c r="G1684" t="s">
        <v>3426</v>
      </c>
      <c r="I1684" t="s">
        <v>3338</v>
      </c>
      <c r="J1684" t="s">
        <v>2421</v>
      </c>
      <c r="K1684" t="s">
        <v>3354</v>
      </c>
      <c r="L1684" t="s">
        <v>3369</v>
      </c>
      <c r="N1684" t="s">
        <v>3427</v>
      </c>
      <c r="O1684" t="s">
        <v>3428</v>
      </c>
      <c r="P1684">
        <v>41120507</v>
      </c>
    </row>
    <row r="1685" spans="1:16">
      <c r="A1685" t="s">
        <v>82</v>
      </c>
      <c r="B1685">
        <v>1</v>
      </c>
      <c r="E1685" t="s">
        <v>3424</v>
      </c>
      <c r="F1685" t="s">
        <v>3425</v>
      </c>
      <c r="G1685" t="s">
        <v>3426</v>
      </c>
      <c r="I1685" t="s">
        <v>3338</v>
      </c>
      <c r="J1685" t="s">
        <v>2421</v>
      </c>
      <c r="K1685" t="s">
        <v>3354</v>
      </c>
      <c r="L1685" t="s">
        <v>3369</v>
      </c>
      <c r="N1685" t="s">
        <v>3429</v>
      </c>
      <c r="O1685" t="s">
        <v>3430</v>
      </c>
      <c r="P1685">
        <v>41120507</v>
      </c>
    </row>
    <row r="1686" spans="1:16">
      <c r="A1686" t="s">
        <v>82</v>
      </c>
      <c r="B1686">
        <v>1</v>
      </c>
      <c r="E1686" t="s">
        <v>3424</v>
      </c>
      <c r="F1686" t="s">
        <v>3425</v>
      </c>
      <c r="G1686" t="s">
        <v>3426</v>
      </c>
      <c r="I1686" t="s">
        <v>3338</v>
      </c>
      <c r="J1686" t="s">
        <v>2232</v>
      </c>
      <c r="K1686" t="s">
        <v>2233</v>
      </c>
      <c r="L1686" t="s">
        <v>3342</v>
      </c>
      <c r="N1686" t="s">
        <v>3431</v>
      </c>
      <c r="O1686" t="s">
        <v>3432</v>
      </c>
      <c r="P1686">
        <v>41120507</v>
      </c>
    </row>
    <row r="1687" spans="1:16">
      <c r="A1687" t="s">
        <v>82</v>
      </c>
      <c r="B1687">
        <v>0</v>
      </c>
      <c r="G1687" t="s">
        <v>3338</v>
      </c>
      <c r="I1687" t="s">
        <v>3338</v>
      </c>
      <c r="N1687" t="s">
        <v>3433</v>
      </c>
      <c r="O1687" t="s">
        <v>3434</v>
      </c>
      <c r="P1687">
        <v>41120507</v>
      </c>
    </row>
    <row r="1688" spans="1:16">
      <c r="A1688" t="s">
        <v>82</v>
      </c>
      <c r="B1688">
        <v>1</v>
      </c>
      <c r="E1688" t="s">
        <v>3433</v>
      </c>
      <c r="F1688" t="s">
        <v>3434</v>
      </c>
      <c r="G1688" t="s">
        <v>3435</v>
      </c>
      <c r="I1688" t="s">
        <v>3338</v>
      </c>
      <c r="J1688" t="s">
        <v>2232</v>
      </c>
      <c r="K1688" t="s">
        <v>2233</v>
      </c>
      <c r="L1688" t="s">
        <v>3342</v>
      </c>
      <c r="N1688" t="s">
        <v>3436</v>
      </c>
      <c r="O1688" t="s">
        <v>3437</v>
      </c>
      <c r="P1688">
        <v>41120507</v>
      </c>
    </row>
    <row r="1689" spans="1:16">
      <c r="A1689" t="s">
        <v>82</v>
      </c>
      <c r="B1689">
        <v>1</v>
      </c>
      <c r="E1689" t="s">
        <v>3433</v>
      </c>
      <c r="F1689" t="s">
        <v>3434</v>
      </c>
      <c r="G1689" t="s">
        <v>3435</v>
      </c>
      <c r="I1689" t="s">
        <v>3338</v>
      </c>
      <c r="J1689" t="s">
        <v>2232</v>
      </c>
      <c r="K1689" t="s">
        <v>2233</v>
      </c>
      <c r="L1689" t="s">
        <v>3342</v>
      </c>
      <c r="N1689" t="s">
        <v>3438</v>
      </c>
      <c r="O1689" t="s">
        <v>3439</v>
      </c>
      <c r="P1689">
        <v>41120507</v>
      </c>
    </row>
    <row r="1690" spans="1:16">
      <c r="A1690" t="s">
        <v>82</v>
      </c>
      <c r="B1690">
        <v>1</v>
      </c>
      <c r="E1690" t="s">
        <v>3433</v>
      </c>
      <c r="F1690" t="s">
        <v>3434</v>
      </c>
      <c r="G1690" t="s">
        <v>3435</v>
      </c>
      <c r="I1690" t="s">
        <v>3338</v>
      </c>
      <c r="J1690" t="s">
        <v>2232</v>
      </c>
      <c r="K1690" t="s">
        <v>2233</v>
      </c>
      <c r="L1690" t="s">
        <v>3342</v>
      </c>
      <c r="N1690" t="s">
        <v>3440</v>
      </c>
      <c r="O1690" t="s">
        <v>3441</v>
      </c>
      <c r="P1690">
        <v>41120507</v>
      </c>
    </row>
    <row r="1691" spans="1:16">
      <c r="A1691" t="s">
        <v>82</v>
      </c>
      <c r="B1691">
        <v>1</v>
      </c>
      <c r="E1691" t="s">
        <v>3433</v>
      </c>
      <c r="F1691" t="s">
        <v>3434</v>
      </c>
      <c r="G1691" t="s">
        <v>3435</v>
      </c>
      <c r="I1691" t="s">
        <v>3338</v>
      </c>
      <c r="J1691" t="s">
        <v>2232</v>
      </c>
      <c r="K1691" t="s">
        <v>2233</v>
      </c>
      <c r="L1691" t="s">
        <v>3342</v>
      </c>
      <c r="N1691" t="s">
        <v>3442</v>
      </c>
      <c r="O1691" t="s">
        <v>3443</v>
      </c>
      <c r="P1691">
        <v>41120507</v>
      </c>
    </row>
    <row r="1692" spans="1:16">
      <c r="A1692" t="s">
        <v>82</v>
      </c>
      <c r="B1692">
        <v>1</v>
      </c>
      <c r="E1692" t="s">
        <v>3433</v>
      </c>
      <c r="F1692" t="s">
        <v>3434</v>
      </c>
      <c r="G1692" t="s">
        <v>3435</v>
      </c>
      <c r="I1692" t="s">
        <v>3338</v>
      </c>
      <c r="J1692" t="s">
        <v>2232</v>
      </c>
      <c r="K1692" t="s">
        <v>2233</v>
      </c>
      <c r="L1692" t="s">
        <v>3342</v>
      </c>
      <c r="N1692" t="s">
        <v>3444</v>
      </c>
      <c r="O1692" t="s">
        <v>3445</v>
      </c>
      <c r="P1692">
        <v>41120507</v>
      </c>
    </row>
    <row r="1693" spans="1:16">
      <c r="A1693" t="s">
        <v>82</v>
      </c>
      <c r="B1693">
        <v>1</v>
      </c>
      <c r="E1693" t="s">
        <v>3433</v>
      </c>
      <c r="F1693" t="s">
        <v>3434</v>
      </c>
      <c r="G1693" t="s">
        <v>3435</v>
      </c>
      <c r="I1693" t="s">
        <v>3338</v>
      </c>
      <c r="J1693" t="s">
        <v>2232</v>
      </c>
      <c r="K1693" t="s">
        <v>2233</v>
      </c>
      <c r="L1693" t="s">
        <v>3342</v>
      </c>
      <c r="N1693" t="s">
        <v>3446</v>
      </c>
      <c r="O1693" t="s">
        <v>3447</v>
      </c>
      <c r="P1693">
        <v>41120507</v>
      </c>
    </row>
    <row r="1694" spans="1:16">
      <c r="A1694" t="s">
        <v>82</v>
      </c>
      <c r="B1694">
        <v>0</v>
      </c>
      <c r="G1694" t="s">
        <v>3338</v>
      </c>
      <c r="I1694" t="s">
        <v>3338</v>
      </c>
      <c r="N1694" t="s">
        <v>3448</v>
      </c>
      <c r="O1694" t="s">
        <v>3449</v>
      </c>
      <c r="P1694">
        <v>41120507</v>
      </c>
    </row>
    <row r="1695" spans="1:16">
      <c r="A1695" t="s">
        <v>82</v>
      </c>
      <c r="B1695">
        <v>1</v>
      </c>
      <c r="E1695" t="s">
        <v>3448</v>
      </c>
      <c r="F1695" t="s">
        <v>3449</v>
      </c>
      <c r="G1695" t="s">
        <v>3450</v>
      </c>
      <c r="I1695" t="s">
        <v>3338</v>
      </c>
      <c r="J1695" t="s">
        <v>2421</v>
      </c>
      <c r="K1695" t="s">
        <v>3354</v>
      </c>
      <c r="L1695" t="s">
        <v>3451</v>
      </c>
      <c r="N1695" t="s">
        <v>3452</v>
      </c>
      <c r="O1695" t="s">
        <v>3453</v>
      </c>
      <c r="P1695">
        <v>41120507</v>
      </c>
    </row>
    <row r="1696" spans="1:16">
      <c r="A1696" t="s">
        <v>82</v>
      </c>
      <c r="B1696">
        <v>0</v>
      </c>
      <c r="G1696" t="s">
        <v>3456</v>
      </c>
      <c r="I1696" t="s">
        <v>3456</v>
      </c>
      <c r="M1696" t="s">
        <v>3463</v>
      </c>
      <c r="N1696" t="s">
        <v>3479</v>
      </c>
      <c r="O1696" t="s">
        <v>3480</v>
      </c>
      <c r="P1696">
        <v>41120507</v>
      </c>
    </row>
    <row r="1697" spans="1:16">
      <c r="A1697" t="s">
        <v>82</v>
      </c>
      <c r="B1697">
        <v>0</v>
      </c>
      <c r="G1697" t="s">
        <v>3456</v>
      </c>
      <c r="I1697" t="s">
        <v>3456</v>
      </c>
      <c r="M1697" t="s">
        <v>3463</v>
      </c>
      <c r="N1697" t="s">
        <v>3461</v>
      </c>
      <c r="O1697" t="s">
        <v>3462</v>
      </c>
      <c r="P1697">
        <v>41120507</v>
      </c>
    </row>
    <row r="1698" spans="1:16">
      <c r="A1698" t="s">
        <v>82</v>
      </c>
      <c r="B1698">
        <v>0</v>
      </c>
      <c r="G1698" t="s">
        <v>3456</v>
      </c>
      <c r="I1698" t="s">
        <v>3456</v>
      </c>
      <c r="M1698" t="s">
        <v>3463</v>
      </c>
      <c r="N1698" t="s">
        <v>3481</v>
      </c>
      <c r="O1698" t="s">
        <v>3482</v>
      </c>
      <c r="P1698">
        <v>41120507</v>
      </c>
    </row>
    <row r="1699" spans="1:16">
      <c r="A1699" t="s">
        <v>82</v>
      </c>
      <c r="B1699">
        <v>0</v>
      </c>
      <c r="G1699" t="s">
        <v>3456</v>
      </c>
      <c r="I1699" t="s">
        <v>3456</v>
      </c>
      <c r="M1699" t="s">
        <v>3463</v>
      </c>
      <c r="N1699" t="s">
        <v>3464</v>
      </c>
      <c r="O1699" t="s">
        <v>3465</v>
      </c>
      <c r="P1699">
        <v>41120507</v>
      </c>
    </row>
    <row r="1700" spans="1:16">
      <c r="A1700" t="s">
        <v>84</v>
      </c>
      <c r="B1700">
        <v>0</v>
      </c>
      <c r="G1700" t="s">
        <v>3338</v>
      </c>
      <c r="I1700" t="s">
        <v>3338</v>
      </c>
      <c r="N1700" t="s">
        <v>3339</v>
      </c>
      <c r="O1700" t="s">
        <v>3340</v>
      </c>
      <c r="P1700">
        <v>41228721</v>
      </c>
    </row>
    <row r="1701" spans="1:16">
      <c r="A1701" t="s">
        <v>84</v>
      </c>
      <c r="B1701">
        <v>1</v>
      </c>
      <c r="E1701" t="s">
        <v>3339</v>
      </c>
      <c r="F1701" t="s">
        <v>3340</v>
      </c>
      <c r="G1701" t="s">
        <v>3341</v>
      </c>
      <c r="I1701" t="s">
        <v>3338</v>
      </c>
      <c r="J1701" t="s">
        <v>2232</v>
      </c>
      <c r="K1701" t="s">
        <v>2233</v>
      </c>
      <c r="L1701" t="s">
        <v>3342</v>
      </c>
      <c r="N1701" t="s">
        <v>3343</v>
      </c>
      <c r="O1701" t="s">
        <v>3344</v>
      </c>
      <c r="P1701">
        <v>41228721</v>
      </c>
    </row>
    <row r="1702" spans="1:16">
      <c r="A1702" t="s">
        <v>84</v>
      </c>
      <c r="B1702">
        <v>1</v>
      </c>
      <c r="E1702" t="s">
        <v>3339</v>
      </c>
      <c r="F1702" t="s">
        <v>3340</v>
      </c>
      <c r="G1702" t="s">
        <v>3341</v>
      </c>
      <c r="I1702" t="s">
        <v>3338</v>
      </c>
      <c r="J1702" t="s">
        <v>2232</v>
      </c>
      <c r="K1702" t="s">
        <v>2233</v>
      </c>
      <c r="L1702" t="s">
        <v>3342</v>
      </c>
      <c r="N1702" t="s">
        <v>3345</v>
      </c>
      <c r="O1702" t="s">
        <v>3346</v>
      </c>
      <c r="P1702">
        <v>41228721</v>
      </c>
    </row>
    <row r="1703" spans="1:16">
      <c r="A1703" t="s">
        <v>84</v>
      </c>
      <c r="B1703">
        <v>0</v>
      </c>
      <c r="G1703" t="s">
        <v>3338</v>
      </c>
      <c r="I1703" t="s">
        <v>3338</v>
      </c>
      <c r="N1703" t="s">
        <v>3347</v>
      </c>
      <c r="O1703" t="s">
        <v>3344</v>
      </c>
      <c r="P1703">
        <v>41228721</v>
      </c>
    </row>
    <row r="1704" spans="1:16">
      <c r="A1704" t="s">
        <v>84</v>
      </c>
      <c r="B1704">
        <v>1</v>
      </c>
      <c r="E1704" t="s">
        <v>3347</v>
      </c>
      <c r="F1704" t="s">
        <v>3344</v>
      </c>
      <c r="G1704" t="s">
        <v>3348</v>
      </c>
      <c r="I1704" t="s">
        <v>3338</v>
      </c>
      <c r="J1704" t="s">
        <v>2232</v>
      </c>
      <c r="K1704" t="s">
        <v>2233</v>
      </c>
      <c r="L1704" t="s">
        <v>3342</v>
      </c>
      <c r="N1704" t="s">
        <v>3349</v>
      </c>
      <c r="O1704" t="s">
        <v>3350</v>
      </c>
      <c r="P1704">
        <v>41228721</v>
      </c>
    </row>
    <row r="1705" spans="1:16">
      <c r="A1705" t="s">
        <v>84</v>
      </c>
      <c r="B1705">
        <v>1</v>
      </c>
      <c r="E1705" t="s">
        <v>3347</v>
      </c>
      <c r="F1705" t="s">
        <v>3344</v>
      </c>
      <c r="G1705" t="s">
        <v>3348</v>
      </c>
      <c r="I1705" t="s">
        <v>3338</v>
      </c>
      <c r="L1705" t="s">
        <v>193</v>
      </c>
      <c r="N1705" t="s">
        <v>3351</v>
      </c>
      <c r="O1705" t="s">
        <v>3352</v>
      </c>
      <c r="P1705">
        <v>41228721</v>
      </c>
    </row>
    <row r="1706" spans="1:16">
      <c r="A1706" t="s">
        <v>84</v>
      </c>
      <c r="B1706">
        <v>2</v>
      </c>
      <c r="E1706" t="s">
        <v>3351</v>
      </c>
      <c r="F1706" t="s">
        <v>3352</v>
      </c>
      <c r="G1706" t="s">
        <v>3353</v>
      </c>
      <c r="I1706" t="s">
        <v>3338</v>
      </c>
      <c r="J1706" t="s">
        <v>2421</v>
      </c>
      <c r="K1706" t="s">
        <v>3354</v>
      </c>
      <c r="L1706" t="s">
        <v>3355</v>
      </c>
      <c r="N1706" t="s">
        <v>3356</v>
      </c>
      <c r="O1706" t="s">
        <v>3357</v>
      </c>
      <c r="P1706">
        <v>41228721</v>
      </c>
    </row>
    <row r="1707" spans="1:16">
      <c r="A1707" t="s">
        <v>84</v>
      </c>
      <c r="B1707">
        <v>2</v>
      </c>
      <c r="E1707" t="s">
        <v>3351</v>
      </c>
      <c r="F1707" t="s">
        <v>3352</v>
      </c>
      <c r="G1707" t="s">
        <v>3353</v>
      </c>
      <c r="I1707" t="s">
        <v>3338</v>
      </c>
      <c r="J1707" t="s">
        <v>2421</v>
      </c>
      <c r="K1707" t="s">
        <v>3354</v>
      </c>
      <c r="L1707" t="s">
        <v>3355</v>
      </c>
      <c r="N1707" t="s">
        <v>3358</v>
      </c>
      <c r="O1707" t="s">
        <v>3359</v>
      </c>
      <c r="P1707">
        <v>41228721</v>
      </c>
    </row>
    <row r="1708" spans="1:16">
      <c r="A1708" t="s">
        <v>84</v>
      </c>
      <c r="B1708">
        <v>2</v>
      </c>
      <c r="E1708" t="s">
        <v>3351</v>
      </c>
      <c r="F1708" t="s">
        <v>3352</v>
      </c>
      <c r="G1708" t="s">
        <v>3353</v>
      </c>
      <c r="I1708" t="s">
        <v>3338</v>
      </c>
      <c r="J1708" t="s">
        <v>2421</v>
      </c>
      <c r="K1708" t="s">
        <v>3354</v>
      </c>
      <c r="L1708" t="s">
        <v>3355</v>
      </c>
      <c r="N1708" t="s">
        <v>3360</v>
      </c>
      <c r="O1708" t="s">
        <v>3361</v>
      </c>
      <c r="P1708">
        <v>41228721</v>
      </c>
    </row>
    <row r="1709" spans="1:16">
      <c r="A1709" t="s">
        <v>84</v>
      </c>
      <c r="B1709">
        <v>1</v>
      </c>
      <c r="E1709" t="s">
        <v>3347</v>
      </c>
      <c r="F1709" t="s">
        <v>3344</v>
      </c>
      <c r="G1709" t="s">
        <v>3348</v>
      </c>
      <c r="I1709" t="s">
        <v>3338</v>
      </c>
      <c r="J1709" t="s">
        <v>2236</v>
      </c>
      <c r="K1709" t="s">
        <v>3362</v>
      </c>
      <c r="L1709" t="s">
        <v>3363</v>
      </c>
      <c r="N1709" t="s">
        <v>3364</v>
      </c>
      <c r="O1709" t="s">
        <v>3365</v>
      </c>
      <c r="P1709">
        <v>41228721</v>
      </c>
    </row>
    <row r="1710" spans="1:16">
      <c r="A1710" t="s">
        <v>84</v>
      </c>
      <c r="B1710">
        <v>1</v>
      </c>
      <c r="E1710" t="s">
        <v>3347</v>
      </c>
      <c r="F1710" t="s">
        <v>3344</v>
      </c>
      <c r="G1710" t="s">
        <v>3348</v>
      </c>
      <c r="I1710" t="s">
        <v>3338</v>
      </c>
      <c r="L1710" t="s">
        <v>193</v>
      </c>
      <c r="N1710" t="s">
        <v>3366</v>
      </c>
      <c r="O1710" t="s">
        <v>3367</v>
      </c>
      <c r="P1710">
        <v>41228721</v>
      </c>
    </row>
    <row r="1711" spans="1:16">
      <c r="A1711" t="s">
        <v>84</v>
      </c>
      <c r="B1711">
        <v>2</v>
      </c>
      <c r="E1711" t="s">
        <v>3366</v>
      </c>
      <c r="F1711" t="s">
        <v>3367</v>
      </c>
      <c r="G1711" t="s">
        <v>3368</v>
      </c>
      <c r="I1711" t="s">
        <v>3338</v>
      </c>
      <c r="J1711" t="s">
        <v>2421</v>
      </c>
      <c r="K1711" t="s">
        <v>3354</v>
      </c>
      <c r="L1711" t="s">
        <v>3369</v>
      </c>
      <c r="N1711" t="s">
        <v>3370</v>
      </c>
      <c r="O1711" t="s">
        <v>3359</v>
      </c>
      <c r="P1711">
        <v>41228721</v>
      </c>
    </row>
    <row r="1712" spans="1:16">
      <c r="A1712" t="s">
        <v>84</v>
      </c>
      <c r="B1712">
        <v>2</v>
      </c>
      <c r="E1712" t="s">
        <v>3366</v>
      </c>
      <c r="F1712" t="s">
        <v>3367</v>
      </c>
      <c r="G1712" t="s">
        <v>3368</v>
      </c>
      <c r="I1712" t="s">
        <v>3338</v>
      </c>
      <c r="J1712" t="s">
        <v>2421</v>
      </c>
      <c r="K1712" t="s">
        <v>3354</v>
      </c>
      <c r="L1712" t="s">
        <v>3369</v>
      </c>
      <c r="N1712" t="s">
        <v>3371</v>
      </c>
      <c r="O1712" t="s">
        <v>3372</v>
      </c>
      <c r="P1712">
        <v>41228721</v>
      </c>
    </row>
    <row r="1713" spans="1:16">
      <c r="A1713" t="s">
        <v>84</v>
      </c>
      <c r="B1713">
        <v>2</v>
      </c>
      <c r="E1713" t="s">
        <v>3366</v>
      </c>
      <c r="F1713" t="s">
        <v>3367</v>
      </c>
      <c r="G1713" t="s">
        <v>3368</v>
      </c>
      <c r="I1713" t="s">
        <v>3338</v>
      </c>
      <c r="J1713" t="s">
        <v>2421</v>
      </c>
      <c r="K1713" t="s">
        <v>3354</v>
      </c>
      <c r="L1713" t="s">
        <v>3369</v>
      </c>
      <c r="N1713" t="s">
        <v>3373</v>
      </c>
      <c r="O1713" t="s">
        <v>3374</v>
      </c>
      <c r="P1713">
        <v>41228721</v>
      </c>
    </row>
    <row r="1714" spans="1:16">
      <c r="A1714" t="s">
        <v>84</v>
      </c>
      <c r="B1714">
        <v>2</v>
      </c>
      <c r="E1714" t="s">
        <v>3366</v>
      </c>
      <c r="F1714" t="s">
        <v>3367</v>
      </c>
      <c r="G1714" t="s">
        <v>3368</v>
      </c>
      <c r="I1714" t="s">
        <v>3338</v>
      </c>
      <c r="J1714" t="s">
        <v>2236</v>
      </c>
      <c r="K1714" t="s">
        <v>3362</v>
      </c>
      <c r="L1714" t="s">
        <v>3363</v>
      </c>
      <c r="N1714" t="s">
        <v>3375</v>
      </c>
      <c r="O1714" t="s">
        <v>3376</v>
      </c>
      <c r="P1714">
        <v>41228721</v>
      </c>
    </row>
    <row r="1715" spans="1:16">
      <c r="A1715" t="s">
        <v>84</v>
      </c>
      <c r="B1715">
        <v>0</v>
      </c>
      <c r="G1715" t="s">
        <v>3338</v>
      </c>
      <c r="I1715" t="s">
        <v>3338</v>
      </c>
      <c r="N1715" t="s">
        <v>3377</v>
      </c>
      <c r="O1715" t="s">
        <v>3346</v>
      </c>
      <c r="P1715">
        <v>41228721</v>
      </c>
    </row>
    <row r="1716" spans="1:16">
      <c r="A1716" t="s">
        <v>84</v>
      </c>
      <c r="B1716">
        <v>1</v>
      </c>
      <c r="E1716" t="s">
        <v>3377</v>
      </c>
      <c r="F1716" t="s">
        <v>3346</v>
      </c>
      <c r="G1716" t="s">
        <v>3378</v>
      </c>
      <c r="I1716" t="s">
        <v>3338</v>
      </c>
      <c r="L1716" t="s">
        <v>193</v>
      </c>
      <c r="N1716" t="s">
        <v>3379</v>
      </c>
      <c r="O1716" t="s">
        <v>3380</v>
      </c>
      <c r="P1716">
        <v>41228721</v>
      </c>
    </row>
    <row r="1717" spans="1:16">
      <c r="A1717" t="s">
        <v>84</v>
      </c>
      <c r="B1717">
        <v>2</v>
      </c>
      <c r="E1717" t="s">
        <v>3379</v>
      </c>
      <c r="F1717" t="s">
        <v>3380</v>
      </c>
      <c r="G1717" t="s">
        <v>3381</v>
      </c>
      <c r="I1717" t="s">
        <v>3338</v>
      </c>
      <c r="J1717" t="s">
        <v>2421</v>
      </c>
      <c r="K1717" t="s">
        <v>3354</v>
      </c>
      <c r="L1717" t="s">
        <v>3369</v>
      </c>
      <c r="N1717" t="s">
        <v>3382</v>
      </c>
      <c r="O1717" t="s">
        <v>3352</v>
      </c>
      <c r="P1717">
        <v>41228721</v>
      </c>
    </row>
    <row r="1718" spans="1:16">
      <c r="A1718" t="s">
        <v>84</v>
      </c>
      <c r="B1718">
        <v>2</v>
      </c>
      <c r="E1718" t="s">
        <v>3379</v>
      </c>
      <c r="F1718" t="s">
        <v>3380</v>
      </c>
      <c r="G1718" t="s">
        <v>3381</v>
      </c>
      <c r="I1718" t="s">
        <v>3338</v>
      </c>
      <c r="L1718" t="s">
        <v>3383</v>
      </c>
      <c r="N1718" t="s">
        <v>3384</v>
      </c>
      <c r="O1718" t="s">
        <v>3385</v>
      </c>
      <c r="P1718">
        <v>41228721</v>
      </c>
    </row>
    <row r="1719" spans="1:16">
      <c r="A1719" t="s">
        <v>84</v>
      </c>
      <c r="B1719">
        <v>2</v>
      </c>
      <c r="E1719" t="s">
        <v>3379</v>
      </c>
      <c r="F1719" t="s">
        <v>3380</v>
      </c>
      <c r="G1719" t="s">
        <v>3381</v>
      </c>
      <c r="I1719" t="s">
        <v>3338</v>
      </c>
      <c r="J1719" t="s">
        <v>2232</v>
      </c>
      <c r="K1719" t="s">
        <v>2233</v>
      </c>
      <c r="L1719" t="s">
        <v>3342</v>
      </c>
      <c r="N1719" t="s">
        <v>3386</v>
      </c>
      <c r="O1719" t="s">
        <v>3350</v>
      </c>
      <c r="P1719">
        <v>41228721</v>
      </c>
    </row>
    <row r="1720" spans="1:16">
      <c r="A1720" t="s">
        <v>84</v>
      </c>
      <c r="B1720">
        <v>0</v>
      </c>
      <c r="G1720" t="s">
        <v>3338</v>
      </c>
      <c r="I1720" t="s">
        <v>3338</v>
      </c>
      <c r="N1720" t="s">
        <v>3395</v>
      </c>
      <c r="O1720" t="s">
        <v>3396</v>
      </c>
      <c r="P1720">
        <v>41228721</v>
      </c>
    </row>
    <row r="1721" spans="1:16">
      <c r="A1721" t="s">
        <v>84</v>
      </c>
      <c r="B1721">
        <v>1</v>
      </c>
      <c r="E1721" t="s">
        <v>3395</v>
      </c>
      <c r="F1721" t="s">
        <v>3396</v>
      </c>
      <c r="G1721" t="s">
        <v>3397</v>
      </c>
      <c r="I1721" t="s">
        <v>3338</v>
      </c>
      <c r="L1721" t="s">
        <v>3342</v>
      </c>
      <c r="N1721" t="s">
        <v>3398</v>
      </c>
      <c r="O1721" t="s">
        <v>3399</v>
      </c>
      <c r="P1721">
        <v>41228721</v>
      </c>
    </row>
    <row r="1722" spans="1:16">
      <c r="A1722" t="s">
        <v>84</v>
      </c>
      <c r="B1722">
        <v>1</v>
      </c>
      <c r="E1722" t="s">
        <v>3395</v>
      </c>
      <c r="F1722" t="s">
        <v>3396</v>
      </c>
      <c r="G1722" t="s">
        <v>3397</v>
      </c>
      <c r="I1722" t="s">
        <v>3338</v>
      </c>
      <c r="J1722" t="s">
        <v>2232</v>
      </c>
      <c r="K1722" t="s">
        <v>2233</v>
      </c>
      <c r="L1722" t="s">
        <v>3342</v>
      </c>
      <c r="N1722" t="s">
        <v>3400</v>
      </c>
      <c r="O1722" t="s">
        <v>3401</v>
      </c>
      <c r="P1722">
        <v>41228721</v>
      </c>
    </row>
    <row r="1723" spans="1:16">
      <c r="A1723" t="s">
        <v>84</v>
      </c>
      <c r="B1723">
        <v>1</v>
      </c>
      <c r="E1723" t="s">
        <v>3395</v>
      </c>
      <c r="F1723" t="s">
        <v>3396</v>
      </c>
      <c r="G1723" t="s">
        <v>3397</v>
      </c>
      <c r="I1723" t="s">
        <v>3338</v>
      </c>
      <c r="L1723" t="s">
        <v>3342</v>
      </c>
      <c r="N1723" t="s">
        <v>3402</v>
      </c>
      <c r="O1723" t="s">
        <v>3403</v>
      </c>
      <c r="P1723">
        <v>41228721</v>
      </c>
    </row>
    <row r="1724" spans="1:16">
      <c r="A1724" t="s">
        <v>84</v>
      </c>
      <c r="B1724">
        <v>1</v>
      </c>
      <c r="E1724" t="s">
        <v>3395</v>
      </c>
      <c r="F1724" t="s">
        <v>3396</v>
      </c>
      <c r="G1724" t="s">
        <v>3397</v>
      </c>
      <c r="I1724" t="s">
        <v>3338</v>
      </c>
      <c r="L1724" t="s">
        <v>3342</v>
      </c>
      <c r="N1724" t="s">
        <v>3404</v>
      </c>
      <c r="O1724" t="s">
        <v>3405</v>
      </c>
      <c r="P1724">
        <v>41228721</v>
      </c>
    </row>
    <row r="1725" spans="1:16">
      <c r="A1725" t="s">
        <v>84</v>
      </c>
      <c r="B1725">
        <v>0</v>
      </c>
      <c r="G1725" t="s">
        <v>3338</v>
      </c>
      <c r="I1725" t="s">
        <v>3338</v>
      </c>
      <c r="N1725" t="s">
        <v>3406</v>
      </c>
      <c r="O1725" t="s">
        <v>3407</v>
      </c>
      <c r="P1725">
        <v>41228721</v>
      </c>
    </row>
    <row r="1726" spans="1:16">
      <c r="A1726" t="s">
        <v>84</v>
      </c>
      <c r="B1726">
        <v>1</v>
      </c>
      <c r="E1726" t="s">
        <v>3406</v>
      </c>
      <c r="F1726" t="s">
        <v>3407</v>
      </c>
      <c r="G1726" t="s">
        <v>3408</v>
      </c>
      <c r="I1726" t="s">
        <v>3338</v>
      </c>
      <c r="J1726" t="s">
        <v>2421</v>
      </c>
      <c r="K1726" t="s">
        <v>3354</v>
      </c>
      <c r="L1726" t="s">
        <v>3369</v>
      </c>
      <c r="N1726" t="s">
        <v>3409</v>
      </c>
      <c r="O1726" t="s">
        <v>3410</v>
      </c>
      <c r="P1726">
        <v>41228721</v>
      </c>
    </row>
    <row r="1727" spans="1:16">
      <c r="A1727" t="s">
        <v>84</v>
      </c>
      <c r="B1727">
        <v>1</v>
      </c>
      <c r="E1727" t="s">
        <v>3406</v>
      </c>
      <c r="F1727" t="s">
        <v>3407</v>
      </c>
      <c r="G1727" t="s">
        <v>3408</v>
      </c>
      <c r="I1727" t="s">
        <v>3338</v>
      </c>
      <c r="L1727" t="s">
        <v>193</v>
      </c>
      <c r="N1727" t="s">
        <v>3411</v>
      </c>
      <c r="O1727" t="s">
        <v>3412</v>
      </c>
      <c r="P1727">
        <v>41228721</v>
      </c>
    </row>
    <row r="1728" spans="1:16">
      <c r="A1728" t="s">
        <v>84</v>
      </c>
      <c r="B1728">
        <v>2</v>
      </c>
      <c r="E1728" t="s">
        <v>3411</v>
      </c>
      <c r="F1728" t="s">
        <v>3412</v>
      </c>
      <c r="G1728" t="s">
        <v>3413</v>
      </c>
      <c r="I1728" t="s">
        <v>3338</v>
      </c>
      <c r="L1728" t="s">
        <v>3342</v>
      </c>
      <c r="N1728" t="s">
        <v>3414</v>
      </c>
      <c r="O1728" t="s">
        <v>3415</v>
      </c>
      <c r="P1728">
        <v>41228721</v>
      </c>
    </row>
    <row r="1729" spans="1:16">
      <c r="A1729" t="s">
        <v>84</v>
      </c>
      <c r="B1729">
        <v>2</v>
      </c>
      <c r="E1729" t="s">
        <v>3411</v>
      </c>
      <c r="F1729" t="s">
        <v>3412</v>
      </c>
      <c r="G1729" t="s">
        <v>3413</v>
      </c>
      <c r="I1729" t="s">
        <v>3338</v>
      </c>
      <c r="J1729" t="s">
        <v>2232</v>
      </c>
      <c r="K1729" t="s">
        <v>2233</v>
      </c>
      <c r="L1729" t="s">
        <v>3342</v>
      </c>
      <c r="N1729" t="s">
        <v>3416</v>
      </c>
      <c r="O1729" t="s">
        <v>3417</v>
      </c>
      <c r="P1729">
        <v>41228721</v>
      </c>
    </row>
    <row r="1730" spans="1:16">
      <c r="A1730" t="s">
        <v>84</v>
      </c>
      <c r="B1730">
        <v>2</v>
      </c>
      <c r="E1730" t="s">
        <v>3411</v>
      </c>
      <c r="F1730" t="s">
        <v>3412</v>
      </c>
      <c r="G1730" t="s">
        <v>3413</v>
      </c>
      <c r="I1730" t="s">
        <v>3338</v>
      </c>
      <c r="J1730" t="s">
        <v>2232</v>
      </c>
      <c r="K1730" t="s">
        <v>2233</v>
      </c>
      <c r="L1730" t="s">
        <v>3342</v>
      </c>
      <c r="N1730" t="s">
        <v>3418</v>
      </c>
      <c r="O1730" t="s">
        <v>3419</v>
      </c>
      <c r="P1730">
        <v>41228721</v>
      </c>
    </row>
    <row r="1731" spans="1:16">
      <c r="A1731" t="s">
        <v>84</v>
      </c>
      <c r="B1731">
        <v>2</v>
      </c>
      <c r="E1731" t="s">
        <v>3411</v>
      </c>
      <c r="F1731" t="s">
        <v>3412</v>
      </c>
      <c r="G1731" t="s">
        <v>3413</v>
      </c>
      <c r="I1731" t="s">
        <v>3338</v>
      </c>
      <c r="L1731" t="s">
        <v>3342</v>
      </c>
      <c r="N1731" t="s">
        <v>3420</v>
      </c>
      <c r="O1731" t="s">
        <v>3421</v>
      </c>
      <c r="P1731">
        <v>41228721</v>
      </c>
    </row>
    <row r="1732" spans="1:16">
      <c r="A1732" t="s">
        <v>84</v>
      </c>
      <c r="B1732">
        <v>2</v>
      </c>
      <c r="E1732" t="s">
        <v>3411</v>
      </c>
      <c r="F1732" t="s">
        <v>3412</v>
      </c>
      <c r="G1732" t="s">
        <v>3413</v>
      </c>
      <c r="I1732" t="s">
        <v>3338</v>
      </c>
      <c r="J1732" t="s">
        <v>2232</v>
      </c>
      <c r="K1732" t="s">
        <v>2233</v>
      </c>
      <c r="L1732" t="s">
        <v>3342</v>
      </c>
      <c r="N1732" t="s">
        <v>3422</v>
      </c>
      <c r="O1732" t="s">
        <v>3423</v>
      </c>
      <c r="P1732">
        <v>41228721</v>
      </c>
    </row>
    <row r="1733" spans="1:16">
      <c r="A1733" t="s">
        <v>84</v>
      </c>
      <c r="B1733">
        <v>0</v>
      </c>
      <c r="G1733" t="s">
        <v>3338</v>
      </c>
      <c r="I1733" t="s">
        <v>3338</v>
      </c>
      <c r="N1733" t="s">
        <v>3424</v>
      </c>
      <c r="O1733" t="s">
        <v>3425</v>
      </c>
      <c r="P1733">
        <v>41228721</v>
      </c>
    </row>
    <row r="1734" spans="1:16">
      <c r="A1734" t="s">
        <v>84</v>
      </c>
      <c r="B1734">
        <v>1</v>
      </c>
      <c r="E1734" t="s">
        <v>3424</v>
      </c>
      <c r="F1734" t="s">
        <v>3425</v>
      </c>
      <c r="G1734" t="s">
        <v>3426</v>
      </c>
      <c r="I1734" t="s">
        <v>3338</v>
      </c>
      <c r="J1734" t="s">
        <v>2421</v>
      </c>
      <c r="K1734" t="s">
        <v>3354</v>
      </c>
      <c r="L1734" t="s">
        <v>3369</v>
      </c>
      <c r="N1734" t="s">
        <v>3427</v>
      </c>
      <c r="O1734" t="s">
        <v>3428</v>
      </c>
      <c r="P1734">
        <v>41228721</v>
      </c>
    </row>
    <row r="1735" spans="1:16">
      <c r="A1735" t="s">
        <v>84</v>
      </c>
      <c r="B1735">
        <v>1</v>
      </c>
      <c r="E1735" t="s">
        <v>3424</v>
      </c>
      <c r="F1735" t="s">
        <v>3425</v>
      </c>
      <c r="G1735" t="s">
        <v>3426</v>
      </c>
      <c r="I1735" t="s">
        <v>3338</v>
      </c>
      <c r="J1735" t="s">
        <v>2421</v>
      </c>
      <c r="K1735" t="s">
        <v>3354</v>
      </c>
      <c r="L1735" t="s">
        <v>3369</v>
      </c>
      <c r="N1735" t="s">
        <v>3429</v>
      </c>
      <c r="O1735" t="s">
        <v>3430</v>
      </c>
      <c r="P1735">
        <v>41228721</v>
      </c>
    </row>
    <row r="1736" spans="1:16">
      <c r="A1736" t="s">
        <v>84</v>
      </c>
      <c r="B1736">
        <v>1</v>
      </c>
      <c r="E1736" t="s">
        <v>3424</v>
      </c>
      <c r="F1736" t="s">
        <v>3425</v>
      </c>
      <c r="G1736" t="s">
        <v>3426</v>
      </c>
      <c r="I1736" t="s">
        <v>3338</v>
      </c>
      <c r="J1736" t="s">
        <v>2232</v>
      </c>
      <c r="K1736" t="s">
        <v>2233</v>
      </c>
      <c r="L1736" t="s">
        <v>3342</v>
      </c>
      <c r="N1736" t="s">
        <v>3431</v>
      </c>
      <c r="O1736" t="s">
        <v>3432</v>
      </c>
      <c r="P1736">
        <v>41228721</v>
      </c>
    </row>
    <row r="1737" spans="1:16">
      <c r="A1737" t="s">
        <v>84</v>
      </c>
      <c r="B1737">
        <v>0</v>
      </c>
      <c r="G1737" t="s">
        <v>3338</v>
      </c>
      <c r="I1737" t="s">
        <v>3338</v>
      </c>
      <c r="N1737" t="s">
        <v>3433</v>
      </c>
      <c r="O1737" t="s">
        <v>3434</v>
      </c>
      <c r="P1737">
        <v>41228721</v>
      </c>
    </row>
    <row r="1738" spans="1:16">
      <c r="A1738" t="s">
        <v>84</v>
      </c>
      <c r="B1738">
        <v>1</v>
      </c>
      <c r="E1738" t="s">
        <v>3433</v>
      </c>
      <c r="F1738" t="s">
        <v>3434</v>
      </c>
      <c r="G1738" t="s">
        <v>3435</v>
      </c>
      <c r="I1738" t="s">
        <v>3338</v>
      </c>
      <c r="J1738" t="s">
        <v>2232</v>
      </c>
      <c r="K1738" t="s">
        <v>2233</v>
      </c>
      <c r="L1738" t="s">
        <v>3342</v>
      </c>
      <c r="N1738" t="s">
        <v>3436</v>
      </c>
      <c r="O1738" t="s">
        <v>3437</v>
      </c>
      <c r="P1738">
        <v>41228721</v>
      </c>
    </row>
    <row r="1739" spans="1:16">
      <c r="A1739" t="s">
        <v>84</v>
      </c>
      <c r="B1739">
        <v>1</v>
      </c>
      <c r="E1739" t="s">
        <v>3433</v>
      </c>
      <c r="F1739" t="s">
        <v>3434</v>
      </c>
      <c r="G1739" t="s">
        <v>3435</v>
      </c>
      <c r="I1739" t="s">
        <v>3338</v>
      </c>
      <c r="J1739" t="s">
        <v>2232</v>
      </c>
      <c r="K1739" t="s">
        <v>2233</v>
      </c>
      <c r="L1739" t="s">
        <v>3342</v>
      </c>
      <c r="N1739" t="s">
        <v>3438</v>
      </c>
      <c r="O1739" t="s">
        <v>3439</v>
      </c>
      <c r="P1739">
        <v>41228721</v>
      </c>
    </row>
    <row r="1740" spans="1:16">
      <c r="A1740" t="s">
        <v>84</v>
      </c>
      <c r="B1740">
        <v>1</v>
      </c>
      <c r="E1740" t="s">
        <v>3433</v>
      </c>
      <c r="F1740" t="s">
        <v>3434</v>
      </c>
      <c r="G1740" t="s">
        <v>3435</v>
      </c>
      <c r="I1740" t="s">
        <v>3338</v>
      </c>
      <c r="J1740" t="s">
        <v>2232</v>
      </c>
      <c r="K1740" t="s">
        <v>2233</v>
      </c>
      <c r="L1740" t="s">
        <v>3342</v>
      </c>
      <c r="N1740" t="s">
        <v>3440</v>
      </c>
      <c r="O1740" t="s">
        <v>3441</v>
      </c>
      <c r="P1740">
        <v>41228721</v>
      </c>
    </row>
    <row r="1741" spans="1:16">
      <c r="A1741" t="s">
        <v>84</v>
      </c>
      <c r="B1741">
        <v>1</v>
      </c>
      <c r="E1741" t="s">
        <v>3433</v>
      </c>
      <c r="F1741" t="s">
        <v>3434</v>
      </c>
      <c r="G1741" t="s">
        <v>3435</v>
      </c>
      <c r="I1741" t="s">
        <v>3338</v>
      </c>
      <c r="J1741" t="s">
        <v>2232</v>
      </c>
      <c r="K1741" t="s">
        <v>2233</v>
      </c>
      <c r="L1741" t="s">
        <v>3342</v>
      </c>
      <c r="N1741" t="s">
        <v>3442</v>
      </c>
      <c r="O1741" t="s">
        <v>3443</v>
      </c>
      <c r="P1741">
        <v>41228721</v>
      </c>
    </row>
    <row r="1742" spans="1:16">
      <c r="A1742" t="s">
        <v>84</v>
      </c>
      <c r="B1742">
        <v>1</v>
      </c>
      <c r="E1742" t="s">
        <v>3433</v>
      </c>
      <c r="F1742" t="s">
        <v>3434</v>
      </c>
      <c r="G1742" t="s">
        <v>3435</v>
      </c>
      <c r="I1742" t="s">
        <v>3338</v>
      </c>
      <c r="J1742" t="s">
        <v>2232</v>
      </c>
      <c r="K1742" t="s">
        <v>2233</v>
      </c>
      <c r="L1742" t="s">
        <v>3342</v>
      </c>
      <c r="N1742" t="s">
        <v>3444</v>
      </c>
      <c r="O1742" t="s">
        <v>3445</v>
      </c>
      <c r="P1742">
        <v>41228721</v>
      </c>
    </row>
    <row r="1743" spans="1:16">
      <c r="A1743" t="s">
        <v>84</v>
      </c>
      <c r="B1743">
        <v>1</v>
      </c>
      <c r="E1743" t="s">
        <v>3433</v>
      </c>
      <c r="F1743" t="s">
        <v>3434</v>
      </c>
      <c r="G1743" t="s">
        <v>3435</v>
      </c>
      <c r="I1743" t="s">
        <v>3338</v>
      </c>
      <c r="J1743" t="s">
        <v>2232</v>
      </c>
      <c r="K1743" t="s">
        <v>2233</v>
      </c>
      <c r="L1743" t="s">
        <v>3342</v>
      </c>
      <c r="N1743" t="s">
        <v>3446</v>
      </c>
      <c r="O1743" t="s">
        <v>3447</v>
      </c>
      <c r="P1743">
        <v>41228721</v>
      </c>
    </row>
    <row r="1744" spans="1:16">
      <c r="A1744" t="s">
        <v>84</v>
      </c>
      <c r="B1744">
        <v>0</v>
      </c>
      <c r="G1744" t="s">
        <v>3338</v>
      </c>
      <c r="I1744" t="s">
        <v>3338</v>
      </c>
      <c r="N1744" t="s">
        <v>3448</v>
      </c>
      <c r="O1744" t="s">
        <v>3449</v>
      </c>
      <c r="P1744">
        <v>41228721</v>
      </c>
    </row>
    <row r="1745" spans="1:16">
      <c r="A1745" t="s">
        <v>84</v>
      </c>
      <c r="B1745">
        <v>1</v>
      </c>
      <c r="E1745" t="s">
        <v>3448</v>
      </c>
      <c r="F1745" t="s">
        <v>3449</v>
      </c>
      <c r="G1745" t="s">
        <v>3450</v>
      </c>
      <c r="I1745" t="s">
        <v>3338</v>
      </c>
      <c r="J1745" t="s">
        <v>2421</v>
      </c>
      <c r="K1745" t="s">
        <v>3354</v>
      </c>
      <c r="L1745" t="s">
        <v>3451</v>
      </c>
      <c r="N1745" t="s">
        <v>3452</v>
      </c>
      <c r="O1745" t="s">
        <v>3453</v>
      </c>
      <c r="P1745">
        <v>41228721</v>
      </c>
    </row>
    <row r="1746" spans="1:16">
      <c r="A1746" t="s">
        <v>86</v>
      </c>
      <c r="B1746">
        <v>0</v>
      </c>
      <c r="G1746" t="s">
        <v>3338</v>
      </c>
      <c r="I1746" t="s">
        <v>3338</v>
      </c>
      <c r="N1746" t="s">
        <v>3339</v>
      </c>
      <c r="O1746" t="s">
        <v>3340</v>
      </c>
      <c r="P1746">
        <v>41222823</v>
      </c>
    </row>
    <row r="1747" spans="1:16">
      <c r="A1747" t="s">
        <v>86</v>
      </c>
      <c r="B1747">
        <v>1</v>
      </c>
      <c r="E1747" t="s">
        <v>3339</v>
      </c>
      <c r="F1747" t="s">
        <v>3340</v>
      </c>
      <c r="G1747" t="s">
        <v>3341</v>
      </c>
      <c r="I1747" t="s">
        <v>3338</v>
      </c>
      <c r="J1747" t="s">
        <v>2232</v>
      </c>
      <c r="K1747" t="s">
        <v>2233</v>
      </c>
      <c r="L1747" t="s">
        <v>3342</v>
      </c>
      <c r="N1747" t="s">
        <v>3343</v>
      </c>
      <c r="O1747" t="s">
        <v>3344</v>
      </c>
      <c r="P1747">
        <v>41222823</v>
      </c>
    </row>
    <row r="1748" spans="1:16">
      <c r="A1748" t="s">
        <v>86</v>
      </c>
      <c r="B1748">
        <v>1</v>
      </c>
      <c r="E1748" t="s">
        <v>3339</v>
      </c>
      <c r="F1748" t="s">
        <v>3340</v>
      </c>
      <c r="G1748" t="s">
        <v>3341</v>
      </c>
      <c r="I1748" t="s">
        <v>3338</v>
      </c>
      <c r="J1748" t="s">
        <v>2232</v>
      </c>
      <c r="K1748" t="s">
        <v>2233</v>
      </c>
      <c r="L1748" t="s">
        <v>3342</v>
      </c>
      <c r="N1748" t="s">
        <v>3345</v>
      </c>
      <c r="O1748" t="s">
        <v>3346</v>
      </c>
      <c r="P1748">
        <v>41222823</v>
      </c>
    </row>
    <row r="1749" spans="1:16">
      <c r="A1749" t="s">
        <v>86</v>
      </c>
      <c r="B1749">
        <v>0</v>
      </c>
      <c r="G1749" t="s">
        <v>3338</v>
      </c>
      <c r="I1749" t="s">
        <v>3338</v>
      </c>
      <c r="N1749" t="s">
        <v>3347</v>
      </c>
      <c r="O1749" t="s">
        <v>3344</v>
      </c>
      <c r="P1749">
        <v>41222823</v>
      </c>
    </row>
    <row r="1750" spans="1:16">
      <c r="A1750" t="s">
        <v>86</v>
      </c>
      <c r="B1750">
        <v>1</v>
      </c>
      <c r="E1750" t="s">
        <v>3347</v>
      </c>
      <c r="F1750" t="s">
        <v>3344</v>
      </c>
      <c r="G1750" t="s">
        <v>3348</v>
      </c>
      <c r="I1750" t="s">
        <v>3338</v>
      </c>
      <c r="J1750" t="s">
        <v>2232</v>
      </c>
      <c r="K1750" t="s">
        <v>2233</v>
      </c>
      <c r="L1750" t="s">
        <v>3342</v>
      </c>
      <c r="N1750" t="s">
        <v>3349</v>
      </c>
      <c r="O1750" t="s">
        <v>3350</v>
      </c>
      <c r="P1750">
        <v>41222823</v>
      </c>
    </row>
    <row r="1751" spans="1:16">
      <c r="A1751" t="s">
        <v>86</v>
      </c>
      <c r="B1751">
        <v>1</v>
      </c>
      <c r="E1751" t="s">
        <v>3347</v>
      </c>
      <c r="F1751" t="s">
        <v>3344</v>
      </c>
      <c r="G1751" t="s">
        <v>3348</v>
      </c>
      <c r="I1751" t="s">
        <v>3338</v>
      </c>
      <c r="L1751" t="s">
        <v>193</v>
      </c>
      <c r="N1751" t="s">
        <v>3351</v>
      </c>
      <c r="O1751" t="s">
        <v>3352</v>
      </c>
      <c r="P1751">
        <v>41222823</v>
      </c>
    </row>
    <row r="1752" spans="1:16">
      <c r="A1752" t="s">
        <v>86</v>
      </c>
      <c r="B1752">
        <v>2</v>
      </c>
      <c r="E1752" t="s">
        <v>3351</v>
      </c>
      <c r="F1752" t="s">
        <v>3352</v>
      </c>
      <c r="G1752" t="s">
        <v>3353</v>
      </c>
      <c r="I1752" t="s">
        <v>3338</v>
      </c>
      <c r="J1752" t="s">
        <v>2421</v>
      </c>
      <c r="K1752" t="s">
        <v>3354</v>
      </c>
      <c r="L1752" t="s">
        <v>3355</v>
      </c>
      <c r="N1752" t="s">
        <v>3356</v>
      </c>
      <c r="O1752" t="s">
        <v>3357</v>
      </c>
      <c r="P1752">
        <v>41222823</v>
      </c>
    </row>
    <row r="1753" spans="1:16">
      <c r="A1753" t="s">
        <v>86</v>
      </c>
      <c r="B1753">
        <v>2</v>
      </c>
      <c r="E1753" t="s">
        <v>3351</v>
      </c>
      <c r="F1753" t="s">
        <v>3352</v>
      </c>
      <c r="G1753" t="s">
        <v>3353</v>
      </c>
      <c r="I1753" t="s">
        <v>3338</v>
      </c>
      <c r="J1753" t="s">
        <v>2421</v>
      </c>
      <c r="K1753" t="s">
        <v>3354</v>
      </c>
      <c r="L1753" t="s">
        <v>3355</v>
      </c>
      <c r="N1753" t="s">
        <v>3358</v>
      </c>
      <c r="O1753" t="s">
        <v>3359</v>
      </c>
      <c r="P1753">
        <v>41222823</v>
      </c>
    </row>
    <row r="1754" spans="1:16">
      <c r="A1754" t="s">
        <v>86</v>
      </c>
      <c r="B1754">
        <v>2</v>
      </c>
      <c r="E1754" t="s">
        <v>3351</v>
      </c>
      <c r="F1754" t="s">
        <v>3352</v>
      </c>
      <c r="G1754" t="s">
        <v>3353</v>
      </c>
      <c r="I1754" t="s">
        <v>3338</v>
      </c>
      <c r="J1754" t="s">
        <v>2421</v>
      </c>
      <c r="K1754" t="s">
        <v>3354</v>
      </c>
      <c r="L1754" t="s">
        <v>3355</v>
      </c>
      <c r="N1754" t="s">
        <v>3360</v>
      </c>
      <c r="O1754" t="s">
        <v>3361</v>
      </c>
      <c r="P1754">
        <v>41222823</v>
      </c>
    </row>
    <row r="1755" spans="1:16">
      <c r="A1755" t="s">
        <v>86</v>
      </c>
      <c r="B1755">
        <v>1</v>
      </c>
      <c r="E1755" t="s">
        <v>3347</v>
      </c>
      <c r="F1755" t="s">
        <v>3344</v>
      </c>
      <c r="G1755" t="s">
        <v>3348</v>
      </c>
      <c r="I1755" t="s">
        <v>3338</v>
      </c>
      <c r="J1755" t="s">
        <v>2236</v>
      </c>
      <c r="K1755" t="s">
        <v>3362</v>
      </c>
      <c r="L1755" t="s">
        <v>3363</v>
      </c>
      <c r="N1755" t="s">
        <v>3364</v>
      </c>
      <c r="O1755" t="s">
        <v>3365</v>
      </c>
      <c r="P1755">
        <v>41222823</v>
      </c>
    </row>
    <row r="1756" spans="1:16">
      <c r="A1756" t="s">
        <v>86</v>
      </c>
      <c r="B1756">
        <v>1</v>
      </c>
      <c r="E1756" t="s">
        <v>3347</v>
      </c>
      <c r="F1756" t="s">
        <v>3344</v>
      </c>
      <c r="G1756" t="s">
        <v>3348</v>
      </c>
      <c r="I1756" t="s">
        <v>3338</v>
      </c>
      <c r="L1756" t="s">
        <v>193</v>
      </c>
      <c r="N1756" t="s">
        <v>3366</v>
      </c>
      <c r="O1756" t="s">
        <v>3367</v>
      </c>
      <c r="P1756">
        <v>41222823</v>
      </c>
    </row>
    <row r="1757" spans="1:16">
      <c r="A1757" t="s">
        <v>86</v>
      </c>
      <c r="B1757">
        <v>2</v>
      </c>
      <c r="E1757" t="s">
        <v>3366</v>
      </c>
      <c r="F1757" t="s">
        <v>3367</v>
      </c>
      <c r="G1757" t="s">
        <v>3368</v>
      </c>
      <c r="I1757" t="s">
        <v>3338</v>
      </c>
      <c r="J1757" t="s">
        <v>2421</v>
      </c>
      <c r="K1757" t="s">
        <v>3354</v>
      </c>
      <c r="L1757" t="s">
        <v>3369</v>
      </c>
      <c r="N1757" t="s">
        <v>3370</v>
      </c>
      <c r="O1757" t="s">
        <v>3359</v>
      </c>
      <c r="P1757">
        <v>41222823</v>
      </c>
    </row>
    <row r="1758" spans="1:16">
      <c r="A1758" t="s">
        <v>86</v>
      </c>
      <c r="B1758">
        <v>2</v>
      </c>
      <c r="E1758" t="s">
        <v>3366</v>
      </c>
      <c r="F1758" t="s">
        <v>3367</v>
      </c>
      <c r="G1758" t="s">
        <v>3368</v>
      </c>
      <c r="I1758" t="s">
        <v>3338</v>
      </c>
      <c r="J1758" t="s">
        <v>2421</v>
      </c>
      <c r="K1758" t="s">
        <v>3354</v>
      </c>
      <c r="L1758" t="s">
        <v>3369</v>
      </c>
      <c r="N1758" t="s">
        <v>3371</v>
      </c>
      <c r="O1758" t="s">
        <v>3372</v>
      </c>
      <c r="P1758">
        <v>41222823</v>
      </c>
    </row>
    <row r="1759" spans="1:16">
      <c r="A1759" t="s">
        <v>86</v>
      </c>
      <c r="B1759">
        <v>2</v>
      </c>
      <c r="E1759" t="s">
        <v>3366</v>
      </c>
      <c r="F1759" t="s">
        <v>3367</v>
      </c>
      <c r="G1759" t="s">
        <v>3368</v>
      </c>
      <c r="I1759" t="s">
        <v>3338</v>
      </c>
      <c r="J1759" t="s">
        <v>2421</v>
      </c>
      <c r="K1759" t="s">
        <v>3354</v>
      </c>
      <c r="L1759" t="s">
        <v>3369</v>
      </c>
      <c r="N1759" t="s">
        <v>3373</v>
      </c>
      <c r="O1759" t="s">
        <v>3374</v>
      </c>
      <c r="P1759">
        <v>41222823</v>
      </c>
    </row>
    <row r="1760" spans="1:16">
      <c r="A1760" t="s">
        <v>86</v>
      </c>
      <c r="B1760">
        <v>2</v>
      </c>
      <c r="E1760" t="s">
        <v>3366</v>
      </c>
      <c r="F1760" t="s">
        <v>3367</v>
      </c>
      <c r="G1760" t="s">
        <v>3368</v>
      </c>
      <c r="I1760" t="s">
        <v>3338</v>
      </c>
      <c r="J1760" t="s">
        <v>2236</v>
      </c>
      <c r="K1760" t="s">
        <v>3362</v>
      </c>
      <c r="L1760" t="s">
        <v>3363</v>
      </c>
      <c r="N1760" t="s">
        <v>3375</v>
      </c>
      <c r="O1760" t="s">
        <v>3376</v>
      </c>
      <c r="P1760">
        <v>41222823</v>
      </c>
    </row>
    <row r="1761" spans="1:16">
      <c r="A1761" t="s">
        <v>86</v>
      </c>
      <c r="B1761">
        <v>1</v>
      </c>
      <c r="E1761" t="s">
        <v>3347</v>
      </c>
      <c r="F1761" t="s">
        <v>3344</v>
      </c>
      <c r="G1761" t="s">
        <v>3348</v>
      </c>
      <c r="I1761" t="s">
        <v>3338</v>
      </c>
      <c r="J1761" t="s">
        <v>2232</v>
      </c>
      <c r="K1761" t="s">
        <v>2233</v>
      </c>
      <c r="L1761" t="s">
        <v>3342</v>
      </c>
      <c r="N1761" t="s">
        <v>3454</v>
      </c>
      <c r="O1761" t="s">
        <v>3455</v>
      </c>
      <c r="P1761">
        <v>41222823</v>
      </c>
    </row>
    <row r="1762" spans="1:16">
      <c r="A1762" t="s">
        <v>86</v>
      </c>
      <c r="B1762">
        <v>0</v>
      </c>
      <c r="G1762" t="s">
        <v>3338</v>
      </c>
      <c r="I1762" t="s">
        <v>3338</v>
      </c>
      <c r="N1762" t="s">
        <v>3377</v>
      </c>
      <c r="O1762" t="s">
        <v>3346</v>
      </c>
      <c r="P1762">
        <v>41222823</v>
      </c>
    </row>
    <row r="1763" spans="1:16">
      <c r="A1763" t="s">
        <v>86</v>
      </c>
      <c r="B1763">
        <v>1</v>
      </c>
      <c r="E1763" t="s">
        <v>3377</v>
      </c>
      <c r="F1763" t="s">
        <v>3346</v>
      </c>
      <c r="G1763" t="s">
        <v>3378</v>
      </c>
      <c r="I1763" t="s">
        <v>3338</v>
      </c>
      <c r="L1763" t="s">
        <v>193</v>
      </c>
      <c r="N1763" t="s">
        <v>3379</v>
      </c>
      <c r="O1763" t="s">
        <v>3380</v>
      </c>
      <c r="P1763">
        <v>41222823</v>
      </c>
    </row>
    <row r="1764" spans="1:16">
      <c r="A1764" t="s">
        <v>86</v>
      </c>
      <c r="B1764">
        <v>2</v>
      </c>
      <c r="E1764" t="s">
        <v>3379</v>
      </c>
      <c r="F1764" t="s">
        <v>3380</v>
      </c>
      <c r="G1764" t="s">
        <v>3381</v>
      </c>
      <c r="I1764" t="s">
        <v>3338</v>
      </c>
      <c r="J1764" t="s">
        <v>2421</v>
      </c>
      <c r="K1764" t="s">
        <v>3354</v>
      </c>
      <c r="L1764" t="s">
        <v>3369</v>
      </c>
      <c r="N1764" t="s">
        <v>3382</v>
      </c>
      <c r="O1764" t="s">
        <v>3352</v>
      </c>
      <c r="P1764">
        <v>41222823</v>
      </c>
    </row>
    <row r="1765" spans="1:16">
      <c r="A1765" t="s">
        <v>86</v>
      </c>
      <c r="B1765">
        <v>2</v>
      </c>
      <c r="E1765" t="s">
        <v>3379</v>
      </c>
      <c r="F1765" t="s">
        <v>3380</v>
      </c>
      <c r="G1765" t="s">
        <v>3381</v>
      </c>
      <c r="I1765" t="s">
        <v>3338</v>
      </c>
      <c r="L1765" t="s">
        <v>3383</v>
      </c>
      <c r="N1765" t="s">
        <v>3384</v>
      </c>
      <c r="O1765" t="s">
        <v>3385</v>
      </c>
      <c r="P1765">
        <v>41222823</v>
      </c>
    </row>
    <row r="1766" spans="1:16">
      <c r="A1766" t="s">
        <v>86</v>
      </c>
      <c r="B1766">
        <v>2</v>
      </c>
      <c r="E1766" t="s">
        <v>3379</v>
      </c>
      <c r="F1766" t="s">
        <v>3380</v>
      </c>
      <c r="G1766" t="s">
        <v>3381</v>
      </c>
      <c r="I1766" t="s">
        <v>3338</v>
      </c>
      <c r="J1766" t="s">
        <v>2232</v>
      </c>
      <c r="K1766" t="s">
        <v>2233</v>
      </c>
      <c r="L1766" t="s">
        <v>3342</v>
      </c>
      <c r="N1766" t="s">
        <v>3386</v>
      </c>
      <c r="O1766" t="s">
        <v>3350</v>
      </c>
      <c r="P1766">
        <v>41222823</v>
      </c>
    </row>
    <row r="1767" spans="1:16">
      <c r="A1767" t="s">
        <v>86</v>
      </c>
      <c r="B1767">
        <v>1</v>
      </c>
      <c r="E1767" t="s">
        <v>3377</v>
      </c>
      <c r="F1767" t="s">
        <v>3346</v>
      </c>
      <c r="G1767" t="s">
        <v>3378</v>
      </c>
      <c r="I1767" t="s">
        <v>3338</v>
      </c>
      <c r="L1767" t="s">
        <v>193</v>
      </c>
      <c r="N1767" t="s">
        <v>3387</v>
      </c>
      <c r="O1767" t="s">
        <v>3388</v>
      </c>
      <c r="P1767">
        <v>41222823</v>
      </c>
    </row>
    <row r="1768" spans="1:16">
      <c r="A1768" t="s">
        <v>86</v>
      </c>
      <c r="B1768">
        <v>2</v>
      </c>
      <c r="E1768" t="s">
        <v>3387</v>
      </c>
      <c r="F1768" t="s">
        <v>3388</v>
      </c>
      <c r="G1768" t="s">
        <v>3389</v>
      </c>
      <c r="I1768" t="s">
        <v>3338</v>
      </c>
      <c r="L1768" t="s">
        <v>3369</v>
      </c>
      <c r="N1768" t="s">
        <v>3390</v>
      </c>
      <c r="O1768" t="s">
        <v>3352</v>
      </c>
      <c r="P1768">
        <v>41222823</v>
      </c>
    </row>
    <row r="1769" spans="1:16">
      <c r="A1769" t="s">
        <v>86</v>
      </c>
      <c r="B1769">
        <v>2</v>
      </c>
      <c r="E1769" t="s">
        <v>3387</v>
      </c>
      <c r="F1769" t="s">
        <v>3388</v>
      </c>
      <c r="G1769" t="s">
        <v>3389</v>
      </c>
      <c r="I1769" t="s">
        <v>3338</v>
      </c>
      <c r="L1769" t="s">
        <v>3342</v>
      </c>
      <c r="N1769" t="s">
        <v>3391</v>
      </c>
      <c r="O1769" t="s">
        <v>3392</v>
      </c>
      <c r="P1769">
        <v>41222823</v>
      </c>
    </row>
    <row r="1770" spans="1:16">
      <c r="A1770" t="s">
        <v>86</v>
      </c>
      <c r="B1770">
        <v>2</v>
      </c>
      <c r="E1770" t="s">
        <v>3387</v>
      </c>
      <c r="F1770" t="s">
        <v>3388</v>
      </c>
      <c r="G1770" t="s">
        <v>3389</v>
      </c>
      <c r="I1770" t="s">
        <v>3338</v>
      </c>
      <c r="L1770" t="s">
        <v>3383</v>
      </c>
      <c r="N1770" t="s">
        <v>3393</v>
      </c>
      <c r="O1770" t="s">
        <v>3385</v>
      </c>
      <c r="P1770">
        <v>41222823</v>
      </c>
    </row>
    <row r="1771" spans="1:16">
      <c r="A1771" t="s">
        <v>86</v>
      </c>
      <c r="B1771">
        <v>2</v>
      </c>
      <c r="E1771" t="s">
        <v>3387</v>
      </c>
      <c r="F1771" t="s">
        <v>3388</v>
      </c>
      <c r="G1771" t="s">
        <v>3389</v>
      </c>
      <c r="I1771" t="s">
        <v>3338</v>
      </c>
      <c r="L1771" t="s">
        <v>3342</v>
      </c>
      <c r="N1771" t="s">
        <v>3394</v>
      </c>
      <c r="O1771" t="s">
        <v>3350</v>
      </c>
      <c r="P1771">
        <v>41222823</v>
      </c>
    </row>
    <row r="1772" spans="1:16">
      <c r="A1772" t="s">
        <v>86</v>
      </c>
      <c r="B1772">
        <v>0</v>
      </c>
      <c r="G1772" t="s">
        <v>3338</v>
      </c>
      <c r="I1772" t="s">
        <v>3338</v>
      </c>
      <c r="N1772" t="s">
        <v>3395</v>
      </c>
      <c r="O1772" t="s">
        <v>3396</v>
      </c>
      <c r="P1772">
        <v>41222823</v>
      </c>
    </row>
    <row r="1773" spans="1:16">
      <c r="A1773" t="s">
        <v>86</v>
      </c>
      <c r="B1773">
        <v>1</v>
      </c>
      <c r="E1773" t="s">
        <v>3395</v>
      </c>
      <c r="F1773" t="s">
        <v>3396</v>
      </c>
      <c r="G1773" t="s">
        <v>3397</v>
      </c>
      <c r="I1773" t="s">
        <v>3338</v>
      </c>
      <c r="L1773" t="s">
        <v>3342</v>
      </c>
      <c r="N1773" t="s">
        <v>3398</v>
      </c>
      <c r="O1773" t="s">
        <v>3399</v>
      </c>
      <c r="P1773">
        <v>41222823</v>
      </c>
    </row>
    <row r="1774" spans="1:16">
      <c r="A1774" t="s">
        <v>86</v>
      </c>
      <c r="B1774">
        <v>1</v>
      </c>
      <c r="E1774" t="s">
        <v>3395</v>
      </c>
      <c r="F1774" t="s">
        <v>3396</v>
      </c>
      <c r="G1774" t="s">
        <v>3397</v>
      </c>
      <c r="I1774" t="s">
        <v>3338</v>
      </c>
      <c r="J1774" t="s">
        <v>2232</v>
      </c>
      <c r="K1774" t="s">
        <v>2233</v>
      </c>
      <c r="L1774" t="s">
        <v>3342</v>
      </c>
      <c r="N1774" t="s">
        <v>3400</v>
      </c>
      <c r="O1774" t="s">
        <v>3401</v>
      </c>
      <c r="P1774">
        <v>41222823</v>
      </c>
    </row>
    <row r="1775" spans="1:16">
      <c r="A1775" t="s">
        <v>86</v>
      </c>
      <c r="B1775">
        <v>1</v>
      </c>
      <c r="E1775" t="s">
        <v>3395</v>
      </c>
      <c r="F1775" t="s">
        <v>3396</v>
      </c>
      <c r="G1775" t="s">
        <v>3397</v>
      </c>
      <c r="I1775" t="s">
        <v>3338</v>
      </c>
      <c r="L1775" t="s">
        <v>3342</v>
      </c>
      <c r="N1775" t="s">
        <v>3402</v>
      </c>
      <c r="O1775" t="s">
        <v>3403</v>
      </c>
      <c r="P1775">
        <v>41222823</v>
      </c>
    </row>
    <row r="1776" spans="1:16">
      <c r="A1776" t="s">
        <v>86</v>
      </c>
      <c r="B1776">
        <v>1</v>
      </c>
      <c r="E1776" t="s">
        <v>3395</v>
      </c>
      <c r="F1776" t="s">
        <v>3396</v>
      </c>
      <c r="G1776" t="s">
        <v>3397</v>
      </c>
      <c r="I1776" t="s">
        <v>3338</v>
      </c>
      <c r="L1776" t="s">
        <v>3342</v>
      </c>
      <c r="N1776" t="s">
        <v>3404</v>
      </c>
      <c r="O1776" t="s">
        <v>3405</v>
      </c>
      <c r="P1776">
        <v>41222823</v>
      </c>
    </row>
    <row r="1777" spans="1:16">
      <c r="A1777" t="s">
        <v>86</v>
      </c>
      <c r="B1777">
        <v>0</v>
      </c>
      <c r="G1777" t="s">
        <v>3338</v>
      </c>
      <c r="I1777" t="s">
        <v>3338</v>
      </c>
      <c r="N1777" t="s">
        <v>3406</v>
      </c>
      <c r="O1777" t="s">
        <v>3407</v>
      </c>
      <c r="P1777">
        <v>41222823</v>
      </c>
    </row>
    <row r="1778" spans="1:16">
      <c r="A1778" t="s">
        <v>86</v>
      </c>
      <c r="B1778">
        <v>1</v>
      </c>
      <c r="E1778" t="s">
        <v>3406</v>
      </c>
      <c r="F1778" t="s">
        <v>3407</v>
      </c>
      <c r="G1778" t="s">
        <v>3408</v>
      </c>
      <c r="I1778" t="s">
        <v>3338</v>
      </c>
      <c r="J1778" t="s">
        <v>2421</v>
      </c>
      <c r="K1778" t="s">
        <v>3354</v>
      </c>
      <c r="L1778" t="s">
        <v>3369</v>
      </c>
      <c r="N1778" t="s">
        <v>3409</v>
      </c>
      <c r="O1778" t="s">
        <v>3410</v>
      </c>
      <c r="P1778">
        <v>41222823</v>
      </c>
    </row>
    <row r="1779" spans="1:16">
      <c r="A1779" t="s">
        <v>86</v>
      </c>
      <c r="B1779">
        <v>1</v>
      </c>
      <c r="E1779" t="s">
        <v>3406</v>
      </c>
      <c r="F1779" t="s">
        <v>3407</v>
      </c>
      <c r="G1779" t="s">
        <v>3408</v>
      </c>
      <c r="I1779" t="s">
        <v>3338</v>
      </c>
      <c r="L1779" t="s">
        <v>193</v>
      </c>
      <c r="N1779" t="s">
        <v>3411</v>
      </c>
      <c r="O1779" t="s">
        <v>3412</v>
      </c>
      <c r="P1779">
        <v>41222823</v>
      </c>
    </row>
    <row r="1780" spans="1:16">
      <c r="A1780" t="s">
        <v>86</v>
      </c>
      <c r="B1780">
        <v>2</v>
      </c>
      <c r="E1780" t="s">
        <v>3411</v>
      </c>
      <c r="F1780" t="s">
        <v>3412</v>
      </c>
      <c r="G1780" t="s">
        <v>3413</v>
      </c>
      <c r="I1780" t="s">
        <v>3338</v>
      </c>
      <c r="L1780" t="s">
        <v>3342</v>
      </c>
      <c r="N1780" t="s">
        <v>3414</v>
      </c>
      <c r="O1780" t="s">
        <v>3415</v>
      </c>
      <c r="P1780">
        <v>41222823</v>
      </c>
    </row>
    <row r="1781" spans="1:16">
      <c r="A1781" t="s">
        <v>86</v>
      </c>
      <c r="B1781">
        <v>2</v>
      </c>
      <c r="E1781" t="s">
        <v>3411</v>
      </c>
      <c r="F1781" t="s">
        <v>3412</v>
      </c>
      <c r="G1781" t="s">
        <v>3413</v>
      </c>
      <c r="I1781" t="s">
        <v>3338</v>
      </c>
      <c r="J1781" t="s">
        <v>2232</v>
      </c>
      <c r="K1781" t="s">
        <v>2233</v>
      </c>
      <c r="L1781" t="s">
        <v>3342</v>
      </c>
      <c r="N1781" t="s">
        <v>3416</v>
      </c>
      <c r="O1781" t="s">
        <v>3417</v>
      </c>
      <c r="P1781">
        <v>41222823</v>
      </c>
    </row>
    <row r="1782" spans="1:16">
      <c r="A1782" t="s">
        <v>86</v>
      </c>
      <c r="B1782">
        <v>2</v>
      </c>
      <c r="E1782" t="s">
        <v>3411</v>
      </c>
      <c r="F1782" t="s">
        <v>3412</v>
      </c>
      <c r="G1782" t="s">
        <v>3413</v>
      </c>
      <c r="I1782" t="s">
        <v>3338</v>
      </c>
      <c r="J1782" t="s">
        <v>2232</v>
      </c>
      <c r="K1782" t="s">
        <v>2233</v>
      </c>
      <c r="L1782" t="s">
        <v>3342</v>
      </c>
      <c r="N1782" t="s">
        <v>3418</v>
      </c>
      <c r="O1782" t="s">
        <v>3419</v>
      </c>
      <c r="P1782">
        <v>41222823</v>
      </c>
    </row>
    <row r="1783" spans="1:16">
      <c r="A1783" t="s">
        <v>86</v>
      </c>
      <c r="B1783">
        <v>2</v>
      </c>
      <c r="E1783" t="s">
        <v>3411</v>
      </c>
      <c r="F1783" t="s">
        <v>3412</v>
      </c>
      <c r="G1783" t="s">
        <v>3413</v>
      </c>
      <c r="I1783" t="s">
        <v>3338</v>
      </c>
      <c r="L1783" t="s">
        <v>3342</v>
      </c>
      <c r="N1783" t="s">
        <v>3420</v>
      </c>
      <c r="O1783" t="s">
        <v>3421</v>
      </c>
      <c r="P1783">
        <v>41222823</v>
      </c>
    </row>
    <row r="1784" spans="1:16">
      <c r="A1784" t="s">
        <v>86</v>
      </c>
      <c r="B1784">
        <v>2</v>
      </c>
      <c r="E1784" t="s">
        <v>3411</v>
      </c>
      <c r="F1784" t="s">
        <v>3412</v>
      </c>
      <c r="G1784" t="s">
        <v>3413</v>
      </c>
      <c r="I1784" t="s">
        <v>3338</v>
      </c>
      <c r="J1784" t="s">
        <v>2232</v>
      </c>
      <c r="K1784" t="s">
        <v>2233</v>
      </c>
      <c r="L1784" t="s">
        <v>3342</v>
      </c>
      <c r="N1784" t="s">
        <v>3422</v>
      </c>
      <c r="O1784" t="s">
        <v>3423</v>
      </c>
      <c r="P1784">
        <v>41222823</v>
      </c>
    </row>
    <row r="1785" spans="1:16">
      <c r="A1785" t="s">
        <v>86</v>
      </c>
      <c r="B1785">
        <v>0</v>
      </c>
      <c r="G1785" t="s">
        <v>3338</v>
      </c>
      <c r="I1785" t="s">
        <v>3338</v>
      </c>
      <c r="N1785" t="s">
        <v>3424</v>
      </c>
      <c r="O1785" t="s">
        <v>3425</v>
      </c>
      <c r="P1785">
        <v>41222823</v>
      </c>
    </row>
    <row r="1786" spans="1:16">
      <c r="A1786" t="s">
        <v>86</v>
      </c>
      <c r="B1786">
        <v>1</v>
      </c>
      <c r="E1786" t="s">
        <v>3424</v>
      </c>
      <c r="F1786" t="s">
        <v>3425</v>
      </c>
      <c r="G1786" t="s">
        <v>3426</v>
      </c>
      <c r="I1786" t="s">
        <v>3338</v>
      </c>
      <c r="J1786" t="s">
        <v>2421</v>
      </c>
      <c r="K1786" t="s">
        <v>3354</v>
      </c>
      <c r="L1786" t="s">
        <v>3369</v>
      </c>
      <c r="N1786" t="s">
        <v>3427</v>
      </c>
      <c r="O1786" t="s">
        <v>3428</v>
      </c>
      <c r="P1786">
        <v>41222823</v>
      </c>
    </row>
    <row r="1787" spans="1:16">
      <c r="A1787" t="s">
        <v>86</v>
      </c>
      <c r="B1787">
        <v>1</v>
      </c>
      <c r="E1787" t="s">
        <v>3424</v>
      </c>
      <c r="F1787" t="s">
        <v>3425</v>
      </c>
      <c r="G1787" t="s">
        <v>3426</v>
      </c>
      <c r="I1787" t="s">
        <v>3338</v>
      </c>
      <c r="J1787" t="s">
        <v>2421</v>
      </c>
      <c r="K1787" t="s">
        <v>3354</v>
      </c>
      <c r="L1787" t="s">
        <v>3369</v>
      </c>
      <c r="N1787" t="s">
        <v>3429</v>
      </c>
      <c r="O1787" t="s">
        <v>3430</v>
      </c>
      <c r="P1787">
        <v>41222823</v>
      </c>
    </row>
    <row r="1788" spans="1:16">
      <c r="A1788" t="s">
        <v>86</v>
      </c>
      <c r="B1788">
        <v>1</v>
      </c>
      <c r="E1788" t="s">
        <v>3424</v>
      </c>
      <c r="F1788" t="s">
        <v>3425</v>
      </c>
      <c r="G1788" t="s">
        <v>3426</v>
      </c>
      <c r="I1788" t="s">
        <v>3338</v>
      </c>
      <c r="J1788" t="s">
        <v>2232</v>
      </c>
      <c r="K1788" t="s">
        <v>2233</v>
      </c>
      <c r="L1788" t="s">
        <v>3342</v>
      </c>
      <c r="N1788" t="s">
        <v>3431</v>
      </c>
      <c r="O1788" t="s">
        <v>3432</v>
      </c>
      <c r="P1788">
        <v>41222823</v>
      </c>
    </row>
    <row r="1789" spans="1:16">
      <c r="A1789" t="s">
        <v>86</v>
      </c>
      <c r="B1789">
        <v>0</v>
      </c>
      <c r="G1789" t="s">
        <v>3338</v>
      </c>
      <c r="I1789" t="s">
        <v>3338</v>
      </c>
      <c r="N1789" t="s">
        <v>3433</v>
      </c>
      <c r="O1789" t="s">
        <v>3434</v>
      </c>
      <c r="P1789">
        <v>41222823</v>
      </c>
    </row>
    <row r="1790" spans="1:16">
      <c r="A1790" t="s">
        <v>86</v>
      </c>
      <c r="B1790">
        <v>1</v>
      </c>
      <c r="E1790" t="s">
        <v>3433</v>
      </c>
      <c r="F1790" t="s">
        <v>3434</v>
      </c>
      <c r="G1790" t="s">
        <v>3435</v>
      </c>
      <c r="I1790" t="s">
        <v>3338</v>
      </c>
      <c r="J1790" t="s">
        <v>2232</v>
      </c>
      <c r="K1790" t="s">
        <v>2233</v>
      </c>
      <c r="L1790" t="s">
        <v>3342</v>
      </c>
      <c r="N1790" t="s">
        <v>3436</v>
      </c>
      <c r="O1790" t="s">
        <v>3437</v>
      </c>
      <c r="P1790">
        <v>41222823</v>
      </c>
    </row>
    <row r="1791" spans="1:16">
      <c r="A1791" t="s">
        <v>86</v>
      </c>
      <c r="B1791">
        <v>1</v>
      </c>
      <c r="E1791" t="s">
        <v>3433</v>
      </c>
      <c r="F1791" t="s">
        <v>3434</v>
      </c>
      <c r="G1791" t="s">
        <v>3435</v>
      </c>
      <c r="I1791" t="s">
        <v>3338</v>
      </c>
      <c r="J1791" t="s">
        <v>2232</v>
      </c>
      <c r="K1791" t="s">
        <v>2233</v>
      </c>
      <c r="L1791" t="s">
        <v>3342</v>
      </c>
      <c r="N1791" t="s">
        <v>3438</v>
      </c>
      <c r="O1791" t="s">
        <v>3439</v>
      </c>
      <c r="P1791">
        <v>41222823</v>
      </c>
    </row>
    <row r="1792" spans="1:16">
      <c r="A1792" t="s">
        <v>86</v>
      </c>
      <c r="B1792">
        <v>1</v>
      </c>
      <c r="E1792" t="s">
        <v>3433</v>
      </c>
      <c r="F1792" t="s">
        <v>3434</v>
      </c>
      <c r="G1792" t="s">
        <v>3435</v>
      </c>
      <c r="I1792" t="s">
        <v>3338</v>
      </c>
      <c r="J1792" t="s">
        <v>2232</v>
      </c>
      <c r="K1792" t="s">
        <v>2233</v>
      </c>
      <c r="L1792" t="s">
        <v>3342</v>
      </c>
      <c r="N1792" t="s">
        <v>3440</v>
      </c>
      <c r="O1792" t="s">
        <v>3441</v>
      </c>
      <c r="P1792">
        <v>41222823</v>
      </c>
    </row>
    <row r="1793" spans="1:16">
      <c r="A1793" t="s">
        <v>86</v>
      </c>
      <c r="B1793">
        <v>1</v>
      </c>
      <c r="E1793" t="s">
        <v>3433</v>
      </c>
      <c r="F1793" t="s">
        <v>3434</v>
      </c>
      <c r="G1793" t="s">
        <v>3435</v>
      </c>
      <c r="I1793" t="s">
        <v>3338</v>
      </c>
      <c r="J1793" t="s">
        <v>2232</v>
      </c>
      <c r="K1793" t="s">
        <v>2233</v>
      </c>
      <c r="L1793" t="s">
        <v>3342</v>
      </c>
      <c r="N1793" t="s">
        <v>3442</v>
      </c>
      <c r="O1793" t="s">
        <v>3443</v>
      </c>
      <c r="P1793">
        <v>41222823</v>
      </c>
    </row>
    <row r="1794" spans="1:16">
      <c r="A1794" t="s">
        <v>86</v>
      </c>
      <c r="B1794">
        <v>1</v>
      </c>
      <c r="E1794" t="s">
        <v>3433</v>
      </c>
      <c r="F1794" t="s">
        <v>3434</v>
      </c>
      <c r="G1794" t="s">
        <v>3435</v>
      </c>
      <c r="I1794" t="s">
        <v>3338</v>
      </c>
      <c r="J1794" t="s">
        <v>2232</v>
      </c>
      <c r="K1794" t="s">
        <v>2233</v>
      </c>
      <c r="L1794" t="s">
        <v>3342</v>
      </c>
      <c r="N1794" t="s">
        <v>3444</v>
      </c>
      <c r="O1794" t="s">
        <v>3445</v>
      </c>
      <c r="P1794">
        <v>41222823</v>
      </c>
    </row>
    <row r="1795" spans="1:16">
      <c r="A1795" t="s">
        <v>86</v>
      </c>
      <c r="B1795">
        <v>1</v>
      </c>
      <c r="E1795" t="s">
        <v>3433</v>
      </c>
      <c r="F1795" t="s">
        <v>3434</v>
      </c>
      <c r="G1795" t="s">
        <v>3435</v>
      </c>
      <c r="I1795" t="s">
        <v>3338</v>
      </c>
      <c r="J1795" t="s">
        <v>2232</v>
      </c>
      <c r="K1795" t="s">
        <v>2233</v>
      </c>
      <c r="L1795" t="s">
        <v>3342</v>
      </c>
      <c r="N1795" t="s">
        <v>3446</v>
      </c>
      <c r="O1795" t="s">
        <v>3447</v>
      </c>
      <c r="P1795">
        <v>41222823</v>
      </c>
    </row>
    <row r="1796" spans="1:16">
      <c r="A1796" t="s">
        <v>86</v>
      </c>
      <c r="B1796">
        <v>0</v>
      </c>
      <c r="G1796" t="s">
        <v>3338</v>
      </c>
      <c r="I1796" t="s">
        <v>3338</v>
      </c>
      <c r="N1796" t="s">
        <v>3448</v>
      </c>
      <c r="O1796" t="s">
        <v>3449</v>
      </c>
      <c r="P1796">
        <v>41222823</v>
      </c>
    </row>
    <row r="1797" spans="1:16">
      <c r="A1797" t="s">
        <v>86</v>
      </c>
      <c r="B1797">
        <v>1</v>
      </c>
      <c r="E1797" t="s">
        <v>3448</v>
      </c>
      <c r="F1797" t="s">
        <v>3449</v>
      </c>
      <c r="G1797" t="s">
        <v>3450</v>
      </c>
      <c r="I1797" t="s">
        <v>3338</v>
      </c>
      <c r="J1797" t="s">
        <v>2421</v>
      </c>
      <c r="K1797" t="s">
        <v>3354</v>
      </c>
      <c r="L1797" t="s">
        <v>3451</v>
      </c>
      <c r="N1797" t="s">
        <v>3452</v>
      </c>
      <c r="O1797" t="s">
        <v>3453</v>
      </c>
      <c r="P1797">
        <v>41222823</v>
      </c>
    </row>
    <row r="1798" spans="1:16">
      <c r="A1798" t="s">
        <v>88</v>
      </c>
      <c r="B1798">
        <v>0</v>
      </c>
      <c r="G1798" t="s">
        <v>3338</v>
      </c>
      <c r="I1798" t="s">
        <v>3338</v>
      </c>
      <c r="N1798" t="s">
        <v>3339</v>
      </c>
      <c r="O1798" t="s">
        <v>3340</v>
      </c>
      <c r="P1798">
        <v>41203439</v>
      </c>
    </row>
    <row r="1799" spans="1:16">
      <c r="A1799" t="s">
        <v>88</v>
      </c>
      <c r="B1799">
        <v>1</v>
      </c>
      <c r="E1799" t="s">
        <v>3339</v>
      </c>
      <c r="F1799" t="s">
        <v>3340</v>
      </c>
      <c r="G1799" t="s">
        <v>3341</v>
      </c>
      <c r="I1799" t="s">
        <v>3338</v>
      </c>
      <c r="J1799" t="s">
        <v>2232</v>
      </c>
      <c r="K1799" t="s">
        <v>2233</v>
      </c>
      <c r="L1799" t="s">
        <v>3342</v>
      </c>
      <c r="N1799" t="s">
        <v>3343</v>
      </c>
      <c r="O1799" t="s">
        <v>3344</v>
      </c>
      <c r="P1799">
        <v>41203439</v>
      </c>
    </row>
    <row r="1800" spans="1:16">
      <c r="A1800" t="s">
        <v>88</v>
      </c>
      <c r="B1800">
        <v>1</v>
      </c>
      <c r="E1800" t="s">
        <v>3339</v>
      </c>
      <c r="F1800" t="s">
        <v>3340</v>
      </c>
      <c r="G1800" t="s">
        <v>3341</v>
      </c>
      <c r="I1800" t="s">
        <v>3338</v>
      </c>
      <c r="J1800" t="s">
        <v>2232</v>
      </c>
      <c r="K1800" t="s">
        <v>2233</v>
      </c>
      <c r="L1800" t="s">
        <v>3342</v>
      </c>
      <c r="N1800" t="s">
        <v>3345</v>
      </c>
      <c r="O1800" t="s">
        <v>3346</v>
      </c>
      <c r="P1800">
        <v>41203439</v>
      </c>
    </row>
    <row r="1801" spans="1:16">
      <c r="A1801" t="s">
        <v>88</v>
      </c>
      <c r="B1801">
        <v>0</v>
      </c>
      <c r="G1801" t="s">
        <v>3338</v>
      </c>
      <c r="I1801" t="s">
        <v>3338</v>
      </c>
      <c r="N1801" t="s">
        <v>3347</v>
      </c>
      <c r="O1801" t="s">
        <v>3344</v>
      </c>
      <c r="P1801">
        <v>41203439</v>
      </c>
    </row>
    <row r="1802" spans="1:16">
      <c r="A1802" t="s">
        <v>88</v>
      </c>
      <c r="B1802">
        <v>1</v>
      </c>
      <c r="E1802" t="s">
        <v>3347</v>
      </c>
      <c r="F1802" t="s">
        <v>3344</v>
      </c>
      <c r="G1802" t="s">
        <v>3348</v>
      </c>
      <c r="I1802" t="s">
        <v>3338</v>
      </c>
      <c r="J1802" t="s">
        <v>2232</v>
      </c>
      <c r="K1802" t="s">
        <v>2233</v>
      </c>
      <c r="L1802" t="s">
        <v>3342</v>
      </c>
      <c r="N1802" t="s">
        <v>3349</v>
      </c>
      <c r="O1802" t="s">
        <v>3350</v>
      </c>
      <c r="P1802">
        <v>41203439</v>
      </c>
    </row>
    <row r="1803" spans="1:16">
      <c r="A1803" t="s">
        <v>88</v>
      </c>
      <c r="B1803">
        <v>1</v>
      </c>
      <c r="E1803" t="s">
        <v>3347</v>
      </c>
      <c r="F1803" t="s">
        <v>3344</v>
      </c>
      <c r="G1803" t="s">
        <v>3348</v>
      </c>
      <c r="I1803" t="s">
        <v>3338</v>
      </c>
      <c r="L1803" t="s">
        <v>193</v>
      </c>
      <c r="N1803" t="s">
        <v>3351</v>
      </c>
      <c r="O1803" t="s">
        <v>3352</v>
      </c>
      <c r="P1803">
        <v>41203439</v>
      </c>
    </row>
    <row r="1804" spans="1:16">
      <c r="A1804" t="s">
        <v>88</v>
      </c>
      <c r="B1804">
        <v>2</v>
      </c>
      <c r="E1804" t="s">
        <v>3351</v>
      </c>
      <c r="F1804" t="s">
        <v>3352</v>
      </c>
      <c r="G1804" t="s">
        <v>3353</v>
      </c>
      <c r="I1804" t="s">
        <v>3338</v>
      </c>
      <c r="J1804" t="s">
        <v>2421</v>
      </c>
      <c r="K1804" t="s">
        <v>3354</v>
      </c>
      <c r="L1804" t="s">
        <v>3355</v>
      </c>
      <c r="N1804" t="s">
        <v>3356</v>
      </c>
      <c r="O1804" t="s">
        <v>3357</v>
      </c>
      <c r="P1804">
        <v>41203439</v>
      </c>
    </row>
    <row r="1805" spans="1:16">
      <c r="A1805" t="s">
        <v>88</v>
      </c>
      <c r="B1805">
        <v>2</v>
      </c>
      <c r="E1805" t="s">
        <v>3351</v>
      </c>
      <c r="F1805" t="s">
        <v>3352</v>
      </c>
      <c r="G1805" t="s">
        <v>3353</v>
      </c>
      <c r="I1805" t="s">
        <v>3338</v>
      </c>
      <c r="J1805" t="s">
        <v>2421</v>
      </c>
      <c r="K1805" t="s">
        <v>3354</v>
      </c>
      <c r="L1805" t="s">
        <v>3355</v>
      </c>
      <c r="N1805" t="s">
        <v>3358</v>
      </c>
      <c r="O1805" t="s">
        <v>3359</v>
      </c>
      <c r="P1805">
        <v>41203439</v>
      </c>
    </row>
    <row r="1806" spans="1:16">
      <c r="A1806" t="s">
        <v>88</v>
      </c>
      <c r="B1806">
        <v>2</v>
      </c>
      <c r="E1806" t="s">
        <v>3351</v>
      </c>
      <c r="F1806" t="s">
        <v>3352</v>
      </c>
      <c r="G1806" t="s">
        <v>3353</v>
      </c>
      <c r="I1806" t="s">
        <v>3338</v>
      </c>
      <c r="J1806" t="s">
        <v>2421</v>
      </c>
      <c r="K1806" t="s">
        <v>3354</v>
      </c>
      <c r="L1806" t="s">
        <v>3355</v>
      </c>
      <c r="N1806" t="s">
        <v>3360</v>
      </c>
      <c r="O1806" t="s">
        <v>3361</v>
      </c>
      <c r="P1806">
        <v>41203439</v>
      </c>
    </row>
    <row r="1807" spans="1:16">
      <c r="A1807" t="s">
        <v>88</v>
      </c>
      <c r="B1807">
        <v>1</v>
      </c>
      <c r="E1807" t="s">
        <v>3347</v>
      </c>
      <c r="F1807" t="s">
        <v>3344</v>
      </c>
      <c r="G1807" t="s">
        <v>3348</v>
      </c>
      <c r="I1807" t="s">
        <v>3338</v>
      </c>
      <c r="J1807" t="s">
        <v>2236</v>
      </c>
      <c r="K1807" t="s">
        <v>3362</v>
      </c>
      <c r="L1807" t="s">
        <v>3363</v>
      </c>
      <c r="N1807" t="s">
        <v>3364</v>
      </c>
      <c r="O1807" t="s">
        <v>3365</v>
      </c>
      <c r="P1807">
        <v>41203439</v>
      </c>
    </row>
    <row r="1808" spans="1:16">
      <c r="A1808" t="s">
        <v>88</v>
      </c>
      <c r="B1808">
        <v>1</v>
      </c>
      <c r="E1808" t="s">
        <v>3347</v>
      </c>
      <c r="F1808" t="s">
        <v>3344</v>
      </c>
      <c r="G1808" t="s">
        <v>3348</v>
      </c>
      <c r="I1808" t="s">
        <v>3338</v>
      </c>
      <c r="L1808" t="s">
        <v>193</v>
      </c>
      <c r="N1808" t="s">
        <v>3366</v>
      </c>
      <c r="O1808" t="s">
        <v>3367</v>
      </c>
      <c r="P1808">
        <v>41203439</v>
      </c>
    </row>
    <row r="1809" spans="1:16">
      <c r="A1809" t="s">
        <v>88</v>
      </c>
      <c r="B1809">
        <v>2</v>
      </c>
      <c r="E1809" t="s">
        <v>3366</v>
      </c>
      <c r="F1809" t="s">
        <v>3367</v>
      </c>
      <c r="G1809" t="s">
        <v>3368</v>
      </c>
      <c r="I1809" t="s">
        <v>3338</v>
      </c>
      <c r="J1809" t="s">
        <v>2421</v>
      </c>
      <c r="K1809" t="s">
        <v>3354</v>
      </c>
      <c r="L1809" t="s">
        <v>3369</v>
      </c>
      <c r="N1809" t="s">
        <v>3370</v>
      </c>
      <c r="O1809" t="s">
        <v>3359</v>
      </c>
      <c r="P1809">
        <v>41203439</v>
      </c>
    </row>
    <row r="1810" spans="1:16">
      <c r="A1810" t="s">
        <v>88</v>
      </c>
      <c r="B1810">
        <v>2</v>
      </c>
      <c r="E1810" t="s">
        <v>3366</v>
      </c>
      <c r="F1810" t="s">
        <v>3367</v>
      </c>
      <c r="G1810" t="s">
        <v>3368</v>
      </c>
      <c r="I1810" t="s">
        <v>3338</v>
      </c>
      <c r="J1810" t="s">
        <v>2421</v>
      </c>
      <c r="K1810" t="s">
        <v>3354</v>
      </c>
      <c r="L1810" t="s">
        <v>3369</v>
      </c>
      <c r="N1810" t="s">
        <v>3371</v>
      </c>
      <c r="O1810" t="s">
        <v>3372</v>
      </c>
      <c r="P1810">
        <v>41203439</v>
      </c>
    </row>
    <row r="1811" spans="1:16">
      <c r="A1811" t="s">
        <v>88</v>
      </c>
      <c r="B1811">
        <v>2</v>
      </c>
      <c r="E1811" t="s">
        <v>3366</v>
      </c>
      <c r="F1811" t="s">
        <v>3367</v>
      </c>
      <c r="G1811" t="s">
        <v>3368</v>
      </c>
      <c r="I1811" t="s">
        <v>3338</v>
      </c>
      <c r="J1811" t="s">
        <v>2421</v>
      </c>
      <c r="K1811" t="s">
        <v>3354</v>
      </c>
      <c r="L1811" t="s">
        <v>3369</v>
      </c>
      <c r="N1811" t="s">
        <v>3373</v>
      </c>
      <c r="O1811" t="s">
        <v>3374</v>
      </c>
      <c r="P1811">
        <v>41203439</v>
      </c>
    </row>
    <row r="1812" spans="1:16">
      <c r="A1812" t="s">
        <v>88</v>
      </c>
      <c r="B1812">
        <v>2</v>
      </c>
      <c r="E1812" t="s">
        <v>3366</v>
      </c>
      <c r="F1812" t="s">
        <v>3367</v>
      </c>
      <c r="G1812" t="s">
        <v>3368</v>
      </c>
      <c r="I1812" t="s">
        <v>3338</v>
      </c>
      <c r="J1812" t="s">
        <v>2236</v>
      </c>
      <c r="K1812" t="s">
        <v>3362</v>
      </c>
      <c r="L1812" t="s">
        <v>3363</v>
      </c>
      <c r="N1812" t="s">
        <v>3375</v>
      </c>
      <c r="O1812" t="s">
        <v>3376</v>
      </c>
      <c r="P1812">
        <v>41203439</v>
      </c>
    </row>
    <row r="1813" spans="1:16">
      <c r="A1813" t="s">
        <v>88</v>
      </c>
      <c r="B1813">
        <v>0</v>
      </c>
      <c r="G1813" t="s">
        <v>3338</v>
      </c>
      <c r="I1813" t="s">
        <v>3338</v>
      </c>
      <c r="N1813" t="s">
        <v>3377</v>
      </c>
      <c r="O1813" t="s">
        <v>3346</v>
      </c>
      <c r="P1813">
        <v>41203439</v>
      </c>
    </row>
    <row r="1814" spans="1:16">
      <c r="A1814" t="s">
        <v>88</v>
      </c>
      <c r="B1814">
        <v>1</v>
      </c>
      <c r="E1814" t="s">
        <v>3377</v>
      </c>
      <c r="F1814" t="s">
        <v>3346</v>
      </c>
      <c r="G1814" t="s">
        <v>3378</v>
      </c>
      <c r="I1814" t="s">
        <v>3338</v>
      </c>
      <c r="L1814" t="s">
        <v>193</v>
      </c>
      <c r="N1814" t="s">
        <v>3379</v>
      </c>
      <c r="O1814" t="s">
        <v>3380</v>
      </c>
      <c r="P1814">
        <v>41203439</v>
      </c>
    </row>
    <row r="1815" spans="1:16">
      <c r="A1815" t="s">
        <v>88</v>
      </c>
      <c r="B1815">
        <v>2</v>
      </c>
      <c r="E1815" t="s">
        <v>3379</v>
      </c>
      <c r="F1815" t="s">
        <v>3380</v>
      </c>
      <c r="G1815" t="s">
        <v>3381</v>
      </c>
      <c r="I1815" t="s">
        <v>3338</v>
      </c>
      <c r="J1815" t="s">
        <v>2421</v>
      </c>
      <c r="K1815" t="s">
        <v>3354</v>
      </c>
      <c r="L1815" t="s">
        <v>3369</v>
      </c>
      <c r="N1815" t="s">
        <v>3382</v>
      </c>
      <c r="O1815" t="s">
        <v>3352</v>
      </c>
      <c r="P1815">
        <v>41203439</v>
      </c>
    </row>
    <row r="1816" spans="1:16">
      <c r="A1816" t="s">
        <v>88</v>
      </c>
      <c r="B1816">
        <v>2</v>
      </c>
      <c r="E1816" t="s">
        <v>3379</v>
      </c>
      <c r="F1816" t="s">
        <v>3380</v>
      </c>
      <c r="G1816" t="s">
        <v>3381</v>
      </c>
      <c r="I1816" t="s">
        <v>3338</v>
      </c>
      <c r="L1816" t="s">
        <v>3383</v>
      </c>
      <c r="N1816" t="s">
        <v>3384</v>
      </c>
      <c r="O1816" t="s">
        <v>3385</v>
      </c>
      <c r="P1816">
        <v>41203439</v>
      </c>
    </row>
    <row r="1817" spans="1:16">
      <c r="A1817" t="s">
        <v>88</v>
      </c>
      <c r="B1817">
        <v>2</v>
      </c>
      <c r="E1817" t="s">
        <v>3379</v>
      </c>
      <c r="F1817" t="s">
        <v>3380</v>
      </c>
      <c r="G1817" t="s">
        <v>3381</v>
      </c>
      <c r="I1817" t="s">
        <v>3338</v>
      </c>
      <c r="J1817" t="s">
        <v>2232</v>
      </c>
      <c r="K1817" t="s">
        <v>2233</v>
      </c>
      <c r="L1817" t="s">
        <v>3342</v>
      </c>
      <c r="N1817" t="s">
        <v>3386</v>
      </c>
      <c r="O1817" t="s">
        <v>3350</v>
      </c>
      <c r="P1817">
        <v>41203439</v>
      </c>
    </row>
    <row r="1818" spans="1:16">
      <c r="A1818" t="s">
        <v>88</v>
      </c>
      <c r="B1818">
        <v>0</v>
      </c>
      <c r="G1818" t="s">
        <v>3338</v>
      </c>
      <c r="I1818" t="s">
        <v>3338</v>
      </c>
      <c r="N1818" t="s">
        <v>3395</v>
      </c>
      <c r="O1818" t="s">
        <v>3396</v>
      </c>
      <c r="P1818">
        <v>41203439</v>
      </c>
    </row>
    <row r="1819" spans="1:16">
      <c r="A1819" t="s">
        <v>88</v>
      </c>
      <c r="B1819">
        <v>1</v>
      </c>
      <c r="E1819" t="s">
        <v>3395</v>
      </c>
      <c r="F1819" t="s">
        <v>3396</v>
      </c>
      <c r="G1819" t="s">
        <v>3397</v>
      </c>
      <c r="I1819" t="s">
        <v>3338</v>
      </c>
      <c r="L1819" t="s">
        <v>3342</v>
      </c>
      <c r="N1819" t="s">
        <v>3398</v>
      </c>
      <c r="O1819" t="s">
        <v>3399</v>
      </c>
      <c r="P1819">
        <v>41203439</v>
      </c>
    </row>
    <row r="1820" spans="1:16">
      <c r="A1820" t="s">
        <v>88</v>
      </c>
      <c r="B1820">
        <v>1</v>
      </c>
      <c r="E1820" t="s">
        <v>3395</v>
      </c>
      <c r="F1820" t="s">
        <v>3396</v>
      </c>
      <c r="G1820" t="s">
        <v>3397</v>
      </c>
      <c r="I1820" t="s">
        <v>3338</v>
      </c>
      <c r="J1820" t="s">
        <v>2232</v>
      </c>
      <c r="K1820" t="s">
        <v>2233</v>
      </c>
      <c r="L1820" t="s">
        <v>3342</v>
      </c>
      <c r="N1820" t="s">
        <v>3400</v>
      </c>
      <c r="O1820" t="s">
        <v>3401</v>
      </c>
      <c r="P1820">
        <v>41203439</v>
      </c>
    </row>
    <row r="1821" spans="1:16">
      <c r="A1821" t="s">
        <v>88</v>
      </c>
      <c r="B1821">
        <v>1</v>
      </c>
      <c r="E1821" t="s">
        <v>3395</v>
      </c>
      <c r="F1821" t="s">
        <v>3396</v>
      </c>
      <c r="G1821" t="s">
        <v>3397</v>
      </c>
      <c r="I1821" t="s">
        <v>3338</v>
      </c>
      <c r="L1821" t="s">
        <v>3342</v>
      </c>
      <c r="N1821" t="s">
        <v>3402</v>
      </c>
      <c r="O1821" t="s">
        <v>3403</v>
      </c>
      <c r="P1821">
        <v>41203439</v>
      </c>
    </row>
    <row r="1822" spans="1:16">
      <c r="A1822" t="s">
        <v>88</v>
      </c>
      <c r="B1822">
        <v>1</v>
      </c>
      <c r="E1822" t="s">
        <v>3395</v>
      </c>
      <c r="F1822" t="s">
        <v>3396</v>
      </c>
      <c r="G1822" t="s">
        <v>3397</v>
      </c>
      <c r="I1822" t="s">
        <v>3338</v>
      </c>
      <c r="L1822" t="s">
        <v>3342</v>
      </c>
      <c r="N1822" t="s">
        <v>3404</v>
      </c>
      <c r="O1822" t="s">
        <v>3405</v>
      </c>
      <c r="P1822">
        <v>41203439</v>
      </c>
    </row>
    <row r="1823" spans="1:16">
      <c r="A1823" t="s">
        <v>88</v>
      </c>
      <c r="B1823">
        <v>0</v>
      </c>
      <c r="G1823" t="s">
        <v>3338</v>
      </c>
      <c r="I1823" t="s">
        <v>3338</v>
      </c>
      <c r="N1823" t="s">
        <v>3406</v>
      </c>
      <c r="O1823" t="s">
        <v>3407</v>
      </c>
      <c r="P1823">
        <v>41203439</v>
      </c>
    </row>
    <row r="1824" spans="1:16">
      <c r="A1824" t="s">
        <v>88</v>
      </c>
      <c r="B1824">
        <v>1</v>
      </c>
      <c r="E1824" t="s">
        <v>3406</v>
      </c>
      <c r="F1824" t="s">
        <v>3407</v>
      </c>
      <c r="G1824" t="s">
        <v>3408</v>
      </c>
      <c r="I1824" t="s">
        <v>3338</v>
      </c>
      <c r="J1824" t="s">
        <v>2421</v>
      </c>
      <c r="K1824" t="s">
        <v>3354</v>
      </c>
      <c r="L1824" t="s">
        <v>3369</v>
      </c>
      <c r="N1824" t="s">
        <v>3409</v>
      </c>
      <c r="O1824" t="s">
        <v>3410</v>
      </c>
      <c r="P1824">
        <v>41203439</v>
      </c>
    </row>
    <row r="1825" spans="1:16">
      <c r="A1825" t="s">
        <v>88</v>
      </c>
      <c r="B1825">
        <v>1</v>
      </c>
      <c r="E1825" t="s">
        <v>3406</v>
      </c>
      <c r="F1825" t="s">
        <v>3407</v>
      </c>
      <c r="G1825" t="s">
        <v>3408</v>
      </c>
      <c r="I1825" t="s">
        <v>3338</v>
      </c>
      <c r="L1825" t="s">
        <v>193</v>
      </c>
      <c r="N1825" t="s">
        <v>3411</v>
      </c>
      <c r="O1825" t="s">
        <v>3412</v>
      </c>
      <c r="P1825">
        <v>41203439</v>
      </c>
    </row>
    <row r="1826" spans="1:16">
      <c r="A1826" t="s">
        <v>88</v>
      </c>
      <c r="B1826">
        <v>2</v>
      </c>
      <c r="E1826" t="s">
        <v>3411</v>
      </c>
      <c r="F1826" t="s">
        <v>3412</v>
      </c>
      <c r="G1826" t="s">
        <v>3413</v>
      </c>
      <c r="I1826" t="s">
        <v>3338</v>
      </c>
      <c r="L1826" t="s">
        <v>3342</v>
      </c>
      <c r="N1826" t="s">
        <v>3414</v>
      </c>
      <c r="O1826" t="s">
        <v>3415</v>
      </c>
      <c r="P1826">
        <v>41203439</v>
      </c>
    </row>
    <row r="1827" spans="1:16">
      <c r="A1827" t="s">
        <v>88</v>
      </c>
      <c r="B1827">
        <v>2</v>
      </c>
      <c r="E1827" t="s">
        <v>3411</v>
      </c>
      <c r="F1827" t="s">
        <v>3412</v>
      </c>
      <c r="G1827" t="s">
        <v>3413</v>
      </c>
      <c r="I1827" t="s">
        <v>3338</v>
      </c>
      <c r="J1827" t="s">
        <v>2232</v>
      </c>
      <c r="K1827" t="s">
        <v>2233</v>
      </c>
      <c r="L1827" t="s">
        <v>3342</v>
      </c>
      <c r="N1827" t="s">
        <v>3416</v>
      </c>
      <c r="O1827" t="s">
        <v>3417</v>
      </c>
      <c r="P1827">
        <v>41203439</v>
      </c>
    </row>
    <row r="1828" spans="1:16">
      <c r="A1828" t="s">
        <v>88</v>
      </c>
      <c r="B1828">
        <v>2</v>
      </c>
      <c r="E1828" t="s">
        <v>3411</v>
      </c>
      <c r="F1828" t="s">
        <v>3412</v>
      </c>
      <c r="G1828" t="s">
        <v>3413</v>
      </c>
      <c r="I1828" t="s">
        <v>3338</v>
      </c>
      <c r="J1828" t="s">
        <v>2232</v>
      </c>
      <c r="K1828" t="s">
        <v>2233</v>
      </c>
      <c r="L1828" t="s">
        <v>3342</v>
      </c>
      <c r="N1828" t="s">
        <v>3418</v>
      </c>
      <c r="O1828" t="s">
        <v>3419</v>
      </c>
      <c r="P1828">
        <v>41203439</v>
      </c>
    </row>
    <row r="1829" spans="1:16">
      <c r="A1829" t="s">
        <v>88</v>
      </c>
      <c r="B1829">
        <v>2</v>
      </c>
      <c r="E1829" t="s">
        <v>3411</v>
      </c>
      <c r="F1829" t="s">
        <v>3412</v>
      </c>
      <c r="G1829" t="s">
        <v>3413</v>
      </c>
      <c r="I1829" t="s">
        <v>3338</v>
      </c>
      <c r="L1829" t="s">
        <v>3342</v>
      </c>
      <c r="N1829" t="s">
        <v>3420</v>
      </c>
      <c r="O1829" t="s">
        <v>3421</v>
      </c>
      <c r="P1829">
        <v>41203439</v>
      </c>
    </row>
    <row r="1830" spans="1:16">
      <c r="A1830" t="s">
        <v>88</v>
      </c>
      <c r="B1830">
        <v>2</v>
      </c>
      <c r="E1830" t="s">
        <v>3411</v>
      </c>
      <c r="F1830" t="s">
        <v>3412</v>
      </c>
      <c r="G1830" t="s">
        <v>3413</v>
      </c>
      <c r="I1830" t="s">
        <v>3338</v>
      </c>
      <c r="J1830" t="s">
        <v>2232</v>
      </c>
      <c r="K1830" t="s">
        <v>2233</v>
      </c>
      <c r="L1830" t="s">
        <v>3342</v>
      </c>
      <c r="N1830" t="s">
        <v>3422</v>
      </c>
      <c r="O1830" t="s">
        <v>3423</v>
      </c>
      <c r="P1830">
        <v>41203439</v>
      </c>
    </row>
    <row r="1831" spans="1:16">
      <c r="A1831" t="s">
        <v>88</v>
      </c>
      <c r="B1831">
        <v>0</v>
      </c>
      <c r="G1831" t="s">
        <v>3338</v>
      </c>
      <c r="I1831" t="s">
        <v>3338</v>
      </c>
      <c r="N1831" t="s">
        <v>3424</v>
      </c>
      <c r="O1831" t="s">
        <v>3425</v>
      </c>
      <c r="P1831">
        <v>41203439</v>
      </c>
    </row>
    <row r="1832" spans="1:16">
      <c r="A1832" t="s">
        <v>88</v>
      </c>
      <c r="B1832">
        <v>1</v>
      </c>
      <c r="E1832" t="s">
        <v>3424</v>
      </c>
      <c r="F1832" t="s">
        <v>3425</v>
      </c>
      <c r="G1832" t="s">
        <v>3426</v>
      </c>
      <c r="I1832" t="s">
        <v>3338</v>
      </c>
      <c r="J1832" t="s">
        <v>2421</v>
      </c>
      <c r="K1832" t="s">
        <v>3354</v>
      </c>
      <c r="L1832" t="s">
        <v>3369</v>
      </c>
      <c r="N1832" t="s">
        <v>3427</v>
      </c>
      <c r="O1832" t="s">
        <v>3428</v>
      </c>
      <c r="P1832">
        <v>41203439</v>
      </c>
    </row>
    <row r="1833" spans="1:16">
      <c r="A1833" t="s">
        <v>88</v>
      </c>
      <c r="B1833">
        <v>1</v>
      </c>
      <c r="E1833" t="s">
        <v>3424</v>
      </c>
      <c r="F1833" t="s">
        <v>3425</v>
      </c>
      <c r="G1833" t="s">
        <v>3426</v>
      </c>
      <c r="I1833" t="s">
        <v>3338</v>
      </c>
      <c r="J1833" t="s">
        <v>2421</v>
      </c>
      <c r="K1833" t="s">
        <v>3354</v>
      </c>
      <c r="L1833" t="s">
        <v>3369</v>
      </c>
      <c r="N1833" t="s">
        <v>3429</v>
      </c>
      <c r="O1833" t="s">
        <v>3430</v>
      </c>
      <c r="P1833">
        <v>41203439</v>
      </c>
    </row>
    <row r="1834" spans="1:16">
      <c r="A1834" t="s">
        <v>88</v>
      </c>
      <c r="B1834">
        <v>1</v>
      </c>
      <c r="E1834" t="s">
        <v>3424</v>
      </c>
      <c r="F1834" t="s">
        <v>3425</v>
      </c>
      <c r="G1834" t="s">
        <v>3426</v>
      </c>
      <c r="I1834" t="s">
        <v>3338</v>
      </c>
      <c r="J1834" t="s">
        <v>2232</v>
      </c>
      <c r="K1834" t="s">
        <v>2233</v>
      </c>
      <c r="L1834" t="s">
        <v>3342</v>
      </c>
      <c r="N1834" t="s">
        <v>3431</v>
      </c>
      <c r="O1834" t="s">
        <v>3432</v>
      </c>
      <c r="P1834">
        <v>41203439</v>
      </c>
    </row>
    <row r="1835" spans="1:16">
      <c r="A1835" t="s">
        <v>88</v>
      </c>
      <c r="B1835">
        <v>0</v>
      </c>
      <c r="G1835" t="s">
        <v>3338</v>
      </c>
      <c r="I1835" t="s">
        <v>3338</v>
      </c>
      <c r="N1835" t="s">
        <v>3433</v>
      </c>
      <c r="O1835" t="s">
        <v>3434</v>
      </c>
      <c r="P1835">
        <v>41203439</v>
      </c>
    </row>
    <row r="1836" spans="1:16">
      <c r="A1836" t="s">
        <v>88</v>
      </c>
      <c r="B1836">
        <v>1</v>
      </c>
      <c r="E1836" t="s">
        <v>3433</v>
      </c>
      <c r="F1836" t="s">
        <v>3434</v>
      </c>
      <c r="G1836" t="s">
        <v>3435</v>
      </c>
      <c r="I1836" t="s">
        <v>3338</v>
      </c>
      <c r="J1836" t="s">
        <v>2232</v>
      </c>
      <c r="K1836" t="s">
        <v>2233</v>
      </c>
      <c r="L1836" t="s">
        <v>3342</v>
      </c>
      <c r="N1836" t="s">
        <v>3436</v>
      </c>
      <c r="O1836" t="s">
        <v>3437</v>
      </c>
      <c r="P1836">
        <v>41203439</v>
      </c>
    </row>
    <row r="1837" spans="1:16">
      <c r="A1837" t="s">
        <v>88</v>
      </c>
      <c r="B1837">
        <v>1</v>
      </c>
      <c r="E1837" t="s">
        <v>3433</v>
      </c>
      <c r="F1837" t="s">
        <v>3434</v>
      </c>
      <c r="G1837" t="s">
        <v>3435</v>
      </c>
      <c r="I1837" t="s">
        <v>3338</v>
      </c>
      <c r="J1837" t="s">
        <v>2232</v>
      </c>
      <c r="K1837" t="s">
        <v>2233</v>
      </c>
      <c r="L1837" t="s">
        <v>3342</v>
      </c>
      <c r="N1837" t="s">
        <v>3438</v>
      </c>
      <c r="O1837" t="s">
        <v>3439</v>
      </c>
      <c r="P1837">
        <v>41203439</v>
      </c>
    </row>
    <row r="1838" spans="1:16">
      <c r="A1838" t="s">
        <v>88</v>
      </c>
      <c r="B1838">
        <v>1</v>
      </c>
      <c r="E1838" t="s">
        <v>3433</v>
      </c>
      <c r="F1838" t="s">
        <v>3434</v>
      </c>
      <c r="G1838" t="s">
        <v>3435</v>
      </c>
      <c r="I1838" t="s">
        <v>3338</v>
      </c>
      <c r="J1838" t="s">
        <v>2232</v>
      </c>
      <c r="K1838" t="s">
        <v>2233</v>
      </c>
      <c r="L1838" t="s">
        <v>3342</v>
      </c>
      <c r="N1838" t="s">
        <v>3440</v>
      </c>
      <c r="O1838" t="s">
        <v>3441</v>
      </c>
      <c r="P1838">
        <v>41203439</v>
      </c>
    </row>
    <row r="1839" spans="1:16">
      <c r="A1839" t="s">
        <v>88</v>
      </c>
      <c r="B1839">
        <v>1</v>
      </c>
      <c r="E1839" t="s">
        <v>3433</v>
      </c>
      <c r="F1839" t="s">
        <v>3434</v>
      </c>
      <c r="G1839" t="s">
        <v>3435</v>
      </c>
      <c r="I1839" t="s">
        <v>3338</v>
      </c>
      <c r="J1839" t="s">
        <v>2232</v>
      </c>
      <c r="K1839" t="s">
        <v>2233</v>
      </c>
      <c r="L1839" t="s">
        <v>3342</v>
      </c>
      <c r="N1839" t="s">
        <v>3442</v>
      </c>
      <c r="O1839" t="s">
        <v>3443</v>
      </c>
      <c r="P1839">
        <v>41203439</v>
      </c>
    </row>
    <row r="1840" spans="1:16">
      <c r="A1840" t="s">
        <v>88</v>
      </c>
      <c r="B1840">
        <v>1</v>
      </c>
      <c r="E1840" t="s">
        <v>3433</v>
      </c>
      <c r="F1840" t="s">
        <v>3434</v>
      </c>
      <c r="G1840" t="s">
        <v>3435</v>
      </c>
      <c r="I1840" t="s">
        <v>3338</v>
      </c>
      <c r="J1840" t="s">
        <v>2232</v>
      </c>
      <c r="K1840" t="s">
        <v>2233</v>
      </c>
      <c r="L1840" t="s">
        <v>3342</v>
      </c>
      <c r="N1840" t="s">
        <v>3444</v>
      </c>
      <c r="O1840" t="s">
        <v>3445</v>
      </c>
      <c r="P1840">
        <v>41203439</v>
      </c>
    </row>
    <row r="1841" spans="1:16">
      <c r="A1841" t="s">
        <v>88</v>
      </c>
      <c r="B1841">
        <v>1</v>
      </c>
      <c r="E1841" t="s">
        <v>3433</v>
      </c>
      <c r="F1841" t="s">
        <v>3434</v>
      </c>
      <c r="G1841" t="s">
        <v>3435</v>
      </c>
      <c r="I1841" t="s">
        <v>3338</v>
      </c>
      <c r="J1841" t="s">
        <v>2232</v>
      </c>
      <c r="K1841" t="s">
        <v>2233</v>
      </c>
      <c r="L1841" t="s">
        <v>3342</v>
      </c>
      <c r="N1841" t="s">
        <v>3446</v>
      </c>
      <c r="O1841" t="s">
        <v>3447</v>
      </c>
      <c r="P1841">
        <v>41203439</v>
      </c>
    </row>
    <row r="1842" spans="1:16">
      <c r="A1842" t="s">
        <v>88</v>
      </c>
      <c r="B1842">
        <v>0</v>
      </c>
      <c r="G1842" t="s">
        <v>3338</v>
      </c>
      <c r="I1842" t="s">
        <v>3338</v>
      </c>
      <c r="N1842" t="s">
        <v>3470</v>
      </c>
      <c r="O1842" t="s">
        <v>3471</v>
      </c>
      <c r="P1842">
        <v>41203439</v>
      </c>
    </row>
    <row r="1843" spans="1:16">
      <c r="A1843" t="s">
        <v>88</v>
      </c>
      <c r="B1843">
        <v>1</v>
      </c>
      <c r="E1843" t="s">
        <v>3470</v>
      </c>
      <c r="F1843" t="s">
        <v>3471</v>
      </c>
      <c r="G1843" t="s">
        <v>3472</v>
      </c>
      <c r="I1843" t="s">
        <v>3338</v>
      </c>
      <c r="J1843" t="s">
        <v>2232</v>
      </c>
      <c r="K1843" t="s">
        <v>2233</v>
      </c>
      <c r="L1843" t="s">
        <v>3342</v>
      </c>
      <c r="N1843" t="s">
        <v>3473</v>
      </c>
      <c r="O1843" t="s">
        <v>3474</v>
      </c>
      <c r="P1843">
        <v>41203439</v>
      </c>
    </row>
    <row r="1844" spans="1:16">
      <c r="A1844" t="s">
        <v>88</v>
      </c>
      <c r="B1844">
        <v>1</v>
      </c>
      <c r="E1844" t="s">
        <v>3470</v>
      </c>
      <c r="F1844" t="s">
        <v>3471</v>
      </c>
      <c r="G1844" t="s">
        <v>3472</v>
      </c>
      <c r="I1844" t="s">
        <v>3338</v>
      </c>
      <c r="J1844" t="s">
        <v>2232</v>
      </c>
      <c r="K1844" t="s">
        <v>2233</v>
      </c>
      <c r="L1844" t="s">
        <v>3342</v>
      </c>
      <c r="N1844" t="s">
        <v>3475</v>
      </c>
      <c r="O1844" t="s">
        <v>3476</v>
      </c>
      <c r="P1844">
        <v>41203439</v>
      </c>
    </row>
    <row r="1845" spans="1:16">
      <c r="A1845" t="s">
        <v>88</v>
      </c>
      <c r="B1845">
        <v>1</v>
      </c>
      <c r="E1845" t="s">
        <v>3470</v>
      </c>
      <c r="F1845" t="s">
        <v>3471</v>
      </c>
      <c r="G1845" t="s">
        <v>3472</v>
      </c>
      <c r="I1845" t="s">
        <v>3338</v>
      </c>
      <c r="J1845" t="s">
        <v>2232</v>
      </c>
      <c r="K1845" t="s">
        <v>2233</v>
      </c>
      <c r="L1845" t="s">
        <v>3342</v>
      </c>
      <c r="N1845" t="s">
        <v>3477</v>
      </c>
      <c r="O1845" t="s">
        <v>3478</v>
      </c>
      <c r="P1845">
        <v>41203439</v>
      </c>
    </row>
    <row r="1846" spans="1:16">
      <c r="A1846" t="s">
        <v>88</v>
      </c>
      <c r="B1846">
        <v>0</v>
      </c>
      <c r="G1846" t="s">
        <v>3338</v>
      </c>
      <c r="I1846" t="s">
        <v>3338</v>
      </c>
      <c r="N1846" t="s">
        <v>3448</v>
      </c>
      <c r="O1846" t="s">
        <v>3449</v>
      </c>
      <c r="P1846">
        <v>41203439</v>
      </c>
    </row>
    <row r="1847" spans="1:16">
      <c r="A1847" t="s">
        <v>88</v>
      </c>
      <c r="B1847">
        <v>1</v>
      </c>
      <c r="E1847" t="s">
        <v>3448</v>
      </c>
      <c r="F1847" t="s">
        <v>3449</v>
      </c>
      <c r="G1847" t="s">
        <v>3450</v>
      </c>
      <c r="I1847" t="s">
        <v>3338</v>
      </c>
      <c r="J1847" t="s">
        <v>2421</v>
      </c>
      <c r="K1847" t="s">
        <v>3354</v>
      </c>
      <c r="L1847" t="s">
        <v>3451</v>
      </c>
      <c r="N1847" t="s">
        <v>3452</v>
      </c>
      <c r="O1847" t="s">
        <v>3453</v>
      </c>
      <c r="P1847">
        <v>41203439</v>
      </c>
    </row>
    <row r="1848" spans="1:16">
      <c r="A1848" t="s">
        <v>90</v>
      </c>
      <c r="B1848">
        <v>0</v>
      </c>
      <c r="G1848" t="s">
        <v>3338</v>
      </c>
      <c r="I1848" t="s">
        <v>3338</v>
      </c>
      <c r="N1848" t="s">
        <v>3339</v>
      </c>
      <c r="O1848" t="s">
        <v>3340</v>
      </c>
      <c r="P1848">
        <v>41192737</v>
      </c>
    </row>
    <row r="1849" spans="1:16">
      <c r="A1849" t="s">
        <v>90</v>
      </c>
      <c r="B1849">
        <v>1</v>
      </c>
      <c r="E1849" t="s">
        <v>3339</v>
      </c>
      <c r="F1849" t="s">
        <v>3340</v>
      </c>
      <c r="G1849" t="s">
        <v>3341</v>
      </c>
      <c r="I1849" t="s">
        <v>3338</v>
      </c>
      <c r="J1849" t="s">
        <v>2232</v>
      </c>
      <c r="K1849" t="s">
        <v>2233</v>
      </c>
      <c r="L1849" t="s">
        <v>3342</v>
      </c>
      <c r="N1849" t="s">
        <v>3343</v>
      </c>
      <c r="O1849" t="s">
        <v>3344</v>
      </c>
      <c r="P1849">
        <v>41192737</v>
      </c>
    </row>
    <row r="1850" spans="1:16">
      <c r="A1850" t="s">
        <v>90</v>
      </c>
      <c r="B1850">
        <v>1</v>
      </c>
      <c r="E1850" t="s">
        <v>3339</v>
      </c>
      <c r="F1850" t="s">
        <v>3340</v>
      </c>
      <c r="G1850" t="s">
        <v>3341</v>
      </c>
      <c r="I1850" t="s">
        <v>3338</v>
      </c>
      <c r="J1850" t="s">
        <v>2232</v>
      </c>
      <c r="K1850" t="s">
        <v>2233</v>
      </c>
      <c r="L1850" t="s">
        <v>3342</v>
      </c>
      <c r="N1850" t="s">
        <v>3345</v>
      </c>
      <c r="O1850" t="s">
        <v>3346</v>
      </c>
      <c r="P1850">
        <v>41192737</v>
      </c>
    </row>
    <row r="1851" spans="1:16">
      <c r="A1851" t="s">
        <v>90</v>
      </c>
      <c r="B1851">
        <v>0</v>
      </c>
      <c r="G1851" t="s">
        <v>3338</v>
      </c>
      <c r="I1851" t="s">
        <v>3338</v>
      </c>
      <c r="N1851" t="s">
        <v>3347</v>
      </c>
      <c r="O1851" t="s">
        <v>3344</v>
      </c>
      <c r="P1851">
        <v>41192737</v>
      </c>
    </row>
    <row r="1852" spans="1:16">
      <c r="A1852" t="s">
        <v>90</v>
      </c>
      <c r="B1852">
        <v>1</v>
      </c>
      <c r="E1852" t="s">
        <v>3347</v>
      </c>
      <c r="F1852" t="s">
        <v>3344</v>
      </c>
      <c r="G1852" t="s">
        <v>3348</v>
      </c>
      <c r="I1852" t="s">
        <v>3338</v>
      </c>
      <c r="J1852" t="s">
        <v>2232</v>
      </c>
      <c r="K1852" t="s">
        <v>2233</v>
      </c>
      <c r="L1852" t="s">
        <v>3342</v>
      </c>
      <c r="N1852" t="s">
        <v>3349</v>
      </c>
      <c r="O1852" t="s">
        <v>3350</v>
      </c>
      <c r="P1852">
        <v>41192737</v>
      </c>
    </row>
    <row r="1853" spans="1:16">
      <c r="A1853" t="s">
        <v>90</v>
      </c>
      <c r="B1853">
        <v>1</v>
      </c>
      <c r="E1853" t="s">
        <v>3347</v>
      </c>
      <c r="F1853" t="s">
        <v>3344</v>
      </c>
      <c r="G1853" t="s">
        <v>3348</v>
      </c>
      <c r="I1853" t="s">
        <v>3338</v>
      </c>
      <c r="L1853" t="s">
        <v>193</v>
      </c>
      <c r="N1853" t="s">
        <v>3351</v>
      </c>
      <c r="O1853" t="s">
        <v>3352</v>
      </c>
      <c r="P1853">
        <v>41192737</v>
      </c>
    </row>
    <row r="1854" spans="1:16">
      <c r="A1854" t="s">
        <v>90</v>
      </c>
      <c r="B1854">
        <v>2</v>
      </c>
      <c r="E1854" t="s">
        <v>3351</v>
      </c>
      <c r="F1854" t="s">
        <v>3352</v>
      </c>
      <c r="G1854" t="s">
        <v>3353</v>
      </c>
      <c r="I1854" t="s">
        <v>3338</v>
      </c>
      <c r="J1854" t="s">
        <v>2421</v>
      </c>
      <c r="K1854" t="s">
        <v>3354</v>
      </c>
      <c r="L1854" t="s">
        <v>3355</v>
      </c>
      <c r="N1854" t="s">
        <v>3356</v>
      </c>
      <c r="O1854" t="s">
        <v>3357</v>
      </c>
      <c r="P1854">
        <v>41192737</v>
      </c>
    </row>
    <row r="1855" spans="1:16">
      <c r="A1855" t="s">
        <v>90</v>
      </c>
      <c r="B1855">
        <v>2</v>
      </c>
      <c r="E1855" t="s">
        <v>3351</v>
      </c>
      <c r="F1855" t="s">
        <v>3352</v>
      </c>
      <c r="G1855" t="s">
        <v>3353</v>
      </c>
      <c r="I1855" t="s">
        <v>3338</v>
      </c>
      <c r="J1855" t="s">
        <v>2421</v>
      </c>
      <c r="K1855" t="s">
        <v>3354</v>
      </c>
      <c r="L1855" t="s">
        <v>3355</v>
      </c>
      <c r="N1855" t="s">
        <v>3358</v>
      </c>
      <c r="O1855" t="s">
        <v>3359</v>
      </c>
      <c r="P1855">
        <v>41192737</v>
      </c>
    </row>
    <row r="1856" spans="1:16">
      <c r="A1856" t="s">
        <v>90</v>
      </c>
      <c r="B1856">
        <v>2</v>
      </c>
      <c r="E1856" t="s">
        <v>3351</v>
      </c>
      <c r="F1856" t="s">
        <v>3352</v>
      </c>
      <c r="G1856" t="s">
        <v>3353</v>
      </c>
      <c r="I1856" t="s">
        <v>3338</v>
      </c>
      <c r="J1856" t="s">
        <v>2421</v>
      </c>
      <c r="K1856" t="s">
        <v>3354</v>
      </c>
      <c r="L1856" t="s">
        <v>3355</v>
      </c>
      <c r="N1856" t="s">
        <v>3360</v>
      </c>
      <c r="O1856" t="s">
        <v>3361</v>
      </c>
      <c r="P1856">
        <v>41192737</v>
      </c>
    </row>
    <row r="1857" spans="1:16">
      <c r="A1857" t="s">
        <v>90</v>
      </c>
      <c r="B1857">
        <v>1</v>
      </c>
      <c r="E1857" t="s">
        <v>3347</v>
      </c>
      <c r="F1857" t="s">
        <v>3344</v>
      </c>
      <c r="G1857" t="s">
        <v>3348</v>
      </c>
      <c r="I1857" t="s">
        <v>3338</v>
      </c>
      <c r="J1857" t="s">
        <v>2236</v>
      </c>
      <c r="K1857" t="s">
        <v>3362</v>
      </c>
      <c r="L1857" t="s">
        <v>3363</v>
      </c>
      <c r="N1857" t="s">
        <v>3364</v>
      </c>
      <c r="O1857" t="s">
        <v>3365</v>
      </c>
      <c r="P1857">
        <v>41192737</v>
      </c>
    </row>
    <row r="1858" spans="1:16">
      <c r="A1858" t="s">
        <v>90</v>
      </c>
      <c r="B1858">
        <v>1</v>
      </c>
      <c r="E1858" t="s">
        <v>3347</v>
      </c>
      <c r="F1858" t="s">
        <v>3344</v>
      </c>
      <c r="G1858" t="s">
        <v>3348</v>
      </c>
      <c r="I1858" t="s">
        <v>3338</v>
      </c>
      <c r="L1858" t="s">
        <v>193</v>
      </c>
      <c r="N1858" t="s">
        <v>3366</v>
      </c>
      <c r="O1858" t="s">
        <v>3367</v>
      </c>
      <c r="P1858">
        <v>41192737</v>
      </c>
    </row>
    <row r="1859" spans="1:16">
      <c r="A1859" t="s">
        <v>90</v>
      </c>
      <c r="B1859">
        <v>2</v>
      </c>
      <c r="E1859" t="s">
        <v>3366</v>
      </c>
      <c r="F1859" t="s">
        <v>3367</v>
      </c>
      <c r="G1859" t="s">
        <v>3368</v>
      </c>
      <c r="I1859" t="s">
        <v>3338</v>
      </c>
      <c r="J1859" t="s">
        <v>2421</v>
      </c>
      <c r="K1859" t="s">
        <v>3354</v>
      </c>
      <c r="L1859" t="s">
        <v>3369</v>
      </c>
      <c r="N1859" t="s">
        <v>3370</v>
      </c>
      <c r="O1859" t="s">
        <v>3359</v>
      </c>
      <c r="P1859">
        <v>41192737</v>
      </c>
    </row>
    <row r="1860" spans="1:16">
      <c r="A1860" t="s">
        <v>90</v>
      </c>
      <c r="B1860">
        <v>2</v>
      </c>
      <c r="E1860" t="s">
        <v>3366</v>
      </c>
      <c r="F1860" t="s">
        <v>3367</v>
      </c>
      <c r="G1860" t="s">
        <v>3368</v>
      </c>
      <c r="I1860" t="s">
        <v>3338</v>
      </c>
      <c r="J1860" t="s">
        <v>2421</v>
      </c>
      <c r="K1860" t="s">
        <v>3354</v>
      </c>
      <c r="L1860" t="s">
        <v>3369</v>
      </c>
      <c r="N1860" t="s">
        <v>3371</v>
      </c>
      <c r="O1860" t="s">
        <v>3372</v>
      </c>
      <c r="P1860">
        <v>41192737</v>
      </c>
    </row>
    <row r="1861" spans="1:16">
      <c r="A1861" t="s">
        <v>90</v>
      </c>
      <c r="B1861">
        <v>2</v>
      </c>
      <c r="E1861" t="s">
        <v>3366</v>
      </c>
      <c r="F1861" t="s">
        <v>3367</v>
      </c>
      <c r="G1861" t="s">
        <v>3368</v>
      </c>
      <c r="I1861" t="s">
        <v>3338</v>
      </c>
      <c r="J1861" t="s">
        <v>2421</v>
      </c>
      <c r="K1861" t="s">
        <v>3354</v>
      </c>
      <c r="L1861" t="s">
        <v>3369</v>
      </c>
      <c r="N1861" t="s">
        <v>3373</v>
      </c>
      <c r="O1861" t="s">
        <v>3374</v>
      </c>
      <c r="P1861">
        <v>41192737</v>
      </c>
    </row>
    <row r="1862" spans="1:16">
      <c r="A1862" t="s">
        <v>90</v>
      </c>
      <c r="B1862">
        <v>2</v>
      </c>
      <c r="E1862" t="s">
        <v>3366</v>
      </c>
      <c r="F1862" t="s">
        <v>3367</v>
      </c>
      <c r="G1862" t="s">
        <v>3368</v>
      </c>
      <c r="I1862" t="s">
        <v>3338</v>
      </c>
      <c r="J1862" t="s">
        <v>2236</v>
      </c>
      <c r="K1862" t="s">
        <v>3362</v>
      </c>
      <c r="L1862" t="s">
        <v>3363</v>
      </c>
      <c r="N1862" t="s">
        <v>3375</v>
      </c>
      <c r="O1862" t="s">
        <v>3376</v>
      </c>
      <c r="P1862">
        <v>41192737</v>
      </c>
    </row>
    <row r="1863" spans="1:16">
      <c r="A1863" t="s">
        <v>90</v>
      </c>
      <c r="B1863">
        <v>1</v>
      </c>
      <c r="E1863" t="s">
        <v>3347</v>
      </c>
      <c r="F1863" t="s">
        <v>3344</v>
      </c>
      <c r="G1863" t="s">
        <v>3348</v>
      </c>
      <c r="I1863" t="s">
        <v>3338</v>
      </c>
      <c r="J1863" t="s">
        <v>2232</v>
      </c>
      <c r="K1863" t="s">
        <v>2233</v>
      </c>
      <c r="L1863" t="s">
        <v>3342</v>
      </c>
      <c r="N1863" t="s">
        <v>3454</v>
      </c>
      <c r="O1863" t="s">
        <v>3455</v>
      </c>
      <c r="P1863">
        <v>41192737</v>
      </c>
    </row>
    <row r="1864" spans="1:16">
      <c r="A1864" t="s">
        <v>90</v>
      </c>
      <c r="B1864">
        <v>0</v>
      </c>
      <c r="G1864" t="s">
        <v>3338</v>
      </c>
      <c r="I1864" t="s">
        <v>3338</v>
      </c>
      <c r="N1864" t="s">
        <v>3377</v>
      </c>
      <c r="O1864" t="s">
        <v>3346</v>
      </c>
      <c r="P1864">
        <v>41192737</v>
      </c>
    </row>
    <row r="1865" spans="1:16">
      <c r="A1865" t="s">
        <v>90</v>
      </c>
      <c r="B1865">
        <v>1</v>
      </c>
      <c r="E1865" t="s">
        <v>3377</v>
      </c>
      <c r="F1865" t="s">
        <v>3346</v>
      </c>
      <c r="G1865" t="s">
        <v>3378</v>
      </c>
      <c r="I1865" t="s">
        <v>3338</v>
      </c>
      <c r="L1865" t="s">
        <v>193</v>
      </c>
      <c r="N1865" t="s">
        <v>3379</v>
      </c>
      <c r="O1865" t="s">
        <v>3380</v>
      </c>
      <c r="P1865">
        <v>41192737</v>
      </c>
    </row>
    <row r="1866" spans="1:16">
      <c r="A1866" t="s">
        <v>90</v>
      </c>
      <c r="B1866">
        <v>2</v>
      </c>
      <c r="E1866" t="s">
        <v>3379</v>
      </c>
      <c r="F1866" t="s">
        <v>3380</v>
      </c>
      <c r="G1866" t="s">
        <v>3381</v>
      </c>
      <c r="I1866" t="s">
        <v>3338</v>
      </c>
      <c r="J1866" t="s">
        <v>2421</v>
      </c>
      <c r="K1866" t="s">
        <v>3354</v>
      </c>
      <c r="L1866" t="s">
        <v>3369</v>
      </c>
      <c r="N1866" t="s">
        <v>3382</v>
      </c>
      <c r="O1866" t="s">
        <v>3352</v>
      </c>
      <c r="P1866">
        <v>41192737</v>
      </c>
    </row>
    <row r="1867" spans="1:16">
      <c r="A1867" t="s">
        <v>90</v>
      </c>
      <c r="B1867">
        <v>2</v>
      </c>
      <c r="E1867" t="s">
        <v>3379</v>
      </c>
      <c r="F1867" t="s">
        <v>3380</v>
      </c>
      <c r="G1867" t="s">
        <v>3381</v>
      </c>
      <c r="I1867" t="s">
        <v>3338</v>
      </c>
      <c r="L1867" t="s">
        <v>3383</v>
      </c>
      <c r="N1867" t="s">
        <v>3384</v>
      </c>
      <c r="O1867" t="s">
        <v>3385</v>
      </c>
      <c r="P1867">
        <v>41192737</v>
      </c>
    </row>
    <row r="1868" spans="1:16">
      <c r="A1868" t="s">
        <v>90</v>
      </c>
      <c r="B1868">
        <v>2</v>
      </c>
      <c r="E1868" t="s">
        <v>3379</v>
      </c>
      <c r="F1868" t="s">
        <v>3380</v>
      </c>
      <c r="G1868" t="s">
        <v>3381</v>
      </c>
      <c r="I1868" t="s">
        <v>3338</v>
      </c>
      <c r="J1868" t="s">
        <v>2232</v>
      </c>
      <c r="K1868" t="s">
        <v>2233</v>
      </c>
      <c r="L1868" t="s">
        <v>3342</v>
      </c>
      <c r="N1868" t="s">
        <v>3386</v>
      </c>
      <c r="O1868" t="s">
        <v>3350</v>
      </c>
      <c r="P1868">
        <v>41192737</v>
      </c>
    </row>
    <row r="1869" spans="1:16">
      <c r="A1869" t="s">
        <v>90</v>
      </c>
      <c r="B1869">
        <v>0</v>
      </c>
      <c r="G1869" t="s">
        <v>3338</v>
      </c>
      <c r="I1869" t="s">
        <v>3338</v>
      </c>
      <c r="N1869" t="s">
        <v>3395</v>
      </c>
      <c r="O1869" t="s">
        <v>3396</v>
      </c>
      <c r="P1869">
        <v>41192737</v>
      </c>
    </row>
    <row r="1870" spans="1:16">
      <c r="A1870" t="s">
        <v>90</v>
      </c>
      <c r="B1870">
        <v>1</v>
      </c>
      <c r="E1870" t="s">
        <v>3395</v>
      </c>
      <c r="F1870" t="s">
        <v>3396</v>
      </c>
      <c r="G1870" t="s">
        <v>3397</v>
      </c>
      <c r="I1870" t="s">
        <v>3338</v>
      </c>
      <c r="J1870" t="s">
        <v>2232</v>
      </c>
      <c r="K1870" t="s">
        <v>2233</v>
      </c>
      <c r="L1870" t="s">
        <v>3342</v>
      </c>
      <c r="N1870" t="s">
        <v>3398</v>
      </c>
      <c r="O1870" t="s">
        <v>3399</v>
      </c>
      <c r="P1870">
        <v>41192737</v>
      </c>
    </row>
    <row r="1871" spans="1:16">
      <c r="A1871" t="s">
        <v>90</v>
      </c>
      <c r="B1871">
        <v>1</v>
      </c>
      <c r="E1871" t="s">
        <v>3395</v>
      </c>
      <c r="F1871" t="s">
        <v>3396</v>
      </c>
      <c r="G1871" t="s">
        <v>3397</v>
      </c>
      <c r="I1871" t="s">
        <v>3338</v>
      </c>
      <c r="J1871" t="s">
        <v>2232</v>
      </c>
      <c r="K1871" t="s">
        <v>2233</v>
      </c>
      <c r="L1871" t="s">
        <v>3342</v>
      </c>
      <c r="N1871" t="s">
        <v>3400</v>
      </c>
      <c r="O1871" t="s">
        <v>3401</v>
      </c>
      <c r="P1871">
        <v>41192737</v>
      </c>
    </row>
    <row r="1872" spans="1:16">
      <c r="A1872" t="s">
        <v>90</v>
      </c>
      <c r="B1872">
        <v>1</v>
      </c>
      <c r="E1872" t="s">
        <v>3395</v>
      </c>
      <c r="F1872" t="s">
        <v>3396</v>
      </c>
      <c r="G1872" t="s">
        <v>3397</v>
      </c>
      <c r="I1872" t="s">
        <v>3338</v>
      </c>
      <c r="L1872" t="s">
        <v>3342</v>
      </c>
      <c r="N1872" t="s">
        <v>3402</v>
      </c>
      <c r="O1872" t="s">
        <v>3403</v>
      </c>
      <c r="P1872">
        <v>41192737</v>
      </c>
    </row>
    <row r="1873" spans="1:16">
      <c r="A1873" t="s">
        <v>90</v>
      </c>
      <c r="B1873">
        <v>1</v>
      </c>
      <c r="E1873" t="s">
        <v>3395</v>
      </c>
      <c r="F1873" t="s">
        <v>3396</v>
      </c>
      <c r="G1873" t="s">
        <v>3397</v>
      </c>
      <c r="I1873" t="s">
        <v>3338</v>
      </c>
      <c r="L1873" t="s">
        <v>3342</v>
      </c>
      <c r="N1873" t="s">
        <v>3404</v>
      </c>
      <c r="O1873" t="s">
        <v>3405</v>
      </c>
      <c r="P1873">
        <v>41192737</v>
      </c>
    </row>
    <row r="1874" spans="1:16">
      <c r="A1874" t="s">
        <v>90</v>
      </c>
      <c r="B1874">
        <v>0</v>
      </c>
      <c r="G1874" t="s">
        <v>3338</v>
      </c>
      <c r="I1874" t="s">
        <v>3338</v>
      </c>
      <c r="N1874" t="s">
        <v>3406</v>
      </c>
      <c r="O1874" t="s">
        <v>3407</v>
      </c>
      <c r="P1874">
        <v>41192737</v>
      </c>
    </row>
    <row r="1875" spans="1:16">
      <c r="A1875" t="s">
        <v>90</v>
      </c>
      <c r="B1875">
        <v>1</v>
      </c>
      <c r="E1875" t="s">
        <v>3406</v>
      </c>
      <c r="F1875" t="s">
        <v>3407</v>
      </c>
      <c r="G1875" t="s">
        <v>3408</v>
      </c>
      <c r="I1875" t="s">
        <v>3338</v>
      </c>
      <c r="J1875" t="s">
        <v>2421</v>
      </c>
      <c r="K1875" t="s">
        <v>3354</v>
      </c>
      <c r="L1875" t="s">
        <v>3369</v>
      </c>
      <c r="N1875" t="s">
        <v>3409</v>
      </c>
      <c r="O1875" t="s">
        <v>3410</v>
      </c>
      <c r="P1875">
        <v>41192737</v>
      </c>
    </row>
    <row r="1876" spans="1:16">
      <c r="A1876" t="s">
        <v>90</v>
      </c>
      <c r="B1876">
        <v>1</v>
      </c>
      <c r="E1876" t="s">
        <v>3406</v>
      </c>
      <c r="F1876" t="s">
        <v>3407</v>
      </c>
      <c r="G1876" t="s">
        <v>3408</v>
      </c>
      <c r="I1876" t="s">
        <v>3338</v>
      </c>
      <c r="L1876" t="s">
        <v>193</v>
      </c>
      <c r="N1876" t="s">
        <v>3411</v>
      </c>
      <c r="O1876" t="s">
        <v>3412</v>
      </c>
      <c r="P1876">
        <v>41192737</v>
      </c>
    </row>
    <row r="1877" spans="1:16">
      <c r="A1877" t="s">
        <v>90</v>
      </c>
      <c r="B1877">
        <v>2</v>
      </c>
      <c r="E1877" t="s">
        <v>3411</v>
      </c>
      <c r="F1877" t="s">
        <v>3412</v>
      </c>
      <c r="G1877" t="s">
        <v>3413</v>
      </c>
      <c r="I1877" t="s">
        <v>3338</v>
      </c>
      <c r="L1877" t="s">
        <v>3342</v>
      </c>
      <c r="N1877" t="s">
        <v>3414</v>
      </c>
      <c r="O1877" t="s">
        <v>3415</v>
      </c>
      <c r="P1877">
        <v>41192737</v>
      </c>
    </row>
    <row r="1878" spans="1:16">
      <c r="A1878" t="s">
        <v>90</v>
      </c>
      <c r="B1878">
        <v>2</v>
      </c>
      <c r="E1878" t="s">
        <v>3411</v>
      </c>
      <c r="F1878" t="s">
        <v>3412</v>
      </c>
      <c r="G1878" t="s">
        <v>3413</v>
      </c>
      <c r="I1878" t="s">
        <v>3338</v>
      </c>
      <c r="J1878" t="s">
        <v>2232</v>
      </c>
      <c r="K1878" t="s">
        <v>2233</v>
      </c>
      <c r="L1878" t="s">
        <v>3342</v>
      </c>
      <c r="N1878" t="s">
        <v>3416</v>
      </c>
      <c r="O1878" t="s">
        <v>3417</v>
      </c>
      <c r="P1878">
        <v>41192737</v>
      </c>
    </row>
    <row r="1879" spans="1:16">
      <c r="A1879" t="s">
        <v>90</v>
      </c>
      <c r="B1879">
        <v>2</v>
      </c>
      <c r="E1879" t="s">
        <v>3411</v>
      </c>
      <c r="F1879" t="s">
        <v>3412</v>
      </c>
      <c r="G1879" t="s">
        <v>3413</v>
      </c>
      <c r="I1879" t="s">
        <v>3338</v>
      </c>
      <c r="J1879" t="s">
        <v>2232</v>
      </c>
      <c r="K1879" t="s">
        <v>2233</v>
      </c>
      <c r="L1879" t="s">
        <v>3342</v>
      </c>
      <c r="N1879" t="s">
        <v>3418</v>
      </c>
      <c r="O1879" t="s">
        <v>3419</v>
      </c>
      <c r="P1879">
        <v>41192737</v>
      </c>
    </row>
    <row r="1880" spans="1:16">
      <c r="A1880" t="s">
        <v>90</v>
      </c>
      <c r="B1880">
        <v>2</v>
      </c>
      <c r="E1880" t="s">
        <v>3411</v>
      </c>
      <c r="F1880" t="s">
        <v>3412</v>
      </c>
      <c r="G1880" t="s">
        <v>3413</v>
      </c>
      <c r="I1880" t="s">
        <v>3338</v>
      </c>
      <c r="L1880" t="s">
        <v>3342</v>
      </c>
      <c r="N1880" t="s">
        <v>3420</v>
      </c>
      <c r="O1880" t="s">
        <v>3421</v>
      </c>
      <c r="P1880">
        <v>41192737</v>
      </c>
    </row>
    <row r="1881" spans="1:16">
      <c r="A1881" t="s">
        <v>90</v>
      </c>
      <c r="B1881">
        <v>2</v>
      </c>
      <c r="E1881" t="s">
        <v>3411</v>
      </c>
      <c r="F1881" t="s">
        <v>3412</v>
      </c>
      <c r="G1881" t="s">
        <v>3413</v>
      </c>
      <c r="I1881" t="s">
        <v>3338</v>
      </c>
      <c r="J1881" t="s">
        <v>2232</v>
      </c>
      <c r="K1881" t="s">
        <v>2233</v>
      </c>
      <c r="L1881" t="s">
        <v>3342</v>
      </c>
      <c r="N1881" t="s">
        <v>3422</v>
      </c>
      <c r="O1881" t="s">
        <v>3423</v>
      </c>
      <c r="P1881">
        <v>41192737</v>
      </c>
    </row>
    <row r="1882" spans="1:16">
      <c r="A1882" t="s">
        <v>90</v>
      </c>
      <c r="B1882">
        <v>0</v>
      </c>
      <c r="G1882" t="s">
        <v>3338</v>
      </c>
      <c r="I1882" t="s">
        <v>3338</v>
      </c>
      <c r="N1882" t="s">
        <v>3424</v>
      </c>
      <c r="O1882" t="s">
        <v>3425</v>
      </c>
      <c r="P1882">
        <v>41192737</v>
      </c>
    </row>
    <row r="1883" spans="1:16">
      <c r="A1883" t="s">
        <v>90</v>
      </c>
      <c r="B1883">
        <v>1</v>
      </c>
      <c r="E1883" t="s">
        <v>3424</v>
      </c>
      <c r="F1883" t="s">
        <v>3425</v>
      </c>
      <c r="G1883" t="s">
        <v>3426</v>
      </c>
      <c r="I1883" t="s">
        <v>3338</v>
      </c>
      <c r="J1883" t="s">
        <v>2421</v>
      </c>
      <c r="K1883" t="s">
        <v>3354</v>
      </c>
      <c r="L1883" t="s">
        <v>3369</v>
      </c>
      <c r="N1883" t="s">
        <v>3427</v>
      </c>
      <c r="O1883" t="s">
        <v>3428</v>
      </c>
      <c r="P1883">
        <v>41192737</v>
      </c>
    </row>
    <row r="1884" spans="1:16">
      <c r="A1884" t="s">
        <v>90</v>
      </c>
      <c r="B1884">
        <v>1</v>
      </c>
      <c r="E1884" t="s">
        <v>3424</v>
      </c>
      <c r="F1884" t="s">
        <v>3425</v>
      </c>
      <c r="G1884" t="s">
        <v>3426</v>
      </c>
      <c r="I1884" t="s">
        <v>3338</v>
      </c>
      <c r="J1884" t="s">
        <v>2421</v>
      </c>
      <c r="K1884" t="s">
        <v>3354</v>
      </c>
      <c r="L1884" t="s">
        <v>3369</v>
      </c>
      <c r="N1884" t="s">
        <v>3429</v>
      </c>
      <c r="O1884" t="s">
        <v>3430</v>
      </c>
      <c r="P1884">
        <v>41192737</v>
      </c>
    </row>
    <row r="1885" spans="1:16">
      <c r="A1885" t="s">
        <v>90</v>
      </c>
      <c r="B1885">
        <v>1</v>
      </c>
      <c r="E1885" t="s">
        <v>3424</v>
      </c>
      <c r="F1885" t="s">
        <v>3425</v>
      </c>
      <c r="G1885" t="s">
        <v>3426</v>
      </c>
      <c r="I1885" t="s">
        <v>3338</v>
      </c>
      <c r="J1885" t="s">
        <v>2232</v>
      </c>
      <c r="K1885" t="s">
        <v>2233</v>
      </c>
      <c r="L1885" t="s">
        <v>3342</v>
      </c>
      <c r="N1885" t="s">
        <v>3431</v>
      </c>
      <c r="O1885" t="s">
        <v>3432</v>
      </c>
      <c r="P1885">
        <v>41192737</v>
      </c>
    </row>
    <row r="1886" spans="1:16">
      <c r="A1886" t="s">
        <v>90</v>
      </c>
      <c r="B1886">
        <v>0</v>
      </c>
      <c r="G1886" t="s">
        <v>3338</v>
      </c>
      <c r="I1886" t="s">
        <v>3338</v>
      </c>
      <c r="N1886" t="s">
        <v>3433</v>
      </c>
      <c r="O1886" t="s">
        <v>3434</v>
      </c>
      <c r="P1886">
        <v>41192737</v>
      </c>
    </row>
    <row r="1887" spans="1:16">
      <c r="A1887" t="s">
        <v>90</v>
      </c>
      <c r="B1887">
        <v>1</v>
      </c>
      <c r="E1887" t="s">
        <v>3433</v>
      </c>
      <c r="F1887" t="s">
        <v>3434</v>
      </c>
      <c r="G1887" t="s">
        <v>3435</v>
      </c>
      <c r="I1887" t="s">
        <v>3338</v>
      </c>
      <c r="J1887" t="s">
        <v>2232</v>
      </c>
      <c r="K1887" t="s">
        <v>2233</v>
      </c>
      <c r="L1887" t="s">
        <v>3342</v>
      </c>
      <c r="N1887" t="s">
        <v>3436</v>
      </c>
      <c r="O1887" t="s">
        <v>3437</v>
      </c>
      <c r="P1887">
        <v>41192737</v>
      </c>
    </row>
    <row r="1888" spans="1:16">
      <c r="A1888" t="s">
        <v>90</v>
      </c>
      <c r="B1888">
        <v>1</v>
      </c>
      <c r="E1888" t="s">
        <v>3433</v>
      </c>
      <c r="F1888" t="s">
        <v>3434</v>
      </c>
      <c r="G1888" t="s">
        <v>3435</v>
      </c>
      <c r="I1888" t="s">
        <v>3338</v>
      </c>
      <c r="J1888" t="s">
        <v>2232</v>
      </c>
      <c r="K1888" t="s">
        <v>2233</v>
      </c>
      <c r="L1888" t="s">
        <v>3342</v>
      </c>
      <c r="N1888" t="s">
        <v>3438</v>
      </c>
      <c r="O1888" t="s">
        <v>3439</v>
      </c>
      <c r="P1888">
        <v>41192737</v>
      </c>
    </row>
    <row r="1889" spans="1:16">
      <c r="A1889" t="s">
        <v>90</v>
      </c>
      <c r="B1889">
        <v>1</v>
      </c>
      <c r="E1889" t="s">
        <v>3433</v>
      </c>
      <c r="F1889" t="s">
        <v>3434</v>
      </c>
      <c r="G1889" t="s">
        <v>3435</v>
      </c>
      <c r="I1889" t="s">
        <v>3338</v>
      </c>
      <c r="J1889" t="s">
        <v>2232</v>
      </c>
      <c r="K1889" t="s">
        <v>2233</v>
      </c>
      <c r="L1889" t="s">
        <v>3342</v>
      </c>
      <c r="N1889" t="s">
        <v>3440</v>
      </c>
      <c r="O1889" t="s">
        <v>3441</v>
      </c>
      <c r="P1889">
        <v>41192737</v>
      </c>
    </row>
    <row r="1890" spans="1:16">
      <c r="A1890" t="s">
        <v>90</v>
      </c>
      <c r="B1890">
        <v>1</v>
      </c>
      <c r="E1890" t="s">
        <v>3433</v>
      </c>
      <c r="F1890" t="s">
        <v>3434</v>
      </c>
      <c r="G1890" t="s">
        <v>3435</v>
      </c>
      <c r="I1890" t="s">
        <v>3338</v>
      </c>
      <c r="J1890" t="s">
        <v>2232</v>
      </c>
      <c r="K1890" t="s">
        <v>2233</v>
      </c>
      <c r="L1890" t="s">
        <v>3342</v>
      </c>
      <c r="N1890" t="s">
        <v>3442</v>
      </c>
      <c r="O1890" t="s">
        <v>3443</v>
      </c>
      <c r="P1890">
        <v>41192737</v>
      </c>
    </row>
    <row r="1891" spans="1:16">
      <c r="A1891" t="s">
        <v>90</v>
      </c>
      <c r="B1891">
        <v>1</v>
      </c>
      <c r="E1891" t="s">
        <v>3433</v>
      </c>
      <c r="F1891" t="s">
        <v>3434</v>
      </c>
      <c r="G1891" t="s">
        <v>3435</v>
      </c>
      <c r="I1891" t="s">
        <v>3338</v>
      </c>
      <c r="J1891" t="s">
        <v>2232</v>
      </c>
      <c r="K1891" t="s">
        <v>2233</v>
      </c>
      <c r="L1891" t="s">
        <v>3342</v>
      </c>
      <c r="N1891" t="s">
        <v>3444</v>
      </c>
      <c r="O1891" t="s">
        <v>3445</v>
      </c>
      <c r="P1891">
        <v>41192737</v>
      </c>
    </row>
    <row r="1892" spans="1:16">
      <c r="A1892" t="s">
        <v>90</v>
      </c>
      <c r="B1892">
        <v>1</v>
      </c>
      <c r="E1892" t="s">
        <v>3433</v>
      </c>
      <c r="F1892" t="s">
        <v>3434</v>
      </c>
      <c r="G1892" t="s">
        <v>3435</v>
      </c>
      <c r="I1892" t="s">
        <v>3338</v>
      </c>
      <c r="J1892" t="s">
        <v>2232</v>
      </c>
      <c r="K1892" t="s">
        <v>2233</v>
      </c>
      <c r="L1892" t="s">
        <v>3342</v>
      </c>
      <c r="N1892" t="s">
        <v>3446</v>
      </c>
      <c r="O1892" t="s">
        <v>3447</v>
      </c>
      <c r="P1892">
        <v>41192737</v>
      </c>
    </row>
    <row r="1893" spans="1:16">
      <c r="A1893" t="s">
        <v>90</v>
      </c>
      <c r="B1893">
        <v>0</v>
      </c>
      <c r="G1893" t="s">
        <v>3338</v>
      </c>
      <c r="I1893" t="s">
        <v>3338</v>
      </c>
      <c r="N1893" t="s">
        <v>3448</v>
      </c>
      <c r="O1893" t="s">
        <v>3449</v>
      </c>
      <c r="P1893">
        <v>41192737</v>
      </c>
    </row>
    <row r="1894" spans="1:16">
      <c r="A1894" t="s">
        <v>90</v>
      </c>
      <c r="B1894">
        <v>1</v>
      </c>
      <c r="E1894" t="s">
        <v>3448</v>
      </c>
      <c r="F1894" t="s">
        <v>3449</v>
      </c>
      <c r="G1894" t="s">
        <v>3450</v>
      </c>
      <c r="I1894" t="s">
        <v>3338</v>
      </c>
      <c r="J1894" t="s">
        <v>2421</v>
      </c>
      <c r="K1894" t="s">
        <v>3354</v>
      </c>
      <c r="L1894" t="s">
        <v>3451</v>
      </c>
      <c r="N1894" t="s">
        <v>3452</v>
      </c>
      <c r="O1894" t="s">
        <v>3453</v>
      </c>
      <c r="P1894">
        <v>41192737</v>
      </c>
    </row>
    <row r="1895" spans="1:16">
      <c r="A1895" t="s">
        <v>91</v>
      </c>
      <c r="B1895">
        <v>0</v>
      </c>
      <c r="G1895" t="s">
        <v>3338</v>
      </c>
      <c r="I1895" t="s">
        <v>3338</v>
      </c>
      <c r="N1895" t="s">
        <v>3339</v>
      </c>
      <c r="O1895" t="s">
        <v>3340</v>
      </c>
      <c r="P1895">
        <v>41189810</v>
      </c>
    </row>
    <row r="1896" spans="1:16">
      <c r="A1896" t="s">
        <v>91</v>
      </c>
      <c r="B1896">
        <v>1</v>
      </c>
      <c r="E1896" t="s">
        <v>3339</v>
      </c>
      <c r="F1896" t="s">
        <v>3340</v>
      </c>
      <c r="G1896" t="s">
        <v>3341</v>
      </c>
      <c r="I1896" t="s">
        <v>3338</v>
      </c>
      <c r="J1896" t="s">
        <v>2232</v>
      </c>
      <c r="K1896" t="s">
        <v>2233</v>
      </c>
      <c r="L1896" t="s">
        <v>3342</v>
      </c>
      <c r="N1896" t="s">
        <v>3343</v>
      </c>
      <c r="O1896" t="s">
        <v>3344</v>
      </c>
      <c r="P1896">
        <v>41189810</v>
      </c>
    </row>
    <row r="1897" spans="1:16">
      <c r="A1897" t="s">
        <v>91</v>
      </c>
      <c r="B1897">
        <v>1</v>
      </c>
      <c r="E1897" t="s">
        <v>3339</v>
      </c>
      <c r="F1897" t="s">
        <v>3340</v>
      </c>
      <c r="G1897" t="s">
        <v>3341</v>
      </c>
      <c r="I1897" t="s">
        <v>3338</v>
      </c>
      <c r="J1897" t="s">
        <v>2232</v>
      </c>
      <c r="K1897" t="s">
        <v>2233</v>
      </c>
      <c r="L1897" t="s">
        <v>3342</v>
      </c>
      <c r="N1897" t="s">
        <v>3345</v>
      </c>
      <c r="O1897" t="s">
        <v>3346</v>
      </c>
      <c r="P1897">
        <v>41189810</v>
      </c>
    </row>
    <row r="1898" spans="1:16">
      <c r="A1898" t="s">
        <v>91</v>
      </c>
      <c r="B1898">
        <v>0</v>
      </c>
      <c r="G1898" t="s">
        <v>3338</v>
      </c>
      <c r="I1898" t="s">
        <v>3338</v>
      </c>
      <c r="N1898" t="s">
        <v>3347</v>
      </c>
      <c r="O1898" t="s">
        <v>3344</v>
      </c>
      <c r="P1898">
        <v>41189810</v>
      </c>
    </row>
    <row r="1899" spans="1:16">
      <c r="A1899" t="s">
        <v>91</v>
      </c>
      <c r="B1899">
        <v>1</v>
      </c>
      <c r="E1899" t="s">
        <v>3347</v>
      </c>
      <c r="F1899" t="s">
        <v>3344</v>
      </c>
      <c r="G1899" t="s">
        <v>3348</v>
      </c>
      <c r="I1899" t="s">
        <v>3338</v>
      </c>
      <c r="J1899" t="s">
        <v>2232</v>
      </c>
      <c r="K1899" t="s">
        <v>2233</v>
      </c>
      <c r="L1899" t="s">
        <v>3342</v>
      </c>
      <c r="N1899" t="s">
        <v>3349</v>
      </c>
      <c r="O1899" t="s">
        <v>3350</v>
      </c>
      <c r="P1899">
        <v>41189810</v>
      </c>
    </row>
    <row r="1900" spans="1:16">
      <c r="A1900" t="s">
        <v>91</v>
      </c>
      <c r="B1900">
        <v>1</v>
      </c>
      <c r="E1900" t="s">
        <v>3347</v>
      </c>
      <c r="F1900" t="s">
        <v>3344</v>
      </c>
      <c r="G1900" t="s">
        <v>3348</v>
      </c>
      <c r="I1900" t="s">
        <v>3338</v>
      </c>
      <c r="L1900" t="s">
        <v>193</v>
      </c>
      <c r="N1900" t="s">
        <v>3351</v>
      </c>
      <c r="O1900" t="s">
        <v>3352</v>
      </c>
      <c r="P1900">
        <v>41189810</v>
      </c>
    </row>
    <row r="1901" spans="1:16">
      <c r="A1901" t="s">
        <v>91</v>
      </c>
      <c r="B1901">
        <v>2</v>
      </c>
      <c r="E1901" t="s">
        <v>3351</v>
      </c>
      <c r="F1901" t="s">
        <v>3352</v>
      </c>
      <c r="G1901" t="s">
        <v>3353</v>
      </c>
      <c r="I1901" t="s">
        <v>3338</v>
      </c>
      <c r="J1901" t="s">
        <v>2421</v>
      </c>
      <c r="K1901" t="s">
        <v>3354</v>
      </c>
      <c r="L1901" t="s">
        <v>3355</v>
      </c>
      <c r="N1901" t="s">
        <v>3356</v>
      </c>
      <c r="O1901" t="s">
        <v>3357</v>
      </c>
      <c r="P1901">
        <v>41189810</v>
      </c>
    </row>
    <row r="1902" spans="1:16">
      <c r="A1902" t="s">
        <v>91</v>
      </c>
      <c r="B1902">
        <v>2</v>
      </c>
      <c r="E1902" t="s">
        <v>3351</v>
      </c>
      <c r="F1902" t="s">
        <v>3352</v>
      </c>
      <c r="G1902" t="s">
        <v>3353</v>
      </c>
      <c r="I1902" t="s">
        <v>3338</v>
      </c>
      <c r="J1902" t="s">
        <v>2421</v>
      </c>
      <c r="K1902" t="s">
        <v>3354</v>
      </c>
      <c r="L1902" t="s">
        <v>3355</v>
      </c>
      <c r="N1902" t="s">
        <v>3358</v>
      </c>
      <c r="O1902" t="s">
        <v>3359</v>
      </c>
      <c r="P1902">
        <v>41189810</v>
      </c>
    </row>
    <row r="1903" spans="1:16">
      <c r="A1903" t="s">
        <v>91</v>
      </c>
      <c r="B1903">
        <v>2</v>
      </c>
      <c r="E1903" t="s">
        <v>3351</v>
      </c>
      <c r="F1903" t="s">
        <v>3352</v>
      </c>
      <c r="G1903" t="s">
        <v>3353</v>
      </c>
      <c r="I1903" t="s">
        <v>3338</v>
      </c>
      <c r="J1903" t="s">
        <v>2421</v>
      </c>
      <c r="K1903" t="s">
        <v>3354</v>
      </c>
      <c r="L1903" t="s">
        <v>3355</v>
      </c>
      <c r="N1903" t="s">
        <v>3360</v>
      </c>
      <c r="O1903" t="s">
        <v>3361</v>
      </c>
      <c r="P1903">
        <v>41189810</v>
      </c>
    </row>
    <row r="1904" spans="1:16">
      <c r="A1904" t="s">
        <v>91</v>
      </c>
      <c r="B1904">
        <v>1</v>
      </c>
      <c r="E1904" t="s">
        <v>3347</v>
      </c>
      <c r="F1904" t="s">
        <v>3344</v>
      </c>
      <c r="G1904" t="s">
        <v>3348</v>
      </c>
      <c r="I1904" t="s">
        <v>3338</v>
      </c>
      <c r="J1904" t="s">
        <v>2236</v>
      </c>
      <c r="K1904" t="s">
        <v>3362</v>
      </c>
      <c r="L1904" t="s">
        <v>3363</v>
      </c>
      <c r="N1904" t="s">
        <v>3364</v>
      </c>
      <c r="O1904" t="s">
        <v>3365</v>
      </c>
      <c r="P1904">
        <v>41189810</v>
      </c>
    </row>
    <row r="1905" spans="1:16">
      <c r="A1905" t="s">
        <v>91</v>
      </c>
      <c r="B1905">
        <v>1</v>
      </c>
      <c r="E1905" t="s">
        <v>3347</v>
      </c>
      <c r="F1905" t="s">
        <v>3344</v>
      </c>
      <c r="G1905" t="s">
        <v>3348</v>
      </c>
      <c r="I1905" t="s">
        <v>3338</v>
      </c>
      <c r="L1905" t="s">
        <v>193</v>
      </c>
      <c r="N1905" t="s">
        <v>3366</v>
      </c>
      <c r="O1905" t="s">
        <v>3367</v>
      </c>
      <c r="P1905">
        <v>41189810</v>
      </c>
    </row>
    <row r="1906" spans="1:16">
      <c r="A1906" t="s">
        <v>91</v>
      </c>
      <c r="B1906">
        <v>2</v>
      </c>
      <c r="E1906" t="s">
        <v>3366</v>
      </c>
      <c r="F1906" t="s">
        <v>3367</v>
      </c>
      <c r="G1906" t="s">
        <v>3368</v>
      </c>
      <c r="I1906" t="s">
        <v>3338</v>
      </c>
      <c r="J1906" t="s">
        <v>2421</v>
      </c>
      <c r="K1906" t="s">
        <v>3354</v>
      </c>
      <c r="L1906" t="s">
        <v>3369</v>
      </c>
      <c r="N1906" t="s">
        <v>3370</v>
      </c>
      <c r="O1906" t="s">
        <v>3359</v>
      </c>
      <c r="P1906">
        <v>41189810</v>
      </c>
    </row>
    <row r="1907" spans="1:16">
      <c r="A1907" t="s">
        <v>91</v>
      </c>
      <c r="B1907">
        <v>2</v>
      </c>
      <c r="E1907" t="s">
        <v>3366</v>
      </c>
      <c r="F1907" t="s">
        <v>3367</v>
      </c>
      <c r="G1907" t="s">
        <v>3368</v>
      </c>
      <c r="I1907" t="s">
        <v>3338</v>
      </c>
      <c r="J1907" t="s">
        <v>2421</v>
      </c>
      <c r="K1907" t="s">
        <v>3354</v>
      </c>
      <c r="L1907" t="s">
        <v>3369</v>
      </c>
      <c r="N1907" t="s">
        <v>3371</v>
      </c>
      <c r="O1907" t="s">
        <v>3372</v>
      </c>
      <c r="P1907">
        <v>41189810</v>
      </c>
    </row>
    <row r="1908" spans="1:16">
      <c r="A1908" t="s">
        <v>91</v>
      </c>
      <c r="B1908">
        <v>2</v>
      </c>
      <c r="E1908" t="s">
        <v>3366</v>
      </c>
      <c r="F1908" t="s">
        <v>3367</v>
      </c>
      <c r="G1908" t="s">
        <v>3368</v>
      </c>
      <c r="I1908" t="s">
        <v>3338</v>
      </c>
      <c r="J1908" t="s">
        <v>2421</v>
      </c>
      <c r="K1908" t="s">
        <v>3354</v>
      </c>
      <c r="L1908" t="s">
        <v>3369</v>
      </c>
      <c r="N1908" t="s">
        <v>3373</v>
      </c>
      <c r="O1908" t="s">
        <v>3374</v>
      </c>
      <c r="P1908">
        <v>41189810</v>
      </c>
    </row>
    <row r="1909" spans="1:16">
      <c r="A1909" t="s">
        <v>91</v>
      </c>
      <c r="B1909">
        <v>2</v>
      </c>
      <c r="E1909" t="s">
        <v>3366</v>
      </c>
      <c r="F1909" t="s">
        <v>3367</v>
      </c>
      <c r="G1909" t="s">
        <v>3368</v>
      </c>
      <c r="I1909" t="s">
        <v>3338</v>
      </c>
      <c r="J1909" t="s">
        <v>2236</v>
      </c>
      <c r="K1909" t="s">
        <v>3362</v>
      </c>
      <c r="L1909" t="s">
        <v>3363</v>
      </c>
      <c r="N1909" t="s">
        <v>3375</v>
      </c>
      <c r="O1909" t="s">
        <v>3376</v>
      </c>
      <c r="P1909">
        <v>41189810</v>
      </c>
    </row>
    <row r="1910" spans="1:16">
      <c r="A1910" t="s">
        <v>91</v>
      </c>
      <c r="B1910">
        <v>1</v>
      </c>
      <c r="E1910" t="s">
        <v>3347</v>
      </c>
      <c r="F1910" t="s">
        <v>3344</v>
      </c>
      <c r="G1910" t="s">
        <v>3348</v>
      </c>
      <c r="I1910" t="s">
        <v>3338</v>
      </c>
      <c r="J1910" t="s">
        <v>2232</v>
      </c>
      <c r="K1910" t="s">
        <v>2233</v>
      </c>
      <c r="L1910" t="s">
        <v>3342</v>
      </c>
      <c r="N1910" t="s">
        <v>3454</v>
      </c>
      <c r="O1910" t="s">
        <v>3455</v>
      </c>
      <c r="P1910">
        <v>41189810</v>
      </c>
    </row>
    <row r="1911" spans="1:16">
      <c r="A1911" t="s">
        <v>91</v>
      </c>
      <c r="B1911">
        <v>0</v>
      </c>
      <c r="G1911" t="s">
        <v>3338</v>
      </c>
      <c r="I1911" t="s">
        <v>3338</v>
      </c>
      <c r="N1911" t="s">
        <v>3377</v>
      </c>
      <c r="O1911" t="s">
        <v>3346</v>
      </c>
      <c r="P1911">
        <v>41189810</v>
      </c>
    </row>
    <row r="1912" spans="1:16">
      <c r="A1912" t="s">
        <v>91</v>
      </c>
      <c r="B1912">
        <v>1</v>
      </c>
      <c r="E1912" t="s">
        <v>3377</v>
      </c>
      <c r="F1912" t="s">
        <v>3346</v>
      </c>
      <c r="G1912" t="s">
        <v>3378</v>
      </c>
      <c r="I1912" t="s">
        <v>3338</v>
      </c>
      <c r="L1912" t="s">
        <v>193</v>
      </c>
      <c r="N1912" t="s">
        <v>3379</v>
      </c>
      <c r="O1912" t="s">
        <v>3380</v>
      </c>
      <c r="P1912">
        <v>41189810</v>
      </c>
    </row>
    <row r="1913" spans="1:16">
      <c r="A1913" t="s">
        <v>91</v>
      </c>
      <c r="B1913">
        <v>2</v>
      </c>
      <c r="E1913" t="s">
        <v>3379</v>
      </c>
      <c r="F1913" t="s">
        <v>3380</v>
      </c>
      <c r="G1913" t="s">
        <v>3381</v>
      </c>
      <c r="I1913" t="s">
        <v>3338</v>
      </c>
      <c r="J1913" t="s">
        <v>2421</v>
      </c>
      <c r="K1913" t="s">
        <v>3354</v>
      </c>
      <c r="L1913" t="s">
        <v>3369</v>
      </c>
      <c r="N1913" t="s">
        <v>3382</v>
      </c>
      <c r="O1913" t="s">
        <v>3352</v>
      </c>
      <c r="P1913">
        <v>41189810</v>
      </c>
    </row>
    <row r="1914" spans="1:16">
      <c r="A1914" t="s">
        <v>91</v>
      </c>
      <c r="B1914">
        <v>2</v>
      </c>
      <c r="E1914" t="s">
        <v>3379</v>
      </c>
      <c r="F1914" t="s">
        <v>3380</v>
      </c>
      <c r="G1914" t="s">
        <v>3381</v>
      </c>
      <c r="I1914" t="s">
        <v>3338</v>
      </c>
      <c r="L1914" t="s">
        <v>3383</v>
      </c>
      <c r="N1914" t="s">
        <v>3384</v>
      </c>
      <c r="O1914" t="s">
        <v>3385</v>
      </c>
      <c r="P1914">
        <v>41189810</v>
      </c>
    </row>
    <row r="1915" spans="1:16">
      <c r="A1915" t="s">
        <v>91</v>
      </c>
      <c r="B1915">
        <v>2</v>
      </c>
      <c r="E1915" t="s">
        <v>3379</v>
      </c>
      <c r="F1915" t="s">
        <v>3380</v>
      </c>
      <c r="G1915" t="s">
        <v>3381</v>
      </c>
      <c r="I1915" t="s">
        <v>3338</v>
      </c>
      <c r="J1915" t="s">
        <v>2232</v>
      </c>
      <c r="K1915" t="s">
        <v>2233</v>
      </c>
      <c r="L1915" t="s">
        <v>3342</v>
      </c>
      <c r="N1915" t="s">
        <v>3386</v>
      </c>
      <c r="O1915" t="s">
        <v>3350</v>
      </c>
      <c r="P1915">
        <v>41189810</v>
      </c>
    </row>
    <row r="1916" spans="1:16">
      <c r="A1916" t="s">
        <v>91</v>
      </c>
      <c r="B1916">
        <v>1</v>
      </c>
      <c r="E1916" t="s">
        <v>3377</v>
      </c>
      <c r="F1916" t="s">
        <v>3346</v>
      </c>
      <c r="G1916" t="s">
        <v>3378</v>
      </c>
      <c r="I1916" t="s">
        <v>3338</v>
      </c>
      <c r="L1916" t="s">
        <v>193</v>
      </c>
      <c r="N1916" t="s">
        <v>3387</v>
      </c>
      <c r="O1916" t="s">
        <v>3388</v>
      </c>
      <c r="P1916">
        <v>41189810</v>
      </c>
    </row>
    <row r="1917" spans="1:16">
      <c r="A1917" t="s">
        <v>91</v>
      </c>
      <c r="B1917">
        <v>2</v>
      </c>
      <c r="E1917" t="s">
        <v>3387</v>
      </c>
      <c r="F1917" t="s">
        <v>3388</v>
      </c>
      <c r="G1917" t="s">
        <v>3389</v>
      </c>
      <c r="I1917" t="s">
        <v>3338</v>
      </c>
      <c r="L1917" t="s">
        <v>3369</v>
      </c>
      <c r="N1917" t="s">
        <v>3390</v>
      </c>
      <c r="O1917" t="s">
        <v>3352</v>
      </c>
      <c r="P1917">
        <v>41189810</v>
      </c>
    </row>
    <row r="1918" spans="1:16">
      <c r="A1918" t="s">
        <v>91</v>
      </c>
      <c r="B1918">
        <v>2</v>
      </c>
      <c r="E1918" t="s">
        <v>3387</v>
      </c>
      <c r="F1918" t="s">
        <v>3388</v>
      </c>
      <c r="G1918" t="s">
        <v>3389</v>
      </c>
      <c r="I1918" t="s">
        <v>3338</v>
      </c>
      <c r="L1918" t="s">
        <v>3342</v>
      </c>
      <c r="N1918" t="s">
        <v>3391</v>
      </c>
      <c r="O1918" t="s">
        <v>3392</v>
      </c>
      <c r="P1918">
        <v>41189810</v>
      </c>
    </row>
    <row r="1919" spans="1:16">
      <c r="A1919" t="s">
        <v>91</v>
      </c>
      <c r="B1919">
        <v>2</v>
      </c>
      <c r="E1919" t="s">
        <v>3387</v>
      </c>
      <c r="F1919" t="s">
        <v>3388</v>
      </c>
      <c r="G1919" t="s">
        <v>3389</v>
      </c>
      <c r="I1919" t="s">
        <v>3338</v>
      </c>
      <c r="L1919" t="s">
        <v>3383</v>
      </c>
      <c r="N1919" t="s">
        <v>3393</v>
      </c>
      <c r="O1919" t="s">
        <v>3385</v>
      </c>
      <c r="P1919">
        <v>41189810</v>
      </c>
    </row>
    <row r="1920" spans="1:16">
      <c r="A1920" t="s">
        <v>91</v>
      </c>
      <c r="B1920">
        <v>2</v>
      </c>
      <c r="E1920" t="s">
        <v>3387</v>
      </c>
      <c r="F1920" t="s">
        <v>3388</v>
      </c>
      <c r="G1920" t="s">
        <v>3389</v>
      </c>
      <c r="I1920" t="s">
        <v>3338</v>
      </c>
      <c r="L1920" t="s">
        <v>3342</v>
      </c>
      <c r="N1920" t="s">
        <v>3394</v>
      </c>
      <c r="O1920" t="s">
        <v>3350</v>
      </c>
      <c r="P1920">
        <v>41189810</v>
      </c>
    </row>
    <row r="1921" spans="1:16">
      <c r="A1921" t="s">
        <v>91</v>
      </c>
      <c r="B1921">
        <v>0</v>
      </c>
      <c r="G1921" t="s">
        <v>3338</v>
      </c>
      <c r="I1921" t="s">
        <v>3338</v>
      </c>
      <c r="N1921" t="s">
        <v>3395</v>
      </c>
      <c r="O1921" t="s">
        <v>3396</v>
      </c>
      <c r="P1921">
        <v>41189810</v>
      </c>
    </row>
    <row r="1922" spans="1:16">
      <c r="A1922" t="s">
        <v>91</v>
      </c>
      <c r="B1922">
        <v>1</v>
      </c>
      <c r="E1922" t="s">
        <v>3395</v>
      </c>
      <c r="F1922" t="s">
        <v>3396</v>
      </c>
      <c r="G1922" t="s">
        <v>3397</v>
      </c>
      <c r="I1922" t="s">
        <v>3338</v>
      </c>
      <c r="L1922" t="s">
        <v>3342</v>
      </c>
      <c r="N1922" t="s">
        <v>3398</v>
      </c>
      <c r="O1922" t="s">
        <v>3399</v>
      </c>
      <c r="P1922">
        <v>41189810</v>
      </c>
    </row>
    <row r="1923" spans="1:16">
      <c r="A1923" t="s">
        <v>91</v>
      </c>
      <c r="B1923">
        <v>1</v>
      </c>
      <c r="E1923" t="s">
        <v>3395</v>
      </c>
      <c r="F1923" t="s">
        <v>3396</v>
      </c>
      <c r="G1923" t="s">
        <v>3397</v>
      </c>
      <c r="I1923" t="s">
        <v>3338</v>
      </c>
      <c r="J1923" t="s">
        <v>2232</v>
      </c>
      <c r="K1923" t="s">
        <v>2233</v>
      </c>
      <c r="L1923" t="s">
        <v>3342</v>
      </c>
      <c r="N1923" t="s">
        <v>3400</v>
      </c>
      <c r="O1923" t="s">
        <v>3401</v>
      </c>
      <c r="P1923">
        <v>41189810</v>
      </c>
    </row>
    <row r="1924" spans="1:16">
      <c r="A1924" t="s">
        <v>91</v>
      </c>
      <c r="B1924">
        <v>1</v>
      </c>
      <c r="E1924" t="s">
        <v>3395</v>
      </c>
      <c r="F1924" t="s">
        <v>3396</v>
      </c>
      <c r="G1924" t="s">
        <v>3397</v>
      </c>
      <c r="I1924" t="s">
        <v>3338</v>
      </c>
      <c r="L1924" t="s">
        <v>3342</v>
      </c>
      <c r="N1924" t="s">
        <v>3402</v>
      </c>
      <c r="O1924" t="s">
        <v>3403</v>
      </c>
      <c r="P1924">
        <v>41189810</v>
      </c>
    </row>
    <row r="1925" spans="1:16">
      <c r="A1925" t="s">
        <v>91</v>
      </c>
      <c r="B1925">
        <v>1</v>
      </c>
      <c r="E1925" t="s">
        <v>3395</v>
      </c>
      <c r="F1925" t="s">
        <v>3396</v>
      </c>
      <c r="G1925" t="s">
        <v>3397</v>
      </c>
      <c r="I1925" t="s">
        <v>3338</v>
      </c>
      <c r="J1925" t="s">
        <v>2232</v>
      </c>
      <c r="K1925" t="s">
        <v>2233</v>
      </c>
      <c r="L1925" t="s">
        <v>3342</v>
      </c>
      <c r="N1925" t="s">
        <v>3404</v>
      </c>
      <c r="O1925" t="s">
        <v>3405</v>
      </c>
      <c r="P1925">
        <v>41189810</v>
      </c>
    </row>
    <row r="1926" spans="1:16">
      <c r="A1926" t="s">
        <v>91</v>
      </c>
      <c r="B1926">
        <v>0</v>
      </c>
      <c r="G1926" t="s">
        <v>3338</v>
      </c>
      <c r="I1926" t="s">
        <v>3338</v>
      </c>
      <c r="N1926" t="s">
        <v>3406</v>
      </c>
      <c r="O1926" t="s">
        <v>3407</v>
      </c>
      <c r="P1926">
        <v>41189810</v>
      </c>
    </row>
    <row r="1927" spans="1:16">
      <c r="A1927" t="s">
        <v>91</v>
      </c>
      <c r="B1927">
        <v>1</v>
      </c>
      <c r="E1927" t="s">
        <v>3406</v>
      </c>
      <c r="F1927" t="s">
        <v>3407</v>
      </c>
      <c r="G1927" t="s">
        <v>3408</v>
      </c>
      <c r="I1927" t="s">
        <v>3338</v>
      </c>
      <c r="J1927" t="s">
        <v>2421</v>
      </c>
      <c r="K1927" t="s">
        <v>3354</v>
      </c>
      <c r="L1927" t="s">
        <v>3369</v>
      </c>
      <c r="N1927" t="s">
        <v>3409</v>
      </c>
      <c r="O1927" t="s">
        <v>3410</v>
      </c>
      <c r="P1927">
        <v>41189810</v>
      </c>
    </row>
    <row r="1928" spans="1:16">
      <c r="A1928" t="s">
        <v>91</v>
      </c>
      <c r="B1928">
        <v>1</v>
      </c>
      <c r="E1928" t="s">
        <v>3406</v>
      </c>
      <c r="F1928" t="s">
        <v>3407</v>
      </c>
      <c r="G1928" t="s">
        <v>3408</v>
      </c>
      <c r="I1928" t="s">
        <v>3338</v>
      </c>
      <c r="L1928" t="s">
        <v>193</v>
      </c>
      <c r="N1928" t="s">
        <v>3411</v>
      </c>
      <c r="O1928" t="s">
        <v>3412</v>
      </c>
      <c r="P1928">
        <v>41189810</v>
      </c>
    </row>
    <row r="1929" spans="1:16">
      <c r="A1929" t="s">
        <v>91</v>
      </c>
      <c r="B1929">
        <v>2</v>
      </c>
      <c r="E1929" t="s">
        <v>3411</v>
      </c>
      <c r="F1929" t="s">
        <v>3412</v>
      </c>
      <c r="G1929" t="s">
        <v>3413</v>
      </c>
      <c r="I1929" t="s">
        <v>3338</v>
      </c>
      <c r="L1929" t="s">
        <v>3342</v>
      </c>
      <c r="N1929" t="s">
        <v>3414</v>
      </c>
      <c r="O1929" t="s">
        <v>3415</v>
      </c>
      <c r="P1929">
        <v>41189810</v>
      </c>
    </row>
    <row r="1930" spans="1:16">
      <c r="A1930" t="s">
        <v>91</v>
      </c>
      <c r="B1930">
        <v>2</v>
      </c>
      <c r="E1930" t="s">
        <v>3411</v>
      </c>
      <c r="F1930" t="s">
        <v>3412</v>
      </c>
      <c r="G1930" t="s">
        <v>3413</v>
      </c>
      <c r="I1930" t="s">
        <v>3338</v>
      </c>
      <c r="J1930" t="s">
        <v>2232</v>
      </c>
      <c r="K1930" t="s">
        <v>2233</v>
      </c>
      <c r="L1930" t="s">
        <v>3342</v>
      </c>
      <c r="N1930" t="s">
        <v>3416</v>
      </c>
      <c r="O1930" t="s">
        <v>3417</v>
      </c>
      <c r="P1930">
        <v>41189810</v>
      </c>
    </row>
    <row r="1931" spans="1:16">
      <c r="A1931" t="s">
        <v>91</v>
      </c>
      <c r="B1931">
        <v>2</v>
      </c>
      <c r="E1931" t="s">
        <v>3411</v>
      </c>
      <c r="F1931" t="s">
        <v>3412</v>
      </c>
      <c r="G1931" t="s">
        <v>3413</v>
      </c>
      <c r="I1931" t="s">
        <v>3338</v>
      </c>
      <c r="J1931" t="s">
        <v>2232</v>
      </c>
      <c r="K1931" t="s">
        <v>2233</v>
      </c>
      <c r="L1931" t="s">
        <v>3342</v>
      </c>
      <c r="N1931" t="s">
        <v>3418</v>
      </c>
      <c r="O1931" t="s">
        <v>3419</v>
      </c>
      <c r="P1931">
        <v>41189810</v>
      </c>
    </row>
    <row r="1932" spans="1:16">
      <c r="A1932" t="s">
        <v>91</v>
      </c>
      <c r="B1932">
        <v>2</v>
      </c>
      <c r="E1932" t="s">
        <v>3411</v>
      </c>
      <c r="F1932" t="s">
        <v>3412</v>
      </c>
      <c r="G1932" t="s">
        <v>3413</v>
      </c>
      <c r="I1932" t="s">
        <v>3338</v>
      </c>
      <c r="L1932" t="s">
        <v>3342</v>
      </c>
      <c r="N1932" t="s">
        <v>3420</v>
      </c>
      <c r="O1932" t="s">
        <v>3421</v>
      </c>
      <c r="P1932">
        <v>41189810</v>
      </c>
    </row>
    <row r="1933" spans="1:16">
      <c r="A1933" t="s">
        <v>91</v>
      </c>
      <c r="B1933">
        <v>2</v>
      </c>
      <c r="E1933" t="s">
        <v>3411</v>
      </c>
      <c r="F1933" t="s">
        <v>3412</v>
      </c>
      <c r="G1933" t="s">
        <v>3413</v>
      </c>
      <c r="I1933" t="s">
        <v>3338</v>
      </c>
      <c r="J1933" t="s">
        <v>2232</v>
      </c>
      <c r="K1933" t="s">
        <v>2233</v>
      </c>
      <c r="L1933" t="s">
        <v>3342</v>
      </c>
      <c r="N1933" t="s">
        <v>3422</v>
      </c>
      <c r="O1933" t="s">
        <v>3423</v>
      </c>
      <c r="P1933">
        <v>41189810</v>
      </c>
    </row>
    <row r="1934" spans="1:16">
      <c r="A1934" t="s">
        <v>91</v>
      </c>
      <c r="B1934">
        <v>0</v>
      </c>
      <c r="G1934" t="s">
        <v>3338</v>
      </c>
      <c r="I1934" t="s">
        <v>3338</v>
      </c>
      <c r="N1934" t="s">
        <v>3424</v>
      </c>
      <c r="O1934" t="s">
        <v>3425</v>
      </c>
      <c r="P1934">
        <v>41189810</v>
      </c>
    </row>
    <row r="1935" spans="1:16">
      <c r="A1935" t="s">
        <v>91</v>
      </c>
      <c r="B1935">
        <v>1</v>
      </c>
      <c r="E1935" t="s">
        <v>3424</v>
      </c>
      <c r="F1935" t="s">
        <v>3425</v>
      </c>
      <c r="G1935" t="s">
        <v>3426</v>
      </c>
      <c r="I1935" t="s">
        <v>3338</v>
      </c>
      <c r="J1935" t="s">
        <v>2421</v>
      </c>
      <c r="K1935" t="s">
        <v>3354</v>
      </c>
      <c r="L1935" t="s">
        <v>3369</v>
      </c>
      <c r="N1935" t="s">
        <v>3427</v>
      </c>
      <c r="O1935" t="s">
        <v>3428</v>
      </c>
      <c r="P1935">
        <v>41189810</v>
      </c>
    </row>
    <row r="1936" spans="1:16">
      <c r="A1936" t="s">
        <v>91</v>
      </c>
      <c r="B1936">
        <v>1</v>
      </c>
      <c r="E1936" t="s">
        <v>3424</v>
      </c>
      <c r="F1936" t="s">
        <v>3425</v>
      </c>
      <c r="G1936" t="s">
        <v>3426</v>
      </c>
      <c r="I1936" t="s">
        <v>3338</v>
      </c>
      <c r="J1936" t="s">
        <v>2421</v>
      </c>
      <c r="K1936" t="s">
        <v>3354</v>
      </c>
      <c r="L1936" t="s">
        <v>3369</v>
      </c>
      <c r="N1936" t="s">
        <v>3429</v>
      </c>
      <c r="O1936" t="s">
        <v>3430</v>
      </c>
      <c r="P1936">
        <v>41189810</v>
      </c>
    </row>
    <row r="1937" spans="1:16">
      <c r="A1937" t="s">
        <v>91</v>
      </c>
      <c r="B1937">
        <v>1</v>
      </c>
      <c r="E1937" t="s">
        <v>3424</v>
      </c>
      <c r="F1937" t="s">
        <v>3425</v>
      </c>
      <c r="G1937" t="s">
        <v>3426</v>
      </c>
      <c r="I1937" t="s">
        <v>3338</v>
      </c>
      <c r="J1937" t="s">
        <v>2232</v>
      </c>
      <c r="K1937" t="s">
        <v>2233</v>
      </c>
      <c r="L1937" t="s">
        <v>3342</v>
      </c>
      <c r="N1937" t="s">
        <v>3431</v>
      </c>
      <c r="O1937" t="s">
        <v>3432</v>
      </c>
      <c r="P1937">
        <v>41189810</v>
      </c>
    </row>
    <row r="1938" spans="1:16">
      <c r="A1938" t="s">
        <v>91</v>
      </c>
      <c r="B1938">
        <v>0</v>
      </c>
      <c r="G1938" t="s">
        <v>3338</v>
      </c>
      <c r="I1938" t="s">
        <v>3338</v>
      </c>
      <c r="N1938" t="s">
        <v>3433</v>
      </c>
      <c r="O1938" t="s">
        <v>3434</v>
      </c>
      <c r="P1938">
        <v>41189810</v>
      </c>
    </row>
    <row r="1939" spans="1:16">
      <c r="A1939" t="s">
        <v>91</v>
      </c>
      <c r="B1939">
        <v>1</v>
      </c>
      <c r="E1939" t="s">
        <v>3433</v>
      </c>
      <c r="F1939" t="s">
        <v>3434</v>
      </c>
      <c r="G1939" t="s">
        <v>3435</v>
      </c>
      <c r="I1939" t="s">
        <v>3338</v>
      </c>
      <c r="J1939" t="s">
        <v>2232</v>
      </c>
      <c r="K1939" t="s">
        <v>2233</v>
      </c>
      <c r="L1939" t="s">
        <v>3342</v>
      </c>
      <c r="N1939" t="s">
        <v>3436</v>
      </c>
      <c r="O1939" t="s">
        <v>3437</v>
      </c>
      <c r="P1939">
        <v>41189810</v>
      </c>
    </row>
    <row r="1940" spans="1:16">
      <c r="A1940" t="s">
        <v>91</v>
      </c>
      <c r="B1940">
        <v>1</v>
      </c>
      <c r="E1940" t="s">
        <v>3433</v>
      </c>
      <c r="F1940" t="s">
        <v>3434</v>
      </c>
      <c r="G1940" t="s">
        <v>3435</v>
      </c>
      <c r="I1940" t="s">
        <v>3338</v>
      </c>
      <c r="J1940" t="s">
        <v>2232</v>
      </c>
      <c r="K1940" t="s">
        <v>2233</v>
      </c>
      <c r="L1940" t="s">
        <v>3342</v>
      </c>
      <c r="N1940" t="s">
        <v>3438</v>
      </c>
      <c r="O1940" t="s">
        <v>3439</v>
      </c>
      <c r="P1940">
        <v>41189810</v>
      </c>
    </row>
    <row r="1941" spans="1:16">
      <c r="A1941" t="s">
        <v>91</v>
      </c>
      <c r="B1941">
        <v>1</v>
      </c>
      <c r="E1941" t="s">
        <v>3433</v>
      </c>
      <c r="F1941" t="s">
        <v>3434</v>
      </c>
      <c r="G1941" t="s">
        <v>3435</v>
      </c>
      <c r="I1941" t="s">
        <v>3338</v>
      </c>
      <c r="J1941" t="s">
        <v>2232</v>
      </c>
      <c r="K1941" t="s">
        <v>2233</v>
      </c>
      <c r="L1941" t="s">
        <v>3342</v>
      </c>
      <c r="N1941" t="s">
        <v>3440</v>
      </c>
      <c r="O1941" t="s">
        <v>3441</v>
      </c>
      <c r="P1941">
        <v>41189810</v>
      </c>
    </row>
    <row r="1942" spans="1:16">
      <c r="A1942" t="s">
        <v>91</v>
      </c>
      <c r="B1942">
        <v>1</v>
      </c>
      <c r="E1942" t="s">
        <v>3433</v>
      </c>
      <c r="F1942" t="s">
        <v>3434</v>
      </c>
      <c r="G1942" t="s">
        <v>3435</v>
      </c>
      <c r="I1942" t="s">
        <v>3338</v>
      </c>
      <c r="J1942" t="s">
        <v>2232</v>
      </c>
      <c r="K1942" t="s">
        <v>2233</v>
      </c>
      <c r="L1942" t="s">
        <v>3342</v>
      </c>
      <c r="N1942" t="s">
        <v>3442</v>
      </c>
      <c r="O1942" t="s">
        <v>3443</v>
      </c>
      <c r="P1942">
        <v>41189810</v>
      </c>
    </row>
    <row r="1943" spans="1:16">
      <c r="A1943" t="s">
        <v>91</v>
      </c>
      <c r="B1943">
        <v>1</v>
      </c>
      <c r="E1943" t="s">
        <v>3433</v>
      </c>
      <c r="F1943" t="s">
        <v>3434</v>
      </c>
      <c r="G1943" t="s">
        <v>3435</v>
      </c>
      <c r="I1943" t="s">
        <v>3338</v>
      </c>
      <c r="J1943" t="s">
        <v>2232</v>
      </c>
      <c r="K1943" t="s">
        <v>2233</v>
      </c>
      <c r="L1943" t="s">
        <v>3342</v>
      </c>
      <c r="N1943" t="s">
        <v>3444</v>
      </c>
      <c r="O1943" t="s">
        <v>3445</v>
      </c>
      <c r="P1943">
        <v>41189810</v>
      </c>
    </row>
    <row r="1944" spans="1:16">
      <c r="A1944" t="s">
        <v>91</v>
      </c>
      <c r="B1944">
        <v>1</v>
      </c>
      <c r="E1944" t="s">
        <v>3433</v>
      </c>
      <c r="F1944" t="s">
        <v>3434</v>
      </c>
      <c r="G1944" t="s">
        <v>3435</v>
      </c>
      <c r="I1944" t="s">
        <v>3338</v>
      </c>
      <c r="J1944" t="s">
        <v>2232</v>
      </c>
      <c r="K1944" t="s">
        <v>2233</v>
      </c>
      <c r="L1944" t="s">
        <v>3342</v>
      </c>
      <c r="N1944" t="s">
        <v>3446</v>
      </c>
      <c r="O1944" t="s">
        <v>3447</v>
      </c>
      <c r="P1944">
        <v>41189810</v>
      </c>
    </row>
    <row r="1945" spans="1:16">
      <c r="A1945" t="s">
        <v>91</v>
      </c>
      <c r="B1945">
        <v>0</v>
      </c>
      <c r="G1945" t="s">
        <v>3338</v>
      </c>
      <c r="I1945" t="s">
        <v>3338</v>
      </c>
      <c r="N1945" t="s">
        <v>3448</v>
      </c>
      <c r="O1945" t="s">
        <v>3449</v>
      </c>
      <c r="P1945">
        <v>41189810</v>
      </c>
    </row>
    <row r="1946" spans="1:16">
      <c r="A1946" t="s">
        <v>91</v>
      </c>
      <c r="B1946">
        <v>1</v>
      </c>
      <c r="E1946" t="s">
        <v>3448</v>
      </c>
      <c r="F1946" t="s">
        <v>3449</v>
      </c>
      <c r="G1946" t="s">
        <v>3450</v>
      </c>
      <c r="I1946" t="s">
        <v>3338</v>
      </c>
      <c r="J1946" t="s">
        <v>2421</v>
      </c>
      <c r="K1946" t="s">
        <v>3354</v>
      </c>
      <c r="L1946" t="s">
        <v>3451</v>
      </c>
      <c r="N1946" t="s">
        <v>3452</v>
      </c>
      <c r="O1946" t="s">
        <v>3453</v>
      </c>
      <c r="P1946">
        <v>41189810</v>
      </c>
    </row>
    <row r="1947" spans="1:16">
      <c r="A1947" t="s">
        <v>93</v>
      </c>
      <c r="B1947">
        <v>0</v>
      </c>
      <c r="G1947" t="s">
        <v>3338</v>
      </c>
      <c r="I1947" t="s">
        <v>3338</v>
      </c>
      <c r="N1947" t="s">
        <v>3339</v>
      </c>
      <c r="O1947" t="s">
        <v>3340</v>
      </c>
      <c r="P1947">
        <v>41169630</v>
      </c>
    </row>
    <row r="1948" spans="1:16">
      <c r="A1948" t="s">
        <v>93</v>
      </c>
      <c r="B1948">
        <v>1</v>
      </c>
      <c r="E1948" t="s">
        <v>3339</v>
      </c>
      <c r="F1948" t="s">
        <v>3340</v>
      </c>
      <c r="G1948" t="s">
        <v>3341</v>
      </c>
      <c r="I1948" t="s">
        <v>3338</v>
      </c>
      <c r="J1948" t="s">
        <v>2232</v>
      </c>
      <c r="K1948" t="s">
        <v>2233</v>
      </c>
      <c r="L1948" t="s">
        <v>3342</v>
      </c>
      <c r="N1948" t="s">
        <v>3343</v>
      </c>
      <c r="O1948" t="s">
        <v>3344</v>
      </c>
      <c r="P1948">
        <v>41169630</v>
      </c>
    </row>
    <row r="1949" spans="1:16">
      <c r="A1949" t="s">
        <v>93</v>
      </c>
      <c r="B1949">
        <v>1</v>
      </c>
      <c r="E1949" t="s">
        <v>3339</v>
      </c>
      <c r="F1949" t="s">
        <v>3340</v>
      </c>
      <c r="G1949" t="s">
        <v>3341</v>
      </c>
      <c r="I1949" t="s">
        <v>3338</v>
      </c>
      <c r="J1949" t="s">
        <v>2232</v>
      </c>
      <c r="K1949" t="s">
        <v>2233</v>
      </c>
      <c r="L1949" t="s">
        <v>3342</v>
      </c>
      <c r="N1949" t="s">
        <v>3345</v>
      </c>
      <c r="O1949" t="s">
        <v>3346</v>
      </c>
      <c r="P1949">
        <v>41169630</v>
      </c>
    </row>
    <row r="1950" spans="1:16">
      <c r="A1950" t="s">
        <v>93</v>
      </c>
      <c r="B1950">
        <v>0</v>
      </c>
      <c r="G1950" t="s">
        <v>3338</v>
      </c>
      <c r="I1950" t="s">
        <v>3338</v>
      </c>
      <c r="N1950" t="s">
        <v>3347</v>
      </c>
      <c r="O1950" t="s">
        <v>3344</v>
      </c>
      <c r="P1950">
        <v>41169630</v>
      </c>
    </row>
    <row r="1951" spans="1:16">
      <c r="A1951" t="s">
        <v>93</v>
      </c>
      <c r="B1951">
        <v>1</v>
      </c>
      <c r="E1951" t="s">
        <v>3347</v>
      </c>
      <c r="F1951" t="s">
        <v>3344</v>
      </c>
      <c r="G1951" t="s">
        <v>3348</v>
      </c>
      <c r="I1951" t="s">
        <v>3338</v>
      </c>
      <c r="J1951" t="s">
        <v>2232</v>
      </c>
      <c r="K1951" t="s">
        <v>2233</v>
      </c>
      <c r="L1951" t="s">
        <v>3342</v>
      </c>
      <c r="N1951" t="s">
        <v>3349</v>
      </c>
      <c r="O1951" t="s">
        <v>3350</v>
      </c>
      <c r="P1951">
        <v>41169630</v>
      </c>
    </row>
    <row r="1952" spans="1:16">
      <c r="A1952" t="s">
        <v>93</v>
      </c>
      <c r="B1952">
        <v>1</v>
      </c>
      <c r="E1952" t="s">
        <v>3347</v>
      </c>
      <c r="F1952" t="s">
        <v>3344</v>
      </c>
      <c r="G1952" t="s">
        <v>3348</v>
      </c>
      <c r="I1952" t="s">
        <v>3338</v>
      </c>
      <c r="L1952" t="s">
        <v>193</v>
      </c>
      <c r="N1952" t="s">
        <v>3351</v>
      </c>
      <c r="O1952" t="s">
        <v>3352</v>
      </c>
      <c r="P1952">
        <v>41169630</v>
      </c>
    </row>
    <row r="1953" spans="1:16">
      <c r="A1953" t="s">
        <v>93</v>
      </c>
      <c r="B1953">
        <v>2</v>
      </c>
      <c r="E1953" t="s">
        <v>3351</v>
      </c>
      <c r="F1953" t="s">
        <v>3352</v>
      </c>
      <c r="G1953" t="s">
        <v>3353</v>
      </c>
      <c r="I1953" t="s">
        <v>3338</v>
      </c>
      <c r="J1953" t="s">
        <v>2421</v>
      </c>
      <c r="K1953" t="s">
        <v>3354</v>
      </c>
      <c r="L1953" t="s">
        <v>3355</v>
      </c>
      <c r="N1953" t="s">
        <v>3356</v>
      </c>
      <c r="O1953" t="s">
        <v>3357</v>
      </c>
      <c r="P1953">
        <v>41169630</v>
      </c>
    </row>
    <row r="1954" spans="1:16">
      <c r="A1954" t="s">
        <v>93</v>
      </c>
      <c r="B1954">
        <v>2</v>
      </c>
      <c r="E1954" t="s">
        <v>3351</v>
      </c>
      <c r="F1954" t="s">
        <v>3352</v>
      </c>
      <c r="G1954" t="s">
        <v>3353</v>
      </c>
      <c r="I1954" t="s">
        <v>3338</v>
      </c>
      <c r="J1954" t="s">
        <v>2421</v>
      </c>
      <c r="K1954" t="s">
        <v>3354</v>
      </c>
      <c r="L1954" t="s">
        <v>3355</v>
      </c>
      <c r="N1954" t="s">
        <v>3358</v>
      </c>
      <c r="O1954" t="s">
        <v>3359</v>
      </c>
      <c r="P1954">
        <v>41169630</v>
      </c>
    </row>
    <row r="1955" spans="1:16">
      <c r="A1955" t="s">
        <v>93</v>
      </c>
      <c r="B1955">
        <v>2</v>
      </c>
      <c r="E1955" t="s">
        <v>3351</v>
      </c>
      <c r="F1955" t="s">
        <v>3352</v>
      </c>
      <c r="G1955" t="s">
        <v>3353</v>
      </c>
      <c r="I1955" t="s">
        <v>3338</v>
      </c>
      <c r="J1955" t="s">
        <v>2421</v>
      </c>
      <c r="K1955" t="s">
        <v>3354</v>
      </c>
      <c r="L1955" t="s">
        <v>3355</v>
      </c>
      <c r="N1955" t="s">
        <v>3360</v>
      </c>
      <c r="O1955" t="s">
        <v>3361</v>
      </c>
      <c r="P1955">
        <v>41169630</v>
      </c>
    </row>
    <row r="1956" spans="1:16">
      <c r="A1956" t="s">
        <v>93</v>
      </c>
      <c r="B1956">
        <v>1</v>
      </c>
      <c r="E1956" t="s">
        <v>3347</v>
      </c>
      <c r="F1956" t="s">
        <v>3344</v>
      </c>
      <c r="G1956" t="s">
        <v>3348</v>
      </c>
      <c r="I1956" t="s">
        <v>3338</v>
      </c>
      <c r="J1956" t="s">
        <v>2236</v>
      </c>
      <c r="K1956" t="s">
        <v>3362</v>
      </c>
      <c r="L1956" t="s">
        <v>3363</v>
      </c>
      <c r="N1956" t="s">
        <v>3364</v>
      </c>
      <c r="O1956" t="s">
        <v>3365</v>
      </c>
      <c r="P1956">
        <v>41169630</v>
      </c>
    </row>
    <row r="1957" spans="1:16">
      <c r="A1957" t="s">
        <v>93</v>
      </c>
      <c r="B1957">
        <v>1</v>
      </c>
      <c r="E1957" t="s">
        <v>3347</v>
      </c>
      <c r="F1957" t="s">
        <v>3344</v>
      </c>
      <c r="G1957" t="s">
        <v>3348</v>
      </c>
      <c r="I1957" t="s">
        <v>3338</v>
      </c>
      <c r="L1957" t="s">
        <v>193</v>
      </c>
      <c r="N1957" t="s">
        <v>3366</v>
      </c>
      <c r="O1957" t="s">
        <v>3367</v>
      </c>
      <c r="P1957">
        <v>41169630</v>
      </c>
    </row>
    <row r="1958" spans="1:16">
      <c r="A1958" t="s">
        <v>93</v>
      </c>
      <c r="B1958">
        <v>2</v>
      </c>
      <c r="E1958" t="s">
        <v>3366</v>
      </c>
      <c r="F1958" t="s">
        <v>3367</v>
      </c>
      <c r="G1958" t="s">
        <v>3368</v>
      </c>
      <c r="I1958" t="s">
        <v>3338</v>
      </c>
      <c r="J1958" t="s">
        <v>2421</v>
      </c>
      <c r="K1958" t="s">
        <v>3354</v>
      </c>
      <c r="L1958" t="s">
        <v>3369</v>
      </c>
      <c r="N1958" t="s">
        <v>3370</v>
      </c>
      <c r="O1958" t="s">
        <v>3359</v>
      </c>
      <c r="P1958">
        <v>41169630</v>
      </c>
    </row>
    <row r="1959" spans="1:16">
      <c r="A1959" t="s">
        <v>93</v>
      </c>
      <c r="B1959">
        <v>2</v>
      </c>
      <c r="E1959" t="s">
        <v>3366</v>
      </c>
      <c r="F1959" t="s">
        <v>3367</v>
      </c>
      <c r="G1959" t="s">
        <v>3368</v>
      </c>
      <c r="I1959" t="s">
        <v>3338</v>
      </c>
      <c r="J1959" t="s">
        <v>2421</v>
      </c>
      <c r="K1959" t="s">
        <v>3354</v>
      </c>
      <c r="L1959" t="s">
        <v>3369</v>
      </c>
      <c r="N1959" t="s">
        <v>3371</v>
      </c>
      <c r="O1959" t="s">
        <v>3372</v>
      </c>
      <c r="P1959">
        <v>41169630</v>
      </c>
    </row>
    <row r="1960" spans="1:16">
      <c r="A1960" t="s">
        <v>93</v>
      </c>
      <c r="B1960">
        <v>2</v>
      </c>
      <c r="E1960" t="s">
        <v>3366</v>
      </c>
      <c r="F1960" t="s">
        <v>3367</v>
      </c>
      <c r="G1960" t="s">
        <v>3368</v>
      </c>
      <c r="I1960" t="s">
        <v>3338</v>
      </c>
      <c r="J1960" t="s">
        <v>2421</v>
      </c>
      <c r="K1960" t="s">
        <v>3354</v>
      </c>
      <c r="L1960" t="s">
        <v>3369</v>
      </c>
      <c r="N1960" t="s">
        <v>3373</v>
      </c>
      <c r="O1960" t="s">
        <v>3374</v>
      </c>
      <c r="P1960">
        <v>41169630</v>
      </c>
    </row>
    <row r="1961" spans="1:16">
      <c r="A1961" t="s">
        <v>93</v>
      </c>
      <c r="B1961">
        <v>2</v>
      </c>
      <c r="E1961" t="s">
        <v>3366</v>
      </c>
      <c r="F1961" t="s">
        <v>3367</v>
      </c>
      <c r="G1961" t="s">
        <v>3368</v>
      </c>
      <c r="I1961" t="s">
        <v>3338</v>
      </c>
      <c r="J1961" t="s">
        <v>2236</v>
      </c>
      <c r="K1961" t="s">
        <v>3362</v>
      </c>
      <c r="L1961" t="s">
        <v>3363</v>
      </c>
      <c r="N1961" t="s">
        <v>3375</v>
      </c>
      <c r="O1961" t="s">
        <v>3376</v>
      </c>
      <c r="P1961">
        <v>41169630</v>
      </c>
    </row>
    <row r="1962" spans="1:16">
      <c r="A1962" t="s">
        <v>93</v>
      </c>
      <c r="B1962">
        <v>0</v>
      </c>
      <c r="G1962" t="s">
        <v>3338</v>
      </c>
      <c r="I1962" t="s">
        <v>3338</v>
      </c>
      <c r="N1962" t="s">
        <v>3377</v>
      </c>
      <c r="O1962" t="s">
        <v>3346</v>
      </c>
      <c r="P1962">
        <v>41169630</v>
      </c>
    </row>
    <row r="1963" spans="1:16">
      <c r="A1963" t="s">
        <v>93</v>
      </c>
      <c r="B1963">
        <v>1</v>
      </c>
      <c r="E1963" t="s">
        <v>3377</v>
      </c>
      <c r="F1963" t="s">
        <v>3346</v>
      </c>
      <c r="G1963" t="s">
        <v>3378</v>
      </c>
      <c r="I1963" t="s">
        <v>3338</v>
      </c>
      <c r="L1963" t="s">
        <v>193</v>
      </c>
      <c r="N1963" t="s">
        <v>3379</v>
      </c>
      <c r="O1963" t="s">
        <v>3380</v>
      </c>
      <c r="P1963">
        <v>41169630</v>
      </c>
    </row>
    <row r="1964" spans="1:16">
      <c r="A1964" t="s">
        <v>93</v>
      </c>
      <c r="B1964">
        <v>2</v>
      </c>
      <c r="E1964" t="s">
        <v>3379</v>
      </c>
      <c r="F1964" t="s">
        <v>3380</v>
      </c>
      <c r="G1964" t="s">
        <v>3381</v>
      </c>
      <c r="I1964" t="s">
        <v>3338</v>
      </c>
      <c r="J1964" t="s">
        <v>2421</v>
      </c>
      <c r="K1964" t="s">
        <v>3354</v>
      </c>
      <c r="L1964" t="s">
        <v>3369</v>
      </c>
      <c r="N1964" t="s">
        <v>3382</v>
      </c>
      <c r="O1964" t="s">
        <v>3352</v>
      </c>
      <c r="P1964">
        <v>41169630</v>
      </c>
    </row>
    <row r="1965" spans="1:16">
      <c r="A1965" t="s">
        <v>93</v>
      </c>
      <c r="B1965">
        <v>2</v>
      </c>
      <c r="E1965" t="s">
        <v>3379</v>
      </c>
      <c r="F1965" t="s">
        <v>3380</v>
      </c>
      <c r="G1965" t="s">
        <v>3381</v>
      </c>
      <c r="I1965" t="s">
        <v>3338</v>
      </c>
      <c r="L1965" t="s">
        <v>3383</v>
      </c>
      <c r="N1965" t="s">
        <v>3384</v>
      </c>
      <c r="O1965" t="s">
        <v>3385</v>
      </c>
      <c r="P1965">
        <v>41169630</v>
      </c>
    </row>
    <row r="1966" spans="1:16">
      <c r="A1966" t="s">
        <v>93</v>
      </c>
      <c r="B1966">
        <v>2</v>
      </c>
      <c r="E1966" t="s">
        <v>3379</v>
      </c>
      <c r="F1966" t="s">
        <v>3380</v>
      </c>
      <c r="G1966" t="s">
        <v>3381</v>
      </c>
      <c r="I1966" t="s">
        <v>3338</v>
      </c>
      <c r="J1966" t="s">
        <v>2232</v>
      </c>
      <c r="K1966" t="s">
        <v>2233</v>
      </c>
      <c r="L1966" t="s">
        <v>3342</v>
      </c>
      <c r="N1966" t="s">
        <v>3386</v>
      </c>
      <c r="O1966" t="s">
        <v>3350</v>
      </c>
      <c r="P1966">
        <v>41169630</v>
      </c>
    </row>
    <row r="1967" spans="1:16">
      <c r="A1967" t="s">
        <v>93</v>
      </c>
      <c r="B1967">
        <v>0</v>
      </c>
      <c r="G1967" t="s">
        <v>3338</v>
      </c>
      <c r="I1967" t="s">
        <v>3338</v>
      </c>
      <c r="N1967" t="s">
        <v>3395</v>
      </c>
      <c r="O1967" t="s">
        <v>3396</v>
      </c>
      <c r="P1967">
        <v>41169630</v>
      </c>
    </row>
    <row r="1968" spans="1:16">
      <c r="A1968" t="s">
        <v>93</v>
      </c>
      <c r="B1968">
        <v>1</v>
      </c>
      <c r="E1968" t="s">
        <v>3395</v>
      </c>
      <c r="F1968" t="s">
        <v>3396</v>
      </c>
      <c r="G1968" t="s">
        <v>3397</v>
      </c>
      <c r="I1968" t="s">
        <v>3338</v>
      </c>
      <c r="L1968" t="s">
        <v>3342</v>
      </c>
      <c r="N1968" t="s">
        <v>3398</v>
      </c>
      <c r="O1968" t="s">
        <v>3399</v>
      </c>
      <c r="P1968">
        <v>41169630</v>
      </c>
    </row>
    <row r="1969" spans="1:16">
      <c r="A1969" t="s">
        <v>93</v>
      </c>
      <c r="B1969">
        <v>1</v>
      </c>
      <c r="E1969" t="s">
        <v>3395</v>
      </c>
      <c r="F1969" t="s">
        <v>3396</v>
      </c>
      <c r="G1969" t="s">
        <v>3397</v>
      </c>
      <c r="I1969" t="s">
        <v>3338</v>
      </c>
      <c r="J1969" t="s">
        <v>2232</v>
      </c>
      <c r="K1969" t="s">
        <v>2233</v>
      </c>
      <c r="L1969" t="s">
        <v>3342</v>
      </c>
      <c r="N1969" t="s">
        <v>3400</v>
      </c>
      <c r="O1969" t="s">
        <v>3401</v>
      </c>
      <c r="P1969">
        <v>41169630</v>
      </c>
    </row>
    <row r="1970" spans="1:16">
      <c r="A1970" t="s">
        <v>93</v>
      </c>
      <c r="B1970">
        <v>1</v>
      </c>
      <c r="E1970" t="s">
        <v>3395</v>
      </c>
      <c r="F1970" t="s">
        <v>3396</v>
      </c>
      <c r="G1970" t="s">
        <v>3397</v>
      </c>
      <c r="I1970" t="s">
        <v>3338</v>
      </c>
      <c r="L1970" t="s">
        <v>3342</v>
      </c>
      <c r="N1970" t="s">
        <v>3402</v>
      </c>
      <c r="O1970" t="s">
        <v>3403</v>
      </c>
      <c r="P1970">
        <v>41169630</v>
      </c>
    </row>
    <row r="1971" spans="1:16">
      <c r="A1971" t="s">
        <v>93</v>
      </c>
      <c r="B1971">
        <v>1</v>
      </c>
      <c r="E1971" t="s">
        <v>3395</v>
      </c>
      <c r="F1971" t="s">
        <v>3396</v>
      </c>
      <c r="G1971" t="s">
        <v>3397</v>
      </c>
      <c r="I1971" t="s">
        <v>3338</v>
      </c>
      <c r="L1971" t="s">
        <v>3342</v>
      </c>
      <c r="N1971" t="s">
        <v>3404</v>
      </c>
      <c r="O1971" t="s">
        <v>3405</v>
      </c>
      <c r="P1971">
        <v>41169630</v>
      </c>
    </row>
    <row r="1972" spans="1:16">
      <c r="A1972" t="s">
        <v>93</v>
      </c>
      <c r="B1972">
        <v>0</v>
      </c>
      <c r="G1972" t="s">
        <v>3338</v>
      </c>
      <c r="I1972" t="s">
        <v>3338</v>
      </c>
      <c r="N1972" t="s">
        <v>3406</v>
      </c>
      <c r="O1972" t="s">
        <v>3407</v>
      </c>
      <c r="P1972">
        <v>41169630</v>
      </c>
    </row>
    <row r="1973" spans="1:16">
      <c r="A1973" t="s">
        <v>93</v>
      </c>
      <c r="B1973">
        <v>1</v>
      </c>
      <c r="E1973" t="s">
        <v>3406</v>
      </c>
      <c r="F1973" t="s">
        <v>3407</v>
      </c>
      <c r="G1973" t="s">
        <v>3408</v>
      </c>
      <c r="I1973" t="s">
        <v>3338</v>
      </c>
      <c r="J1973" t="s">
        <v>2421</v>
      </c>
      <c r="K1973" t="s">
        <v>3354</v>
      </c>
      <c r="L1973" t="s">
        <v>3369</v>
      </c>
      <c r="N1973" t="s">
        <v>3409</v>
      </c>
      <c r="O1973" t="s">
        <v>3410</v>
      </c>
      <c r="P1973">
        <v>41169630</v>
      </c>
    </row>
    <row r="1974" spans="1:16">
      <c r="A1974" t="s">
        <v>93</v>
      </c>
      <c r="B1974">
        <v>1</v>
      </c>
      <c r="E1974" t="s">
        <v>3406</v>
      </c>
      <c r="F1974" t="s">
        <v>3407</v>
      </c>
      <c r="G1974" t="s">
        <v>3408</v>
      </c>
      <c r="I1974" t="s">
        <v>3338</v>
      </c>
      <c r="L1974" t="s">
        <v>193</v>
      </c>
      <c r="N1974" t="s">
        <v>3411</v>
      </c>
      <c r="O1974" t="s">
        <v>3412</v>
      </c>
      <c r="P1974">
        <v>41169630</v>
      </c>
    </row>
    <row r="1975" spans="1:16">
      <c r="A1975" t="s">
        <v>93</v>
      </c>
      <c r="B1975">
        <v>2</v>
      </c>
      <c r="E1975" t="s">
        <v>3411</v>
      </c>
      <c r="F1975" t="s">
        <v>3412</v>
      </c>
      <c r="G1975" t="s">
        <v>3413</v>
      </c>
      <c r="I1975" t="s">
        <v>3338</v>
      </c>
      <c r="L1975" t="s">
        <v>3342</v>
      </c>
      <c r="N1975" t="s">
        <v>3414</v>
      </c>
      <c r="O1975" t="s">
        <v>3415</v>
      </c>
      <c r="P1975">
        <v>41169630</v>
      </c>
    </row>
    <row r="1976" spans="1:16">
      <c r="A1976" t="s">
        <v>93</v>
      </c>
      <c r="B1976">
        <v>2</v>
      </c>
      <c r="E1976" t="s">
        <v>3411</v>
      </c>
      <c r="F1976" t="s">
        <v>3412</v>
      </c>
      <c r="G1976" t="s">
        <v>3413</v>
      </c>
      <c r="I1976" t="s">
        <v>3338</v>
      </c>
      <c r="J1976" t="s">
        <v>2232</v>
      </c>
      <c r="K1976" t="s">
        <v>2233</v>
      </c>
      <c r="L1976" t="s">
        <v>3342</v>
      </c>
      <c r="N1976" t="s">
        <v>3416</v>
      </c>
      <c r="O1976" t="s">
        <v>3417</v>
      </c>
      <c r="P1976">
        <v>41169630</v>
      </c>
    </row>
    <row r="1977" spans="1:16">
      <c r="A1977" t="s">
        <v>93</v>
      </c>
      <c r="B1977">
        <v>2</v>
      </c>
      <c r="E1977" t="s">
        <v>3411</v>
      </c>
      <c r="F1977" t="s">
        <v>3412</v>
      </c>
      <c r="G1977" t="s">
        <v>3413</v>
      </c>
      <c r="I1977" t="s">
        <v>3338</v>
      </c>
      <c r="J1977" t="s">
        <v>2232</v>
      </c>
      <c r="K1977" t="s">
        <v>2233</v>
      </c>
      <c r="L1977" t="s">
        <v>3342</v>
      </c>
      <c r="N1977" t="s">
        <v>3418</v>
      </c>
      <c r="O1977" t="s">
        <v>3419</v>
      </c>
      <c r="P1977">
        <v>41169630</v>
      </c>
    </row>
    <row r="1978" spans="1:16">
      <c r="A1978" t="s">
        <v>93</v>
      </c>
      <c r="B1978">
        <v>2</v>
      </c>
      <c r="E1978" t="s">
        <v>3411</v>
      </c>
      <c r="F1978" t="s">
        <v>3412</v>
      </c>
      <c r="G1978" t="s">
        <v>3413</v>
      </c>
      <c r="I1978" t="s">
        <v>3338</v>
      </c>
      <c r="L1978" t="s">
        <v>3342</v>
      </c>
      <c r="N1978" t="s">
        <v>3420</v>
      </c>
      <c r="O1978" t="s">
        <v>3421</v>
      </c>
      <c r="P1978">
        <v>41169630</v>
      </c>
    </row>
    <row r="1979" spans="1:16">
      <c r="A1979" t="s">
        <v>93</v>
      </c>
      <c r="B1979">
        <v>2</v>
      </c>
      <c r="E1979" t="s">
        <v>3411</v>
      </c>
      <c r="F1979" t="s">
        <v>3412</v>
      </c>
      <c r="G1979" t="s">
        <v>3413</v>
      </c>
      <c r="I1979" t="s">
        <v>3338</v>
      </c>
      <c r="J1979" t="s">
        <v>2232</v>
      </c>
      <c r="K1979" t="s">
        <v>2233</v>
      </c>
      <c r="L1979" t="s">
        <v>3342</v>
      </c>
      <c r="N1979" t="s">
        <v>3422</v>
      </c>
      <c r="O1979" t="s">
        <v>3423</v>
      </c>
      <c r="P1979">
        <v>41169630</v>
      </c>
    </row>
    <row r="1980" spans="1:16">
      <c r="A1980" t="s">
        <v>93</v>
      </c>
      <c r="B1980">
        <v>0</v>
      </c>
      <c r="G1980" t="s">
        <v>3338</v>
      </c>
      <c r="I1980" t="s">
        <v>3338</v>
      </c>
      <c r="N1980" t="s">
        <v>3424</v>
      </c>
      <c r="O1980" t="s">
        <v>3425</v>
      </c>
      <c r="P1980">
        <v>41169630</v>
      </c>
    </row>
    <row r="1981" spans="1:16">
      <c r="A1981" t="s">
        <v>93</v>
      </c>
      <c r="B1981">
        <v>1</v>
      </c>
      <c r="E1981" t="s">
        <v>3424</v>
      </c>
      <c r="F1981" t="s">
        <v>3425</v>
      </c>
      <c r="G1981" t="s">
        <v>3426</v>
      </c>
      <c r="I1981" t="s">
        <v>3338</v>
      </c>
      <c r="J1981" t="s">
        <v>2421</v>
      </c>
      <c r="K1981" t="s">
        <v>3354</v>
      </c>
      <c r="L1981" t="s">
        <v>3369</v>
      </c>
      <c r="N1981" t="s">
        <v>3427</v>
      </c>
      <c r="O1981" t="s">
        <v>3428</v>
      </c>
      <c r="P1981">
        <v>41169630</v>
      </c>
    </row>
    <row r="1982" spans="1:16">
      <c r="A1982" t="s">
        <v>93</v>
      </c>
      <c r="B1982">
        <v>1</v>
      </c>
      <c r="E1982" t="s">
        <v>3424</v>
      </c>
      <c r="F1982" t="s">
        <v>3425</v>
      </c>
      <c r="G1982" t="s">
        <v>3426</v>
      </c>
      <c r="I1982" t="s">
        <v>3338</v>
      </c>
      <c r="J1982" t="s">
        <v>2421</v>
      </c>
      <c r="K1982" t="s">
        <v>3354</v>
      </c>
      <c r="L1982" t="s">
        <v>3369</v>
      </c>
      <c r="N1982" t="s">
        <v>3429</v>
      </c>
      <c r="O1982" t="s">
        <v>3430</v>
      </c>
      <c r="P1982">
        <v>41169630</v>
      </c>
    </row>
    <row r="1983" spans="1:16">
      <c r="A1983" t="s">
        <v>93</v>
      </c>
      <c r="B1983">
        <v>1</v>
      </c>
      <c r="E1983" t="s">
        <v>3424</v>
      </c>
      <c r="F1983" t="s">
        <v>3425</v>
      </c>
      <c r="G1983" t="s">
        <v>3426</v>
      </c>
      <c r="I1983" t="s">
        <v>3338</v>
      </c>
      <c r="J1983" t="s">
        <v>2232</v>
      </c>
      <c r="K1983" t="s">
        <v>2233</v>
      </c>
      <c r="L1983" t="s">
        <v>3342</v>
      </c>
      <c r="N1983" t="s">
        <v>3431</v>
      </c>
      <c r="O1983" t="s">
        <v>3432</v>
      </c>
      <c r="P1983">
        <v>41169630</v>
      </c>
    </row>
    <row r="1984" spans="1:16">
      <c r="A1984" t="s">
        <v>93</v>
      </c>
      <c r="B1984">
        <v>0</v>
      </c>
      <c r="G1984" t="s">
        <v>3338</v>
      </c>
      <c r="I1984" t="s">
        <v>3338</v>
      </c>
      <c r="N1984" t="s">
        <v>3433</v>
      </c>
      <c r="O1984" t="s">
        <v>3434</v>
      </c>
      <c r="P1984">
        <v>41169630</v>
      </c>
    </row>
    <row r="1985" spans="1:16">
      <c r="A1985" t="s">
        <v>93</v>
      </c>
      <c r="B1985">
        <v>1</v>
      </c>
      <c r="E1985" t="s">
        <v>3433</v>
      </c>
      <c r="F1985" t="s">
        <v>3434</v>
      </c>
      <c r="G1985" t="s">
        <v>3435</v>
      </c>
      <c r="I1985" t="s">
        <v>3338</v>
      </c>
      <c r="J1985" t="s">
        <v>2232</v>
      </c>
      <c r="K1985" t="s">
        <v>2233</v>
      </c>
      <c r="L1985" t="s">
        <v>3342</v>
      </c>
      <c r="N1985" t="s">
        <v>3436</v>
      </c>
      <c r="O1985" t="s">
        <v>3437</v>
      </c>
      <c r="P1985">
        <v>41169630</v>
      </c>
    </row>
    <row r="1986" spans="1:16">
      <c r="A1986" t="s">
        <v>93</v>
      </c>
      <c r="B1986">
        <v>1</v>
      </c>
      <c r="E1986" t="s">
        <v>3433</v>
      </c>
      <c r="F1986" t="s">
        <v>3434</v>
      </c>
      <c r="G1986" t="s">
        <v>3435</v>
      </c>
      <c r="I1986" t="s">
        <v>3338</v>
      </c>
      <c r="J1986" t="s">
        <v>2232</v>
      </c>
      <c r="K1986" t="s">
        <v>2233</v>
      </c>
      <c r="L1986" t="s">
        <v>3342</v>
      </c>
      <c r="N1986" t="s">
        <v>3438</v>
      </c>
      <c r="O1986" t="s">
        <v>3439</v>
      </c>
      <c r="P1986">
        <v>41169630</v>
      </c>
    </row>
    <row r="1987" spans="1:16">
      <c r="A1987" t="s">
        <v>93</v>
      </c>
      <c r="B1987">
        <v>1</v>
      </c>
      <c r="E1987" t="s">
        <v>3433</v>
      </c>
      <c r="F1987" t="s">
        <v>3434</v>
      </c>
      <c r="G1987" t="s">
        <v>3435</v>
      </c>
      <c r="I1987" t="s">
        <v>3338</v>
      </c>
      <c r="J1987" t="s">
        <v>2232</v>
      </c>
      <c r="K1987" t="s">
        <v>2233</v>
      </c>
      <c r="L1987" t="s">
        <v>3342</v>
      </c>
      <c r="N1987" t="s">
        <v>3440</v>
      </c>
      <c r="O1987" t="s">
        <v>3441</v>
      </c>
      <c r="P1987">
        <v>41169630</v>
      </c>
    </row>
    <row r="1988" spans="1:16">
      <c r="A1988" t="s">
        <v>93</v>
      </c>
      <c r="B1988">
        <v>1</v>
      </c>
      <c r="E1988" t="s">
        <v>3433</v>
      </c>
      <c r="F1988" t="s">
        <v>3434</v>
      </c>
      <c r="G1988" t="s">
        <v>3435</v>
      </c>
      <c r="I1988" t="s">
        <v>3338</v>
      </c>
      <c r="J1988" t="s">
        <v>2232</v>
      </c>
      <c r="K1988" t="s">
        <v>2233</v>
      </c>
      <c r="L1988" t="s">
        <v>3342</v>
      </c>
      <c r="N1988" t="s">
        <v>3442</v>
      </c>
      <c r="O1988" t="s">
        <v>3443</v>
      </c>
      <c r="P1988">
        <v>41169630</v>
      </c>
    </row>
    <row r="1989" spans="1:16">
      <c r="A1989" t="s">
        <v>93</v>
      </c>
      <c r="B1989">
        <v>1</v>
      </c>
      <c r="E1989" t="s">
        <v>3433</v>
      </c>
      <c r="F1989" t="s">
        <v>3434</v>
      </c>
      <c r="G1989" t="s">
        <v>3435</v>
      </c>
      <c r="I1989" t="s">
        <v>3338</v>
      </c>
      <c r="J1989" t="s">
        <v>2232</v>
      </c>
      <c r="K1989" t="s">
        <v>2233</v>
      </c>
      <c r="L1989" t="s">
        <v>3342</v>
      </c>
      <c r="N1989" t="s">
        <v>3444</v>
      </c>
      <c r="O1989" t="s">
        <v>3445</v>
      </c>
      <c r="P1989">
        <v>41169630</v>
      </c>
    </row>
    <row r="1990" spans="1:16">
      <c r="A1990" t="s">
        <v>93</v>
      </c>
      <c r="B1990">
        <v>1</v>
      </c>
      <c r="E1990" t="s">
        <v>3433</v>
      </c>
      <c r="F1990" t="s">
        <v>3434</v>
      </c>
      <c r="G1990" t="s">
        <v>3435</v>
      </c>
      <c r="I1990" t="s">
        <v>3338</v>
      </c>
      <c r="J1990" t="s">
        <v>2232</v>
      </c>
      <c r="K1990" t="s">
        <v>2233</v>
      </c>
      <c r="L1990" t="s">
        <v>3342</v>
      </c>
      <c r="N1990" t="s">
        <v>3446</v>
      </c>
      <c r="O1990" t="s">
        <v>3447</v>
      </c>
      <c r="P1990">
        <v>41169630</v>
      </c>
    </row>
    <row r="1991" spans="1:16">
      <c r="A1991" t="s">
        <v>93</v>
      </c>
      <c r="B1991">
        <v>0</v>
      </c>
      <c r="G1991" t="s">
        <v>3338</v>
      </c>
      <c r="I1991" t="s">
        <v>3338</v>
      </c>
      <c r="N1991" t="s">
        <v>3448</v>
      </c>
      <c r="O1991" t="s">
        <v>3449</v>
      </c>
      <c r="P1991">
        <v>41169630</v>
      </c>
    </row>
    <row r="1992" spans="1:16">
      <c r="A1992" t="s">
        <v>93</v>
      </c>
      <c r="B1992">
        <v>1</v>
      </c>
      <c r="E1992" t="s">
        <v>3448</v>
      </c>
      <c r="F1992" t="s">
        <v>3449</v>
      </c>
      <c r="G1992" t="s">
        <v>3450</v>
      </c>
      <c r="I1992" t="s">
        <v>3338</v>
      </c>
      <c r="J1992" t="s">
        <v>2421</v>
      </c>
      <c r="K1992" t="s">
        <v>3354</v>
      </c>
      <c r="L1992" t="s">
        <v>3451</v>
      </c>
      <c r="N1992" t="s">
        <v>3452</v>
      </c>
      <c r="O1992" t="s">
        <v>3453</v>
      </c>
      <c r="P1992">
        <v>41169630</v>
      </c>
    </row>
    <row r="1993" spans="1:16">
      <c r="A1993" t="s">
        <v>95</v>
      </c>
      <c r="B1993">
        <v>0</v>
      </c>
      <c r="G1993" t="s">
        <v>3338</v>
      </c>
      <c r="I1993" t="s">
        <v>3338</v>
      </c>
      <c r="N1993" t="s">
        <v>3339</v>
      </c>
      <c r="O1993" t="s">
        <v>3340</v>
      </c>
      <c r="P1993">
        <v>41179282</v>
      </c>
    </row>
    <row r="1994" spans="1:16">
      <c r="A1994" t="s">
        <v>95</v>
      </c>
      <c r="B1994">
        <v>1</v>
      </c>
      <c r="E1994" t="s">
        <v>3339</v>
      </c>
      <c r="F1994" t="s">
        <v>3340</v>
      </c>
      <c r="G1994" t="s">
        <v>3341</v>
      </c>
      <c r="I1994" t="s">
        <v>3338</v>
      </c>
      <c r="J1994" t="s">
        <v>2232</v>
      </c>
      <c r="K1994" t="s">
        <v>2233</v>
      </c>
      <c r="L1994" t="s">
        <v>3342</v>
      </c>
      <c r="N1994" t="s">
        <v>3343</v>
      </c>
      <c r="O1994" t="s">
        <v>3344</v>
      </c>
      <c r="P1994">
        <v>41179282</v>
      </c>
    </row>
    <row r="1995" spans="1:16">
      <c r="A1995" t="s">
        <v>95</v>
      </c>
      <c r="B1995">
        <v>1</v>
      </c>
      <c r="E1995" t="s">
        <v>3339</v>
      </c>
      <c r="F1995" t="s">
        <v>3340</v>
      </c>
      <c r="G1995" t="s">
        <v>3341</v>
      </c>
      <c r="I1995" t="s">
        <v>3338</v>
      </c>
      <c r="J1995" t="s">
        <v>2232</v>
      </c>
      <c r="K1995" t="s">
        <v>2233</v>
      </c>
      <c r="L1995" t="s">
        <v>3342</v>
      </c>
      <c r="N1995" t="s">
        <v>3345</v>
      </c>
      <c r="O1995" t="s">
        <v>3346</v>
      </c>
      <c r="P1995">
        <v>41179282</v>
      </c>
    </row>
    <row r="1996" spans="1:16">
      <c r="A1996" t="s">
        <v>95</v>
      </c>
      <c r="B1996">
        <v>0</v>
      </c>
      <c r="G1996" t="s">
        <v>3338</v>
      </c>
      <c r="I1996" t="s">
        <v>3338</v>
      </c>
      <c r="N1996" t="s">
        <v>3347</v>
      </c>
      <c r="O1996" t="s">
        <v>3344</v>
      </c>
      <c r="P1996">
        <v>41179282</v>
      </c>
    </row>
    <row r="1997" spans="1:16">
      <c r="A1997" t="s">
        <v>95</v>
      </c>
      <c r="B1997">
        <v>1</v>
      </c>
      <c r="E1997" t="s">
        <v>3347</v>
      </c>
      <c r="F1997" t="s">
        <v>3344</v>
      </c>
      <c r="G1997" t="s">
        <v>3348</v>
      </c>
      <c r="I1997" t="s">
        <v>3338</v>
      </c>
      <c r="J1997" t="s">
        <v>2232</v>
      </c>
      <c r="K1997" t="s">
        <v>2233</v>
      </c>
      <c r="L1997" t="s">
        <v>3342</v>
      </c>
      <c r="N1997" t="s">
        <v>3349</v>
      </c>
      <c r="O1997" t="s">
        <v>3350</v>
      </c>
      <c r="P1997">
        <v>41179282</v>
      </c>
    </row>
    <row r="1998" spans="1:16">
      <c r="A1998" t="s">
        <v>95</v>
      </c>
      <c r="B1998">
        <v>1</v>
      </c>
      <c r="E1998" t="s">
        <v>3347</v>
      </c>
      <c r="F1998" t="s">
        <v>3344</v>
      </c>
      <c r="G1998" t="s">
        <v>3348</v>
      </c>
      <c r="I1998" t="s">
        <v>3338</v>
      </c>
      <c r="L1998" t="s">
        <v>193</v>
      </c>
      <c r="N1998" t="s">
        <v>3351</v>
      </c>
      <c r="O1998" t="s">
        <v>3352</v>
      </c>
      <c r="P1998">
        <v>41179282</v>
      </c>
    </row>
    <row r="1999" spans="1:16">
      <c r="A1999" t="s">
        <v>95</v>
      </c>
      <c r="B1999">
        <v>2</v>
      </c>
      <c r="E1999" t="s">
        <v>3351</v>
      </c>
      <c r="F1999" t="s">
        <v>3352</v>
      </c>
      <c r="G1999" t="s">
        <v>3353</v>
      </c>
      <c r="I1999" t="s">
        <v>3338</v>
      </c>
      <c r="J1999" t="s">
        <v>2421</v>
      </c>
      <c r="K1999" t="s">
        <v>3354</v>
      </c>
      <c r="L1999" t="s">
        <v>3355</v>
      </c>
      <c r="N1999" t="s">
        <v>3356</v>
      </c>
      <c r="O1999" t="s">
        <v>3357</v>
      </c>
      <c r="P1999">
        <v>41179282</v>
      </c>
    </row>
    <row r="2000" spans="1:16">
      <c r="A2000" t="s">
        <v>95</v>
      </c>
      <c r="B2000">
        <v>2</v>
      </c>
      <c r="E2000" t="s">
        <v>3351</v>
      </c>
      <c r="F2000" t="s">
        <v>3352</v>
      </c>
      <c r="G2000" t="s">
        <v>3353</v>
      </c>
      <c r="I2000" t="s">
        <v>3338</v>
      </c>
      <c r="J2000" t="s">
        <v>2421</v>
      </c>
      <c r="K2000" t="s">
        <v>3354</v>
      </c>
      <c r="L2000" t="s">
        <v>3355</v>
      </c>
      <c r="N2000" t="s">
        <v>3358</v>
      </c>
      <c r="O2000" t="s">
        <v>3359</v>
      </c>
      <c r="P2000">
        <v>41179282</v>
      </c>
    </row>
    <row r="2001" spans="1:16">
      <c r="A2001" t="s">
        <v>95</v>
      </c>
      <c r="B2001">
        <v>2</v>
      </c>
      <c r="E2001" t="s">
        <v>3351</v>
      </c>
      <c r="F2001" t="s">
        <v>3352</v>
      </c>
      <c r="G2001" t="s">
        <v>3353</v>
      </c>
      <c r="I2001" t="s">
        <v>3338</v>
      </c>
      <c r="J2001" t="s">
        <v>2421</v>
      </c>
      <c r="K2001" t="s">
        <v>3354</v>
      </c>
      <c r="L2001" t="s">
        <v>3355</v>
      </c>
      <c r="N2001" t="s">
        <v>3360</v>
      </c>
      <c r="O2001" t="s">
        <v>3361</v>
      </c>
      <c r="P2001">
        <v>41179282</v>
      </c>
    </row>
    <row r="2002" spans="1:16">
      <c r="A2002" t="s">
        <v>95</v>
      </c>
      <c r="B2002">
        <v>1</v>
      </c>
      <c r="E2002" t="s">
        <v>3347</v>
      </c>
      <c r="F2002" t="s">
        <v>3344</v>
      </c>
      <c r="G2002" t="s">
        <v>3348</v>
      </c>
      <c r="I2002" t="s">
        <v>3338</v>
      </c>
      <c r="J2002" t="s">
        <v>2236</v>
      </c>
      <c r="K2002" t="s">
        <v>3362</v>
      </c>
      <c r="L2002" t="s">
        <v>3363</v>
      </c>
      <c r="N2002" t="s">
        <v>3364</v>
      </c>
      <c r="O2002" t="s">
        <v>3365</v>
      </c>
      <c r="P2002">
        <v>41179282</v>
      </c>
    </row>
    <row r="2003" spans="1:16">
      <c r="A2003" t="s">
        <v>95</v>
      </c>
      <c r="B2003">
        <v>1</v>
      </c>
      <c r="E2003" t="s">
        <v>3347</v>
      </c>
      <c r="F2003" t="s">
        <v>3344</v>
      </c>
      <c r="G2003" t="s">
        <v>3348</v>
      </c>
      <c r="I2003" t="s">
        <v>3338</v>
      </c>
      <c r="L2003" t="s">
        <v>193</v>
      </c>
      <c r="N2003" t="s">
        <v>3366</v>
      </c>
      <c r="O2003" t="s">
        <v>3367</v>
      </c>
      <c r="P2003">
        <v>41179282</v>
      </c>
    </row>
    <row r="2004" spans="1:16">
      <c r="A2004" t="s">
        <v>95</v>
      </c>
      <c r="B2004">
        <v>2</v>
      </c>
      <c r="E2004" t="s">
        <v>3366</v>
      </c>
      <c r="F2004" t="s">
        <v>3367</v>
      </c>
      <c r="G2004" t="s">
        <v>3368</v>
      </c>
      <c r="I2004" t="s">
        <v>3338</v>
      </c>
      <c r="J2004" t="s">
        <v>2421</v>
      </c>
      <c r="K2004" t="s">
        <v>3354</v>
      </c>
      <c r="L2004" t="s">
        <v>3369</v>
      </c>
      <c r="N2004" t="s">
        <v>3370</v>
      </c>
      <c r="O2004" t="s">
        <v>3359</v>
      </c>
      <c r="P2004">
        <v>41179282</v>
      </c>
    </row>
    <row r="2005" spans="1:16">
      <c r="A2005" t="s">
        <v>95</v>
      </c>
      <c r="B2005">
        <v>2</v>
      </c>
      <c r="E2005" t="s">
        <v>3366</v>
      </c>
      <c r="F2005" t="s">
        <v>3367</v>
      </c>
      <c r="G2005" t="s">
        <v>3368</v>
      </c>
      <c r="I2005" t="s">
        <v>3338</v>
      </c>
      <c r="J2005" t="s">
        <v>2421</v>
      </c>
      <c r="K2005" t="s">
        <v>3354</v>
      </c>
      <c r="L2005" t="s">
        <v>3369</v>
      </c>
      <c r="N2005" t="s">
        <v>3371</v>
      </c>
      <c r="O2005" t="s">
        <v>3372</v>
      </c>
      <c r="P2005">
        <v>41179282</v>
      </c>
    </row>
    <row r="2006" spans="1:16">
      <c r="A2006" t="s">
        <v>95</v>
      </c>
      <c r="B2006">
        <v>2</v>
      </c>
      <c r="E2006" t="s">
        <v>3366</v>
      </c>
      <c r="F2006" t="s">
        <v>3367</v>
      </c>
      <c r="G2006" t="s">
        <v>3368</v>
      </c>
      <c r="I2006" t="s">
        <v>3338</v>
      </c>
      <c r="J2006" t="s">
        <v>2421</v>
      </c>
      <c r="K2006" t="s">
        <v>3354</v>
      </c>
      <c r="L2006" t="s">
        <v>3369</v>
      </c>
      <c r="N2006" t="s">
        <v>3373</v>
      </c>
      <c r="O2006" t="s">
        <v>3374</v>
      </c>
      <c r="P2006">
        <v>41179282</v>
      </c>
    </row>
    <row r="2007" spans="1:16">
      <c r="A2007" t="s">
        <v>95</v>
      </c>
      <c r="B2007">
        <v>2</v>
      </c>
      <c r="E2007" t="s">
        <v>3366</v>
      </c>
      <c r="F2007" t="s">
        <v>3367</v>
      </c>
      <c r="G2007" t="s">
        <v>3368</v>
      </c>
      <c r="I2007" t="s">
        <v>3338</v>
      </c>
      <c r="J2007" t="s">
        <v>2236</v>
      </c>
      <c r="K2007" t="s">
        <v>3362</v>
      </c>
      <c r="L2007" t="s">
        <v>3363</v>
      </c>
      <c r="N2007" t="s">
        <v>3375</v>
      </c>
      <c r="O2007" t="s">
        <v>3376</v>
      </c>
      <c r="P2007">
        <v>41179282</v>
      </c>
    </row>
    <row r="2008" spans="1:16">
      <c r="A2008" t="s">
        <v>95</v>
      </c>
      <c r="B2008">
        <v>0</v>
      </c>
      <c r="G2008" t="s">
        <v>3338</v>
      </c>
      <c r="I2008" t="s">
        <v>3338</v>
      </c>
      <c r="N2008" t="s">
        <v>3377</v>
      </c>
      <c r="O2008" t="s">
        <v>3346</v>
      </c>
      <c r="P2008">
        <v>41179282</v>
      </c>
    </row>
    <row r="2009" spans="1:16">
      <c r="A2009" t="s">
        <v>95</v>
      </c>
      <c r="B2009">
        <v>1</v>
      </c>
      <c r="E2009" t="s">
        <v>3377</v>
      </c>
      <c r="F2009" t="s">
        <v>3346</v>
      </c>
      <c r="G2009" t="s">
        <v>3378</v>
      </c>
      <c r="I2009" t="s">
        <v>3338</v>
      </c>
      <c r="L2009" t="s">
        <v>193</v>
      </c>
      <c r="N2009" t="s">
        <v>3379</v>
      </c>
      <c r="O2009" t="s">
        <v>3380</v>
      </c>
      <c r="P2009">
        <v>41179282</v>
      </c>
    </row>
    <row r="2010" spans="1:16">
      <c r="A2010" t="s">
        <v>95</v>
      </c>
      <c r="B2010">
        <v>2</v>
      </c>
      <c r="E2010" t="s">
        <v>3379</v>
      </c>
      <c r="F2010" t="s">
        <v>3380</v>
      </c>
      <c r="G2010" t="s">
        <v>3381</v>
      </c>
      <c r="I2010" t="s">
        <v>3338</v>
      </c>
      <c r="J2010" t="s">
        <v>2421</v>
      </c>
      <c r="K2010" t="s">
        <v>3354</v>
      </c>
      <c r="L2010" t="s">
        <v>3369</v>
      </c>
      <c r="N2010" t="s">
        <v>3382</v>
      </c>
      <c r="O2010" t="s">
        <v>3352</v>
      </c>
      <c r="P2010">
        <v>41179282</v>
      </c>
    </row>
    <row r="2011" spans="1:16">
      <c r="A2011" t="s">
        <v>95</v>
      </c>
      <c r="B2011">
        <v>2</v>
      </c>
      <c r="E2011" t="s">
        <v>3379</v>
      </c>
      <c r="F2011" t="s">
        <v>3380</v>
      </c>
      <c r="G2011" t="s">
        <v>3381</v>
      </c>
      <c r="I2011" t="s">
        <v>3338</v>
      </c>
      <c r="J2011" t="s">
        <v>2236</v>
      </c>
      <c r="K2011" t="s">
        <v>3362</v>
      </c>
      <c r="L2011" t="s">
        <v>3383</v>
      </c>
      <c r="N2011" t="s">
        <v>3384</v>
      </c>
      <c r="O2011" t="s">
        <v>3385</v>
      </c>
      <c r="P2011">
        <v>41179282</v>
      </c>
    </row>
    <row r="2012" spans="1:16">
      <c r="A2012" t="s">
        <v>95</v>
      </c>
      <c r="B2012">
        <v>2</v>
      </c>
      <c r="E2012" t="s">
        <v>3379</v>
      </c>
      <c r="F2012" t="s">
        <v>3380</v>
      </c>
      <c r="G2012" t="s">
        <v>3381</v>
      </c>
      <c r="I2012" t="s">
        <v>3338</v>
      </c>
      <c r="J2012" t="s">
        <v>2232</v>
      </c>
      <c r="K2012" t="s">
        <v>2233</v>
      </c>
      <c r="L2012" t="s">
        <v>3342</v>
      </c>
      <c r="N2012" t="s">
        <v>3386</v>
      </c>
      <c r="O2012" t="s">
        <v>3350</v>
      </c>
      <c r="P2012">
        <v>41179282</v>
      </c>
    </row>
    <row r="2013" spans="1:16">
      <c r="A2013" t="s">
        <v>95</v>
      </c>
      <c r="B2013">
        <v>0</v>
      </c>
      <c r="G2013" t="s">
        <v>3338</v>
      </c>
      <c r="I2013" t="s">
        <v>3338</v>
      </c>
      <c r="N2013" t="s">
        <v>3395</v>
      </c>
      <c r="O2013" t="s">
        <v>3396</v>
      </c>
      <c r="P2013">
        <v>41179282</v>
      </c>
    </row>
    <row r="2014" spans="1:16">
      <c r="A2014" t="s">
        <v>95</v>
      </c>
      <c r="B2014">
        <v>1</v>
      </c>
      <c r="E2014" t="s">
        <v>3395</v>
      </c>
      <c r="F2014" t="s">
        <v>3396</v>
      </c>
      <c r="G2014" t="s">
        <v>3397</v>
      </c>
      <c r="I2014" t="s">
        <v>3338</v>
      </c>
      <c r="L2014" t="s">
        <v>3342</v>
      </c>
      <c r="N2014" t="s">
        <v>3398</v>
      </c>
      <c r="O2014" t="s">
        <v>3399</v>
      </c>
      <c r="P2014">
        <v>41179282</v>
      </c>
    </row>
    <row r="2015" spans="1:16">
      <c r="A2015" t="s">
        <v>95</v>
      </c>
      <c r="B2015">
        <v>1</v>
      </c>
      <c r="E2015" t="s">
        <v>3395</v>
      </c>
      <c r="F2015" t="s">
        <v>3396</v>
      </c>
      <c r="G2015" t="s">
        <v>3397</v>
      </c>
      <c r="I2015" t="s">
        <v>3338</v>
      </c>
      <c r="J2015" t="s">
        <v>2232</v>
      </c>
      <c r="K2015" t="s">
        <v>2233</v>
      </c>
      <c r="L2015" t="s">
        <v>3342</v>
      </c>
      <c r="N2015" t="s">
        <v>3400</v>
      </c>
      <c r="O2015" t="s">
        <v>3401</v>
      </c>
      <c r="P2015">
        <v>41179282</v>
      </c>
    </row>
    <row r="2016" spans="1:16">
      <c r="A2016" t="s">
        <v>95</v>
      </c>
      <c r="B2016">
        <v>1</v>
      </c>
      <c r="E2016" t="s">
        <v>3395</v>
      </c>
      <c r="F2016" t="s">
        <v>3396</v>
      </c>
      <c r="G2016" t="s">
        <v>3397</v>
      </c>
      <c r="I2016" t="s">
        <v>3338</v>
      </c>
      <c r="J2016" t="s">
        <v>2232</v>
      </c>
      <c r="K2016" t="s">
        <v>2233</v>
      </c>
      <c r="L2016" t="s">
        <v>3342</v>
      </c>
      <c r="N2016" t="s">
        <v>3402</v>
      </c>
      <c r="O2016" t="s">
        <v>3403</v>
      </c>
      <c r="P2016">
        <v>41179282</v>
      </c>
    </row>
    <row r="2017" spans="1:16">
      <c r="A2017" t="s">
        <v>95</v>
      </c>
      <c r="B2017">
        <v>1</v>
      </c>
      <c r="E2017" t="s">
        <v>3395</v>
      </c>
      <c r="F2017" t="s">
        <v>3396</v>
      </c>
      <c r="G2017" t="s">
        <v>3397</v>
      </c>
      <c r="I2017" t="s">
        <v>3338</v>
      </c>
      <c r="J2017" t="s">
        <v>2232</v>
      </c>
      <c r="K2017" t="s">
        <v>2233</v>
      </c>
      <c r="L2017" t="s">
        <v>3342</v>
      </c>
      <c r="N2017" t="s">
        <v>3404</v>
      </c>
      <c r="O2017" t="s">
        <v>3405</v>
      </c>
      <c r="P2017">
        <v>41179282</v>
      </c>
    </row>
    <row r="2018" spans="1:16">
      <c r="A2018" t="s">
        <v>95</v>
      </c>
      <c r="B2018">
        <v>0</v>
      </c>
      <c r="G2018" t="s">
        <v>3338</v>
      </c>
      <c r="I2018" t="s">
        <v>3338</v>
      </c>
      <c r="N2018" t="s">
        <v>3406</v>
      </c>
      <c r="O2018" t="s">
        <v>3407</v>
      </c>
      <c r="P2018">
        <v>41179282</v>
      </c>
    </row>
    <row r="2019" spans="1:16">
      <c r="A2019" t="s">
        <v>95</v>
      </c>
      <c r="B2019">
        <v>1</v>
      </c>
      <c r="E2019" t="s">
        <v>3406</v>
      </c>
      <c r="F2019" t="s">
        <v>3407</v>
      </c>
      <c r="G2019" t="s">
        <v>3408</v>
      </c>
      <c r="I2019" t="s">
        <v>3338</v>
      </c>
      <c r="J2019" t="s">
        <v>2421</v>
      </c>
      <c r="K2019" t="s">
        <v>3354</v>
      </c>
      <c r="L2019" t="s">
        <v>3369</v>
      </c>
      <c r="N2019" t="s">
        <v>3409</v>
      </c>
      <c r="O2019" t="s">
        <v>3410</v>
      </c>
      <c r="P2019">
        <v>41179282</v>
      </c>
    </row>
    <row r="2020" spans="1:16">
      <c r="A2020" t="s">
        <v>95</v>
      </c>
      <c r="B2020">
        <v>1</v>
      </c>
      <c r="E2020" t="s">
        <v>3406</v>
      </c>
      <c r="F2020" t="s">
        <v>3407</v>
      </c>
      <c r="G2020" t="s">
        <v>3408</v>
      </c>
      <c r="I2020" t="s">
        <v>3338</v>
      </c>
      <c r="L2020" t="s">
        <v>193</v>
      </c>
      <c r="N2020" t="s">
        <v>3411</v>
      </c>
      <c r="O2020" t="s">
        <v>3412</v>
      </c>
      <c r="P2020">
        <v>41179282</v>
      </c>
    </row>
    <row r="2021" spans="1:16">
      <c r="A2021" t="s">
        <v>95</v>
      </c>
      <c r="B2021">
        <v>2</v>
      </c>
      <c r="E2021" t="s">
        <v>3411</v>
      </c>
      <c r="F2021" t="s">
        <v>3412</v>
      </c>
      <c r="G2021" t="s">
        <v>3413</v>
      </c>
      <c r="I2021" t="s">
        <v>3338</v>
      </c>
      <c r="J2021" t="s">
        <v>2232</v>
      </c>
      <c r="K2021" t="s">
        <v>2233</v>
      </c>
      <c r="L2021" t="s">
        <v>3342</v>
      </c>
      <c r="N2021" t="s">
        <v>3414</v>
      </c>
      <c r="O2021" t="s">
        <v>3415</v>
      </c>
      <c r="P2021">
        <v>41179282</v>
      </c>
    </row>
    <row r="2022" spans="1:16">
      <c r="A2022" t="s">
        <v>95</v>
      </c>
      <c r="B2022">
        <v>2</v>
      </c>
      <c r="E2022" t="s">
        <v>3411</v>
      </c>
      <c r="F2022" t="s">
        <v>3412</v>
      </c>
      <c r="G2022" t="s">
        <v>3413</v>
      </c>
      <c r="I2022" t="s">
        <v>3338</v>
      </c>
      <c r="J2022" t="s">
        <v>2232</v>
      </c>
      <c r="K2022" t="s">
        <v>2233</v>
      </c>
      <c r="L2022" t="s">
        <v>3342</v>
      </c>
      <c r="N2022" t="s">
        <v>3416</v>
      </c>
      <c r="O2022" t="s">
        <v>3417</v>
      </c>
      <c r="P2022">
        <v>41179282</v>
      </c>
    </row>
    <row r="2023" spans="1:16">
      <c r="A2023" t="s">
        <v>95</v>
      </c>
      <c r="B2023">
        <v>2</v>
      </c>
      <c r="E2023" t="s">
        <v>3411</v>
      </c>
      <c r="F2023" t="s">
        <v>3412</v>
      </c>
      <c r="G2023" t="s">
        <v>3413</v>
      </c>
      <c r="I2023" t="s">
        <v>3338</v>
      </c>
      <c r="J2023" t="s">
        <v>2232</v>
      </c>
      <c r="K2023" t="s">
        <v>2233</v>
      </c>
      <c r="L2023" t="s">
        <v>3342</v>
      </c>
      <c r="N2023" t="s">
        <v>3418</v>
      </c>
      <c r="O2023" t="s">
        <v>3419</v>
      </c>
      <c r="P2023">
        <v>41179282</v>
      </c>
    </row>
    <row r="2024" spans="1:16">
      <c r="A2024" t="s">
        <v>95</v>
      </c>
      <c r="B2024">
        <v>2</v>
      </c>
      <c r="E2024" t="s">
        <v>3411</v>
      </c>
      <c r="F2024" t="s">
        <v>3412</v>
      </c>
      <c r="G2024" t="s">
        <v>3413</v>
      </c>
      <c r="I2024" t="s">
        <v>3338</v>
      </c>
      <c r="J2024" t="s">
        <v>2232</v>
      </c>
      <c r="K2024" t="s">
        <v>2233</v>
      </c>
      <c r="L2024" t="s">
        <v>3342</v>
      </c>
      <c r="N2024" t="s">
        <v>3420</v>
      </c>
      <c r="O2024" t="s">
        <v>3421</v>
      </c>
      <c r="P2024">
        <v>41179282</v>
      </c>
    </row>
    <row r="2025" spans="1:16">
      <c r="A2025" t="s">
        <v>95</v>
      </c>
      <c r="B2025">
        <v>2</v>
      </c>
      <c r="E2025" t="s">
        <v>3411</v>
      </c>
      <c r="F2025" t="s">
        <v>3412</v>
      </c>
      <c r="G2025" t="s">
        <v>3413</v>
      </c>
      <c r="I2025" t="s">
        <v>3338</v>
      </c>
      <c r="J2025" t="s">
        <v>2232</v>
      </c>
      <c r="K2025" t="s">
        <v>2233</v>
      </c>
      <c r="L2025" t="s">
        <v>3342</v>
      </c>
      <c r="N2025" t="s">
        <v>3422</v>
      </c>
      <c r="O2025" t="s">
        <v>3423</v>
      </c>
      <c r="P2025">
        <v>41179282</v>
      </c>
    </row>
    <row r="2026" spans="1:16">
      <c r="A2026" t="s">
        <v>95</v>
      </c>
      <c r="B2026">
        <v>0</v>
      </c>
      <c r="G2026" t="s">
        <v>3338</v>
      </c>
      <c r="I2026" t="s">
        <v>3338</v>
      </c>
      <c r="N2026" t="s">
        <v>3424</v>
      </c>
      <c r="O2026" t="s">
        <v>3425</v>
      </c>
      <c r="P2026">
        <v>41179282</v>
      </c>
    </row>
    <row r="2027" spans="1:16">
      <c r="A2027" t="s">
        <v>95</v>
      </c>
      <c r="B2027">
        <v>1</v>
      </c>
      <c r="E2027" t="s">
        <v>3424</v>
      </c>
      <c r="F2027" t="s">
        <v>3425</v>
      </c>
      <c r="G2027" t="s">
        <v>3426</v>
      </c>
      <c r="I2027" t="s">
        <v>3338</v>
      </c>
      <c r="J2027" t="s">
        <v>2421</v>
      </c>
      <c r="K2027" t="s">
        <v>3354</v>
      </c>
      <c r="L2027" t="s">
        <v>3369</v>
      </c>
      <c r="N2027" t="s">
        <v>3427</v>
      </c>
      <c r="O2027" t="s">
        <v>3428</v>
      </c>
      <c r="P2027">
        <v>41179282</v>
      </c>
    </row>
    <row r="2028" spans="1:16">
      <c r="A2028" t="s">
        <v>95</v>
      </c>
      <c r="B2028">
        <v>1</v>
      </c>
      <c r="E2028" t="s">
        <v>3424</v>
      </c>
      <c r="F2028" t="s">
        <v>3425</v>
      </c>
      <c r="G2028" t="s">
        <v>3426</v>
      </c>
      <c r="I2028" t="s">
        <v>3338</v>
      </c>
      <c r="J2028" t="s">
        <v>2421</v>
      </c>
      <c r="K2028" t="s">
        <v>3354</v>
      </c>
      <c r="L2028" t="s">
        <v>3369</v>
      </c>
      <c r="N2028" t="s">
        <v>3429</v>
      </c>
      <c r="O2028" t="s">
        <v>3430</v>
      </c>
      <c r="P2028">
        <v>41179282</v>
      </c>
    </row>
    <row r="2029" spans="1:16">
      <c r="A2029" t="s">
        <v>95</v>
      </c>
      <c r="B2029">
        <v>1</v>
      </c>
      <c r="E2029" t="s">
        <v>3424</v>
      </c>
      <c r="F2029" t="s">
        <v>3425</v>
      </c>
      <c r="G2029" t="s">
        <v>3426</v>
      </c>
      <c r="I2029" t="s">
        <v>3338</v>
      </c>
      <c r="J2029" t="s">
        <v>2232</v>
      </c>
      <c r="K2029" t="s">
        <v>2233</v>
      </c>
      <c r="L2029" t="s">
        <v>3342</v>
      </c>
      <c r="N2029" t="s">
        <v>3431</v>
      </c>
      <c r="O2029" t="s">
        <v>3432</v>
      </c>
      <c r="P2029">
        <v>41179282</v>
      </c>
    </row>
    <row r="2030" spans="1:16">
      <c r="A2030" t="s">
        <v>95</v>
      </c>
      <c r="B2030">
        <v>0</v>
      </c>
      <c r="G2030" t="s">
        <v>3338</v>
      </c>
      <c r="I2030" t="s">
        <v>3338</v>
      </c>
      <c r="N2030" t="s">
        <v>3433</v>
      </c>
      <c r="O2030" t="s">
        <v>3434</v>
      </c>
      <c r="P2030">
        <v>41179282</v>
      </c>
    </row>
    <row r="2031" spans="1:16">
      <c r="A2031" t="s">
        <v>95</v>
      </c>
      <c r="B2031">
        <v>1</v>
      </c>
      <c r="E2031" t="s">
        <v>3433</v>
      </c>
      <c r="F2031" t="s">
        <v>3434</v>
      </c>
      <c r="G2031" t="s">
        <v>3435</v>
      </c>
      <c r="I2031" t="s">
        <v>3338</v>
      </c>
      <c r="J2031" t="s">
        <v>2232</v>
      </c>
      <c r="K2031" t="s">
        <v>2233</v>
      </c>
      <c r="L2031" t="s">
        <v>3342</v>
      </c>
      <c r="N2031" t="s">
        <v>3436</v>
      </c>
      <c r="O2031" t="s">
        <v>3437</v>
      </c>
      <c r="P2031">
        <v>41179282</v>
      </c>
    </row>
    <row r="2032" spans="1:16">
      <c r="A2032" t="s">
        <v>95</v>
      </c>
      <c r="B2032">
        <v>1</v>
      </c>
      <c r="E2032" t="s">
        <v>3433</v>
      </c>
      <c r="F2032" t="s">
        <v>3434</v>
      </c>
      <c r="G2032" t="s">
        <v>3435</v>
      </c>
      <c r="I2032" t="s">
        <v>3338</v>
      </c>
      <c r="J2032" t="s">
        <v>2232</v>
      </c>
      <c r="K2032" t="s">
        <v>2233</v>
      </c>
      <c r="L2032" t="s">
        <v>3342</v>
      </c>
      <c r="N2032" t="s">
        <v>3438</v>
      </c>
      <c r="O2032" t="s">
        <v>3439</v>
      </c>
      <c r="P2032">
        <v>41179282</v>
      </c>
    </row>
    <row r="2033" spans="1:16">
      <c r="A2033" t="s">
        <v>95</v>
      </c>
      <c r="B2033">
        <v>1</v>
      </c>
      <c r="E2033" t="s">
        <v>3433</v>
      </c>
      <c r="F2033" t="s">
        <v>3434</v>
      </c>
      <c r="G2033" t="s">
        <v>3435</v>
      </c>
      <c r="I2033" t="s">
        <v>3338</v>
      </c>
      <c r="J2033" t="s">
        <v>2232</v>
      </c>
      <c r="K2033" t="s">
        <v>2233</v>
      </c>
      <c r="L2033" t="s">
        <v>3342</v>
      </c>
      <c r="N2033" t="s">
        <v>3440</v>
      </c>
      <c r="O2033" t="s">
        <v>3441</v>
      </c>
      <c r="P2033">
        <v>41179282</v>
      </c>
    </row>
    <row r="2034" spans="1:16">
      <c r="A2034" t="s">
        <v>95</v>
      </c>
      <c r="B2034">
        <v>1</v>
      </c>
      <c r="E2034" t="s">
        <v>3433</v>
      </c>
      <c r="F2034" t="s">
        <v>3434</v>
      </c>
      <c r="G2034" t="s">
        <v>3435</v>
      </c>
      <c r="I2034" t="s">
        <v>3338</v>
      </c>
      <c r="J2034" t="s">
        <v>2232</v>
      </c>
      <c r="K2034" t="s">
        <v>2233</v>
      </c>
      <c r="L2034" t="s">
        <v>3342</v>
      </c>
      <c r="N2034" t="s">
        <v>3442</v>
      </c>
      <c r="O2034" t="s">
        <v>3443</v>
      </c>
      <c r="P2034">
        <v>41179282</v>
      </c>
    </row>
    <row r="2035" spans="1:16">
      <c r="A2035" t="s">
        <v>95</v>
      </c>
      <c r="B2035">
        <v>1</v>
      </c>
      <c r="E2035" t="s">
        <v>3433</v>
      </c>
      <c r="F2035" t="s">
        <v>3434</v>
      </c>
      <c r="G2035" t="s">
        <v>3435</v>
      </c>
      <c r="I2035" t="s">
        <v>3338</v>
      </c>
      <c r="J2035" t="s">
        <v>2232</v>
      </c>
      <c r="K2035" t="s">
        <v>2233</v>
      </c>
      <c r="L2035" t="s">
        <v>3342</v>
      </c>
      <c r="N2035" t="s">
        <v>3444</v>
      </c>
      <c r="O2035" t="s">
        <v>3445</v>
      </c>
      <c r="P2035">
        <v>41179282</v>
      </c>
    </row>
    <row r="2036" spans="1:16">
      <c r="A2036" t="s">
        <v>95</v>
      </c>
      <c r="B2036">
        <v>1</v>
      </c>
      <c r="E2036" t="s">
        <v>3433</v>
      </c>
      <c r="F2036" t="s">
        <v>3434</v>
      </c>
      <c r="G2036" t="s">
        <v>3435</v>
      </c>
      <c r="I2036" t="s">
        <v>3338</v>
      </c>
      <c r="J2036" t="s">
        <v>2232</v>
      </c>
      <c r="K2036" t="s">
        <v>2233</v>
      </c>
      <c r="L2036" t="s">
        <v>3342</v>
      </c>
      <c r="N2036" t="s">
        <v>3446</v>
      </c>
      <c r="O2036" t="s">
        <v>3447</v>
      </c>
      <c r="P2036">
        <v>41179282</v>
      </c>
    </row>
    <row r="2037" spans="1:16">
      <c r="A2037" t="s">
        <v>95</v>
      </c>
      <c r="B2037">
        <v>0</v>
      </c>
      <c r="G2037" t="s">
        <v>3338</v>
      </c>
      <c r="I2037" t="s">
        <v>3338</v>
      </c>
      <c r="N2037" t="s">
        <v>3448</v>
      </c>
      <c r="O2037" t="s">
        <v>3449</v>
      </c>
      <c r="P2037">
        <v>41179282</v>
      </c>
    </row>
    <row r="2038" spans="1:16">
      <c r="A2038" t="s">
        <v>95</v>
      </c>
      <c r="B2038">
        <v>1</v>
      </c>
      <c r="E2038" t="s">
        <v>3448</v>
      </c>
      <c r="F2038" t="s">
        <v>3449</v>
      </c>
      <c r="G2038" t="s">
        <v>3450</v>
      </c>
      <c r="I2038" t="s">
        <v>3338</v>
      </c>
      <c r="J2038" t="s">
        <v>2421</v>
      </c>
      <c r="K2038" t="s">
        <v>3354</v>
      </c>
      <c r="L2038" t="s">
        <v>3451</v>
      </c>
      <c r="N2038" t="s">
        <v>3452</v>
      </c>
      <c r="O2038" t="s">
        <v>3453</v>
      </c>
      <c r="P2038">
        <v>41179282</v>
      </c>
    </row>
    <row r="2039" spans="1:16">
      <c r="A2039" t="s">
        <v>95</v>
      </c>
      <c r="B2039">
        <v>0</v>
      </c>
      <c r="G2039" t="s">
        <v>3456</v>
      </c>
      <c r="I2039" t="s">
        <v>3456</v>
      </c>
      <c r="M2039" t="s">
        <v>3460</v>
      </c>
      <c r="N2039" t="s">
        <v>3489</v>
      </c>
      <c r="O2039" t="s">
        <v>3490</v>
      </c>
      <c r="P2039">
        <v>41179282</v>
      </c>
    </row>
    <row r="2040" spans="1:16">
      <c r="A2040" t="s">
        <v>95</v>
      </c>
      <c r="B2040">
        <v>0</v>
      </c>
      <c r="G2040" t="s">
        <v>3456</v>
      </c>
      <c r="I2040" t="s">
        <v>3456</v>
      </c>
      <c r="M2040" t="s">
        <v>3463</v>
      </c>
      <c r="N2040" t="s">
        <v>3491</v>
      </c>
      <c r="O2040" t="s">
        <v>3492</v>
      </c>
      <c r="P2040">
        <v>41179282</v>
      </c>
    </row>
    <row r="2041" spans="1:16">
      <c r="A2041" t="s">
        <v>97</v>
      </c>
      <c r="B2041">
        <v>0</v>
      </c>
      <c r="G2041" t="s">
        <v>3338</v>
      </c>
      <c r="I2041" t="s">
        <v>3338</v>
      </c>
      <c r="N2041" t="s">
        <v>3339</v>
      </c>
      <c r="O2041" t="s">
        <v>3340</v>
      </c>
      <c r="P2041">
        <v>41161416</v>
      </c>
    </row>
    <row r="2042" spans="1:16">
      <c r="A2042" t="s">
        <v>97</v>
      </c>
      <c r="B2042">
        <v>1</v>
      </c>
      <c r="E2042" t="s">
        <v>3339</v>
      </c>
      <c r="F2042" t="s">
        <v>3340</v>
      </c>
      <c r="G2042" t="s">
        <v>3341</v>
      </c>
      <c r="I2042" t="s">
        <v>3338</v>
      </c>
      <c r="J2042" t="s">
        <v>2232</v>
      </c>
      <c r="K2042" t="s">
        <v>2233</v>
      </c>
      <c r="L2042" t="s">
        <v>3342</v>
      </c>
      <c r="N2042" t="s">
        <v>3343</v>
      </c>
      <c r="O2042" t="s">
        <v>3344</v>
      </c>
      <c r="P2042">
        <v>41161416</v>
      </c>
    </row>
    <row r="2043" spans="1:16">
      <c r="A2043" t="s">
        <v>97</v>
      </c>
      <c r="B2043">
        <v>1</v>
      </c>
      <c r="E2043" t="s">
        <v>3339</v>
      </c>
      <c r="F2043" t="s">
        <v>3340</v>
      </c>
      <c r="G2043" t="s">
        <v>3341</v>
      </c>
      <c r="I2043" t="s">
        <v>3338</v>
      </c>
      <c r="J2043" t="s">
        <v>2232</v>
      </c>
      <c r="K2043" t="s">
        <v>2233</v>
      </c>
      <c r="L2043" t="s">
        <v>3342</v>
      </c>
      <c r="N2043" t="s">
        <v>3345</v>
      </c>
      <c r="O2043" t="s">
        <v>3346</v>
      </c>
      <c r="P2043">
        <v>41161416</v>
      </c>
    </row>
    <row r="2044" spans="1:16">
      <c r="A2044" t="s">
        <v>97</v>
      </c>
      <c r="B2044">
        <v>0</v>
      </c>
      <c r="G2044" t="s">
        <v>3338</v>
      </c>
      <c r="I2044" t="s">
        <v>3338</v>
      </c>
      <c r="N2044" t="s">
        <v>3347</v>
      </c>
      <c r="O2044" t="s">
        <v>3344</v>
      </c>
      <c r="P2044">
        <v>41161416</v>
      </c>
    </row>
    <row r="2045" spans="1:16">
      <c r="A2045" t="s">
        <v>97</v>
      </c>
      <c r="B2045">
        <v>1</v>
      </c>
      <c r="E2045" t="s">
        <v>3347</v>
      </c>
      <c r="F2045" t="s">
        <v>3344</v>
      </c>
      <c r="G2045" t="s">
        <v>3348</v>
      </c>
      <c r="I2045" t="s">
        <v>3338</v>
      </c>
      <c r="J2045" t="s">
        <v>2232</v>
      </c>
      <c r="K2045" t="s">
        <v>2233</v>
      </c>
      <c r="L2045" t="s">
        <v>3342</v>
      </c>
      <c r="N2045" t="s">
        <v>3349</v>
      </c>
      <c r="O2045" t="s">
        <v>3350</v>
      </c>
      <c r="P2045">
        <v>41161416</v>
      </c>
    </row>
    <row r="2046" spans="1:16">
      <c r="A2046" t="s">
        <v>97</v>
      </c>
      <c r="B2046">
        <v>1</v>
      </c>
      <c r="E2046" t="s">
        <v>3347</v>
      </c>
      <c r="F2046" t="s">
        <v>3344</v>
      </c>
      <c r="G2046" t="s">
        <v>3348</v>
      </c>
      <c r="I2046" t="s">
        <v>3338</v>
      </c>
      <c r="L2046" t="s">
        <v>193</v>
      </c>
      <c r="N2046" t="s">
        <v>3351</v>
      </c>
      <c r="O2046" t="s">
        <v>3352</v>
      </c>
      <c r="P2046">
        <v>41161416</v>
      </c>
    </row>
    <row r="2047" spans="1:16">
      <c r="A2047" t="s">
        <v>97</v>
      </c>
      <c r="B2047">
        <v>2</v>
      </c>
      <c r="E2047" t="s">
        <v>3351</v>
      </c>
      <c r="F2047" t="s">
        <v>3352</v>
      </c>
      <c r="G2047" t="s">
        <v>3353</v>
      </c>
      <c r="I2047" t="s">
        <v>3338</v>
      </c>
      <c r="J2047" t="s">
        <v>2421</v>
      </c>
      <c r="K2047" t="s">
        <v>3354</v>
      </c>
      <c r="L2047" t="s">
        <v>3355</v>
      </c>
      <c r="N2047" t="s">
        <v>3356</v>
      </c>
      <c r="O2047" t="s">
        <v>3357</v>
      </c>
      <c r="P2047">
        <v>41161416</v>
      </c>
    </row>
    <row r="2048" spans="1:16">
      <c r="A2048" t="s">
        <v>97</v>
      </c>
      <c r="B2048">
        <v>2</v>
      </c>
      <c r="E2048" t="s">
        <v>3351</v>
      </c>
      <c r="F2048" t="s">
        <v>3352</v>
      </c>
      <c r="G2048" t="s">
        <v>3353</v>
      </c>
      <c r="I2048" t="s">
        <v>3338</v>
      </c>
      <c r="J2048" t="s">
        <v>2421</v>
      </c>
      <c r="K2048" t="s">
        <v>3354</v>
      </c>
      <c r="L2048" t="s">
        <v>3355</v>
      </c>
      <c r="N2048" t="s">
        <v>3358</v>
      </c>
      <c r="O2048" t="s">
        <v>3359</v>
      </c>
      <c r="P2048">
        <v>41161416</v>
      </c>
    </row>
    <row r="2049" spans="1:16">
      <c r="A2049" t="s">
        <v>97</v>
      </c>
      <c r="B2049">
        <v>2</v>
      </c>
      <c r="E2049" t="s">
        <v>3351</v>
      </c>
      <c r="F2049" t="s">
        <v>3352</v>
      </c>
      <c r="G2049" t="s">
        <v>3353</v>
      </c>
      <c r="I2049" t="s">
        <v>3338</v>
      </c>
      <c r="J2049" t="s">
        <v>2421</v>
      </c>
      <c r="K2049" t="s">
        <v>3354</v>
      </c>
      <c r="L2049" t="s">
        <v>3355</v>
      </c>
      <c r="N2049" t="s">
        <v>3360</v>
      </c>
      <c r="O2049" t="s">
        <v>3361</v>
      </c>
      <c r="P2049">
        <v>41161416</v>
      </c>
    </row>
    <row r="2050" spans="1:16">
      <c r="A2050" t="s">
        <v>97</v>
      </c>
      <c r="B2050">
        <v>1</v>
      </c>
      <c r="E2050" t="s">
        <v>3347</v>
      </c>
      <c r="F2050" t="s">
        <v>3344</v>
      </c>
      <c r="G2050" t="s">
        <v>3348</v>
      </c>
      <c r="I2050" t="s">
        <v>3338</v>
      </c>
      <c r="J2050" t="s">
        <v>2236</v>
      </c>
      <c r="K2050" t="s">
        <v>3362</v>
      </c>
      <c r="L2050" t="s">
        <v>3363</v>
      </c>
      <c r="N2050" t="s">
        <v>3364</v>
      </c>
      <c r="O2050" t="s">
        <v>3365</v>
      </c>
      <c r="P2050">
        <v>41161416</v>
      </c>
    </row>
    <row r="2051" spans="1:16">
      <c r="A2051" t="s">
        <v>97</v>
      </c>
      <c r="B2051">
        <v>1</v>
      </c>
      <c r="E2051" t="s">
        <v>3347</v>
      </c>
      <c r="F2051" t="s">
        <v>3344</v>
      </c>
      <c r="G2051" t="s">
        <v>3348</v>
      </c>
      <c r="I2051" t="s">
        <v>3338</v>
      </c>
      <c r="L2051" t="s">
        <v>193</v>
      </c>
      <c r="N2051" t="s">
        <v>3366</v>
      </c>
      <c r="O2051" t="s">
        <v>3367</v>
      </c>
      <c r="P2051">
        <v>41161416</v>
      </c>
    </row>
    <row r="2052" spans="1:16">
      <c r="A2052" t="s">
        <v>97</v>
      </c>
      <c r="B2052">
        <v>2</v>
      </c>
      <c r="E2052" t="s">
        <v>3366</v>
      </c>
      <c r="F2052" t="s">
        <v>3367</v>
      </c>
      <c r="G2052" t="s">
        <v>3368</v>
      </c>
      <c r="I2052" t="s">
        <v>3338</v>
      </c>
      <c r="J2052" t="s">
        <v>2421</v>
      </c>
      <c r="K2052" t="s">
        <v>3354</v>
      </c>
      <c r="L2052" t="s">
        <v>3369</v>
      </c>
      <c r="N2052" t="s">
        <v>3370</v>
      </c>
      <c r="O2052" t="s">
        <v>3359</v>
      </c>
      <c r="P2052">
        <v>41161416</v>
      </c>
    </row>
    <row r="2053" spans="1:16">
      <c r="A2053" t="s">
        <v>97</v>
      </c>
      <c r="B2053">
        <v>2</v>
      </c>
      <c r="E2053" t="s">
        <v>3366</v>
      </c>
      <c r="F2053" t="s">
        <v>3367</v>
      </c>
      <c r="G2053" t="s">
        <v>3368</v>
      </c>
      <c r="I2053" t="s">
        <v>3338</v>
      </c>
      <c r="J2053" t="s">
        <v>2421</v>
      </c>
      <c r="K2053" t="s">
        <v>3354</v>
      </c>
      <c r="L2053" t="s">
        <v>3369</v>
      </c>
      <c r="N2053" t="s">
        <v>3371</v>
      </c>
      <c r="O2053" t="s">
        <v>3372</v>
      </c>
      <c r="P2053">
        <v>41161416</v>
      </c>
    </row>
    <row r="2054" spans="1:16">
      <c r="A2054" t="s">
        <v>97</v>
      </c>
      <c r="B2054">
        <v>2</v>
      </c>
      <c r="E2054" t="s">
        <v>3366</v>
      </c>
      <c r="F2054" t="s">
        <v>3367</v>
      </c>
      <c r="G2054" t="s">
        <v>3368</v>
      </c>
      <c r="I2054" t="s">
        <v>3338</v>
      </c>
      <c r="J2054" t="s">
        <v>2421</v>
      </c>
      <c r="K2054" t="s">
        <v>3354</v>
      </c>
      <c r="L2054" t="s">
        <v>3369</v>
      </c>
      <c r="N2054" t="s">
        <v>3373</v>
      </c>
      <c r="O2054" t="s">
        <v>3374</v>
      </c>
      <c r="P2054">
        <v>41161416</v>
      </c>
    </row>
    <row r="2055" spans="1:16">
      <c r="A2055" t="s">
        <v>97</v>
      </c>
      <c r="B2055">
        <v>2</v>
      </c>
      <c r="E2055" t="s">
        <v>3366</v>
      </c>
      <c r="F2055" t="s">
        <v>3367</v>
      </c>
      <c r="G2055" t="s">
        <v>3368</v>
      </c>
      <c r="I2055" t="s">
        <v>3338</v>
      </c>
      <c r="J2055" t="s">
        <v>2236</v>
      </c>
      <c r="K2055" t="s">
        <v>3362</v>
      </c>
      <c r="L2055" t="s">
        <v>3363</v>
      </c>
      <c r="N2055" t="s">
        <v>3375</v>
      </c>
      <c r="O2055" t="s">
        <v>3376</v>
      </c>
      <c r="P2055">
        <v>41161416</v>
      </c>
    </row>
    <row r="2056" spans="1:16">
      <c r="A2056" t="s">
        <v>97</v>
      </c>
      <c r="B2056">
        <v>0</v>
      </c>
      <c r="G2056" t="s">
        <v>3338</v>
      </c>
      <c r="I2056" t="s">
        <v>3338</v>
      </c>
      <c r="N2056" t="s">
        <v>3377</v>
      </c>
      <c r="O2056" t="s">
        <v>3346</v>
      </c>
      <c r="P2056">
        <v>41161416</v>
      </c>
    </row>
    <row r="2057" spans="1:16">
      <c r="A2057" t="s">
        <v>97</v>
      </c>
      <c r="B2057">
        <v>1</v>
      </c>
      <c r="E2057" t="s">
        <v>3377</v>
      </c>
      <c r="F2057" t="s">
        <v>3346</v>
      </c>
      <c r="G2057" t="s">
        <v>3378</v>
      </c>
      <c r="I2057" t="s">
        <v>3338</v>
      </c>
      <c r="L2057" t="s">
        <v>193</v>
      </c>
      <c r="N2057" t="s">
        <v>3379</v>
      </c>
      <c r="O2057" t="s">
        <v>3380</v>
      </c>
      <c r="P2057">
        <v>41161416</v>
      </c>
    </row>
    <row r="2058" spans="1:16">
      <c r="A2058" t="s">
        <v>97</v>
      </c>
      <c r="B2058">
        <v>2</v>
      </c>
      <c r="E2058" t="s">
        <v>3379</v>
      </c>
      <c r="F2058" t="s">
        <v>3380</v>
      </c>
      <c r="G2058" t="s">
        <v>3381</v>
      </c>
      <c r="I2058" t="s">
        <v>3338</v>
      </c>
      <c r="J2058" t="s">
        <v>2421</v>
      </c>
      <c r="K2058" t="s">
        <v>3354</v>
      </c>
      <c r="L2058" t="s">
        <v>3369</v>
      </c>
      <c r="N2058" t="s">
        <v>3382</v>
      </c>
      <c r="O2058" t="s">
        <v>3352</v>
      </c>
      <c r="P2058">
        <v>41161416</v>
      </c>
    </row>
    <row r="2059" spans="1:16">
      <c r="A2059" t="s">
        <v>97</v>
      </c>
      <c r="B2059">
        <v>2</v>
      </c>
      <c r="E2059" t="s">
        <v>3379</v>
      </c>
      <c r="F2059" t="s">
        <v>3380</v>
      </c>
      <c r="G2059" t="s">
        <v>3381</v>
      </c>
      <c r="I2059" t="s">
        <v>3338</v>
      </c>
      <c r="L2059" t="s">
        <v>3383</v>
      </c>
      <c r="N2059" t="s">
        <v>3384</v>
      </c>
      <c r="O2059" t="s">
        <v>3385</v>
      </c>
      <c r="P2059">
        <v>41161416</v>
      </c>
    </row>
    <row r="2060" spans="1:16">
      <c r="A2060" t="s">
        <v>97</v>
      </c>
      <c r="B2060">
        <v>2</v>
      </c>
      <c r="E2060" t="s">
        <v>3379</v>
      </c>
      <c r="F2060" t="s">
        <v>3380</v>
      </c>
      <c r="G2060" t="s">
        <v>3381</v>
      </c>
      <c r="I2060" t="s">
        <v>3338</v>
      </c>
      <c r="J2060" t="s">
        <v>2232</v>
      </c>
      <c r="K2060" t="s">
        <v>2233</v>
      </c>
      <c r="L2060" t="s">
        <v>3342</v>
      </c>
      <c r="N2060" t="s">
        <v>3386</v>
      </c>
      <c r="O2060" t="s">
        <v>3350</v>
      </c>
      <c r="P2060">
        <v>41161416</v>
      </c>
    </row>
    <row r="2061" spans="1:16">
      <c r="A2061" t="s">
        <v>97</v>
      </c>
      <c r="B2061">
        <v>1</v>
      </c>
      <c r="E2061" t="s">
        <v>3377</v>
      </c>
      <c r="F2061" t="s">
        <v>3346</v>
      </c>
      <c r="G2061" t="s">
        <v>3378</v>
      </c>
      <c r="I2061" t="s">
        <v>3338</v>
      </c>
      <c r="L2061" t="s">
        <v>193</v>
      </c>
      <c r="N2061" t="s">
        <v>3387</v>
      </c>
      <c r="O2061" t="s">
        <v>3388</v>
      </c>
      <c r="P2061">
        <v>41161416</v>
      </c>
    </row>
    <row r="2062" spans="1:16">
      <c r="A2062" t="s">
        <v>97</v>
      </c>
      <c r="B2062">
        <v>2</v>
      </c>
      <c r="E2062" t="s">
        <v>3387</v>
      </c>
      <c r="F2062" t="s">
        <v>3388</v>
      </c>
      <c r="G2062" t="s">
        <v>3389</v>
      </c>
      <c r="I2062" t="s">
        <v>3338</v>
      </c>
      <c r="L2062" t="s">
        <v>3369</v>
      </c>
      <c r="N2062" t="s">
        <v>3390</v>
      </c>
      <c r="O2062" t="s">
        <v>3352</v>
      </c>
      <c r="P2062">
        <v>41161416</v>
      </c>
    </row>
    <row r="2063" spans="1:16">
      <c r="A2063" t="s">
        <v>97</v>
      </c>
      <c r="B2063">
        <v>2</v>
      </c>
      <c r="E2063" t="s">
        <v>3387</v>
      </c>
      <c r="F2063" t="s">
        <v>3388</v>
      </c>
      <c r="G2063" t="s">
        <v>3389</v>
      </c>
      <c r="I2063" t="s">
        <v>3338</v>
      </c>
      <c r="L2063" t="s">
        <v>3342</v>
      </c>
      <c r="N2063" t="s">
        <v>3391</v>
      </c>
      <c r="O2063" t="s">
        <v>3392</v>
      </c>
      <c r="P2063">
        <v>41161416</v>
      </c>
    </row>
    <row r="2064" spans="1:16">
      <c r="A2064" t="s">
        <v>97</v>
      </c>
      <c r="B2064">
        <v>2</v>
      </c>
      <c r="E2064" t="s">
        <v>3387</v>
      </c>
      <c r="F2064" t="s">
        <v>3388</v>
      </c>
      <c r="G2064" t="s">
        <v>3389</v>
      </c>
      <c r="I2064" t="s">
        <v>3338</v>
      </c>
      <c r="L2064" t="s">
        <v>3383</v>
      </c>
      <c r="N2064" t="s">
        <v>3393</v>
      </c>
      <c r="O2064" t="s">
        <v>3385</v>
      </c>
      <c r="P2064">
        <v>41161416</v>
      </c>
    </row>
    <row r="2065" spans="1:16">
      <c r="A2065" t="s">
        <v>97</v>
      </c>
      <c r="B2065">
        <v>2</v>
      </c>
      <c r="E2065" t="s">
        <v>3387</v>
      </c>
      <c r="F2065" t="s">
        <v>3388</v>
      </c>
      <c r="G2065" t="s">
        <v>3389</v>
      </c>
      <c r="I2065" t="s">
        <v>3338</v>
      </c>
      <c r="L2065" t="s">
        <v>3342</v>
      </c>
      <c r="N2065" t="s">
        <v>3394</v>
      </c>
      <c r="O2065" t="s">
        <v>3350</v>
      </c>
      <c r="P2065">
        <v>41161416</v>
      </c>
    </row>
    <row r="2066" spans="1:16">
      <c r="A2066" t="s">
        <v>97</v>
      </c>
      <c r="B2066">
        <v>0</v>
      </c>
      <c r="G2066" t="s">
        <v>3338</v>
      </c>
      <c r="I2066" t="s">
        <v>3338</v>
      </c>
      <c r="N2066" t="s">
        <v>3395</v>
      </c>
      <c r="O2066" t="s">
        <v>3396</v>
      </c>
      <c r="P2066">
        <v>41161416</v>
      </c>
    </row>
    <row r="2067" spans="1:16">
      <c r="A2067" t="s">
        <v>97</v>
      </c>
      <c r="B2067">
        <v>1</v>
      </c>
      <c r="E2067" t="s">
        <v>3395</v>
      </c>
      <c r="F2067" t="s">
        <v>3396</v>
      </c>
      <c r="G2067" t="s">
        <v>3397</v>
      </c>
      <c r="I2067" t="s">
        <v>3338</v>
      </c>
      <c r="L2067" t="s">
        <v>3342</v>
      </c>
      <c r="N2067" t="s">
        <v>3398</v>
      </c>
      <c r="O2067" t="s">
        <v>3399</v>
      </c>
      <c r="P2067">
        <v>41161416</v>
      </c>
    </row>
    <row r="2068" spans="1:16">
      <c r="A2068" t="s">
        <v>97</v>
      </c>
      <c r="B2068">
        <v>1</v>
      </c>
      <c r="E2068" t="s">
        <v>3395</v>
      </c>
      <c r="F2068" t="s">
        <v>3396</v>
      </c>
      <c r="G2068" t="s">
        <v>3397</v>
      </c>
      <c r="I2068" t="s">
        <v>3338</v>
      </c>
      <c r="J2068" t="s">
        <v>2232</v>
      </c>
      <c r="K2068" t="s">
        <v>2233</v>
      </c>
      <c r="L2068" t="s">
        <v>3342</v>
      </c>
      <c r="N2068" t="s">
        <v>3400</v>
      </c>
      <c r="O2068" t="s">
        <v>3401</v>
      </c>
      <c r="P2068">
        <v>41161416</v>
      </c>
    </row>
    <row r="2069" spans="1:16">
      <c r="A2069" t="s">
        <v>97</v>
      </c>
      <c r="B2069">
        <v>1</v>
      </c>
      <c r="E2069" t="s">
        <v>3395</v>
      </c>
      <c r="F2069" t="s">
        <v>3396</v>
      </c>
      <c r="G2069" t="s">
        <v>3397</v>
      </c>
      <c r="I2069" t="s">
        <v>3338</v>
      </c>
      <c r="L2069" t="s">
        <v>3342</v>
      </c>
      <c r="N2069" t="s">
        <v>3402</v>
      </c>
      <c r="O2069" t="s">
        <v>3403</v>
      </c>
      <c r="P2069">
        <v>41161416</v>
      </c>
    </row>
    <row r="2070" spans="1:16">
      <c r="A2070" t="s">
        <v>97</v>
      </c>
      <c r="B2070">
        <v>1</v>
      </c>
      <c r="E2070" t="s">
        <v>3395</v>
      </c>
      <c r="F2070" t="s">
        <v>3396</v>
      </c>
      <c r="G2070" t="s">
        <v>3397</v>
      </c>
      <c r="I2070" t="s">
        <v>3338</v>
      </c>
      <c r="L2070" t="s">
        <v>3342</v>
      </c>
      <c r="N2070" t="s">
        <v>3404</v>
      </c>
      <c r="O2070" t="s">
        <v>3405</v>
      </c>
      <c r="P2070">
        <v>41161416</v>
      </c>
    </row>
    <row r="2071" spans="1:16">
      <c r="A2071" t="s">
        <v>97</v>
      </c>
      <c r="B2071">
        <v>0</v>
      </c>
      <c r="G2071" t="s">
        <v>3338</v>
      </c>
      <c r="I2071" t="s">
        <v>3338</v>
      </c>
      <c r="N2071" t="s">
        <v>3406</v>
      </c>
      <c r="O2071" t="s">
        <v>3407</v>
      </c>
      <c r="P2071">
        <v>41161416</v>
      </c>
    </row>
    <row r="2072" spans="1:16">
      <c r="A2072" t="s">
        <v>97</v>
      </c>
      <c r="B2072">
        <v>1</v>
      </c>
      <c r="E2072" t="s">
        <v>3406</v>
      </c>
      <c r="F2072" t="s">
        <v>3407</v>
      </c>
      <c r="G2072" t="s">
        <v>3408</v>
      </c>
      <c r="I2072" t="s">
        <v>3338</v>
      </c>
      <c r="J2072" t="s">
        <v>2421</v>
      </c>
      <c r="K2072" t="s">
        <v>3354</v>
      </c>
      <c r="L2072" t="s">
        <v>3369</v>
      </c>
      <c r="N2072" t="s">
        <v>3409</v>
      </c>
      <c r="O2072" t="s">
        <v>3410</v>
      </c>
      <c r="P2072">
        <v>41161416</v>
      </c>
    </row>
    <row r="2073" spans="1:16">
      <c r="A2073" t="s">
        <v>97</v>
      </c>
      <c r="B2073">
        <v>1</v>
      </c>
      <c r="E2073" t="s">
        <v>3406</v>
      </c>
      <c r="F2073" t="s">
        <v>3407</v>
      </c>
      <c r="G2073" t="s">
        <v>3408</v>
      </c>
      <c r="I2073" t="s">
        <v>3338</v>
      </c>
      <c r="L2073" t="s">
        <v>193</v>
      </c>
      <c r="N2073" t="s">
        <v>3411</v>
      </c>
      <c r="O2073" t="s">
        <v>3412</v>
      </c>
      <c r="P2073">
        <v>41161416</v>
      </c>
    </row>
    <row r="2074" spans="1:16">
      <c r="A2074" t="s">
        <v>97</v>
      </c>
      <c r="B2074">
        <v>2</v>
      </c>
      <c r="E2074" t="s">
        <v>3411</v>
      </c>
      <c r="F2074" t="s">
        <v>3412</v>
      </c>
      <c r="G2074" t="s">
        <v>3413</v>
      </c>
      <c r="I2074" t="s">
        <v>3338</v>
      </c>
      <c r="L2074" t="s">
        <v>3342</v>
      </c>
      <c r="N2074" t="s">
        <v>3414</v>
      </c>
      <c r="O2074" t="s">
        <v>3415</v>
      </c>
      <c r="P2074">
        <v>41161416</v>
      </c>
    </row>
    <row r="2075" spans="1:16">
      <c r="A2075" t="s">
        <v>97</v>
      </c>
      <c r="B2075">
        <v>2</v>
      </c>
      <c r="E2075" t="s">
        <v>3411</v>
      </c>
      <c r="F2075" t="s">
        <v>3412</v>
      </c>
      <c r="G2075" t="s">
        <v>3413</v>
      </c>
      <c r="I2075" t="s">
        <v>3338</v>
      </c>
      <c r="J2075" t="s">
        <v>2232</v>
      </c>
      <c r="K2075" t="s">
        <v>2233</v>
      </c>
      <c r="L2075" t="s">
        <v>3342</v>
      </c>
      <c r="N2075" t="s">
        <v>3416</v>
      </c>
      <c r="O2075" t="s">
        <v>3417</v>
      </c>
      <c r="P2075">
        <v>41161416</v>
      </c>
    </row>
    <row r="2076" spans="1:16">
      <c r="A2076" t="s">
        <v>97</v>
      </c>
      <c r="B2076">
        <v>2</v>
      </c>
      <c r="E2076" t="s">
        <v>3411</v>
      </c>
      <c r="F2076" t="s">
        <v>3412</v>
      </c>
      <c r="G2076" t="s">
        <v>3413</v>
      </c>
      <c r="I2076" t="s">
        <v>3338</v>
      </c>
      <c r="J2076" t="s">
        <v>2232</v>
      </c>
      <c r="K2076" t="s">
        <v>2233</v>
      </c>
      <c r="L2076" t="s">
        <v>3342</v>
      </c>
      <c r="N2076" t="s">
        <v>3418</v>
      </c>
      <c r="O2076" t="s">
        <v>3419</v>
      </c>
      <c r="P2076">
        <v>41161416</v>
      </c>
    </row>
    <row r="2077" spans="1:16">
      <c r="A2077" t="s">
        <v>97</v>
      </c>
      <c r="B2077">
        <v>2</v>
      </c>
      <c r="E2077" t="s">
        <v>3411</v>
      </c>
      <c r="F2077" t="s">
        <v>3412</v>
      </c>
      <c r="G2077" t="s">
        <v>3413</v>
      </c>
      <c r="I2077" t="s">
        <v>3338</v>
      </c>
      <c r="L2077" t="s">
        <v>3342</v>
      </c>
      <c r="N2077" t="s">
        <v>3420</v>
      </c>
      <c r="O2077" t="s">
        <v>3421</v>
      </c>
      <c r="P2077">
        <v>41161416</v>
      </c>
    </row>
    <row r="2078" spans="1:16">
      <c r="A2078" t="s">
        <v>97</v>
      </c>
      <c r="B2078">
        <v>2</v>
      </c>
      <c r="E2078" t="s">
        <v>3411</v>
      </c>
      <c r="F2078" t="s">
        <v>3412</v>
      </c>
      <c r="G2078" t="s">
        <v>3413</v>
      </c>
      <c r="I2078" t="s">
        <v>3338</v>
      </c>
      <c r="J2078" t="s">
        <v>2232</v>
      </c>
      <c r="K2078" t="s">
        <v>2233</v>
      </c>
      <c r="L2078" t="s">
        <v>3342</v>
      </c>
      <c r="N2078" t="s">
        <v>3422</v>
      </c>
      <c r="O2078" t="s">
        <v>3423</v>
      </c>
      <c r="P2078">
        <v>41161416</v>
      </c>
    </row>
    <row r="2079" spans="1:16">
      <c r="A2079" t="s">
        <v>97</v>
      </c>
      <c r="B2079">
        <v>0</v>
      </c>
      <c r="G2079" t="s">
        <v>3338</v>
      </c>
      <c r="I2079" t="s">
        <v>3338</v>
      </c>
      <c r="N2079" t="s">
        <v>3424</v>
      </c>
      <c r="O2079" t="s">
        <v>3425</v>
      </c>
      <c r="P2079">
        <v>41161416</v>
      </c>
    </row>
    <row r="2080" spans="1:16">
      <c r="A2080" t="s">
        <v>97</v>
      </c>
      <c r="B2080">
        <v>1</v>
      </c>
      <c r="E2080" t="s">
        <v>3424</v>
      </c>
      <c r="F2080" t="s">
        <v>3425</v>
      </c>
      <c r="G2080" t="s">
        <v>3426</v>
      </c>
      <c r="I2080" t="s">
        <v>3338</v>
      </c>
      <c r="J2080" t="s">
        <v>2421</v>
      </c>
      <c r="K2080" t="s">
        <v>3354</v>
      </c>
      <c r="L2080" t="s">
        <v>3369</v>
      </c>
      <c r="N2080" t="s">
        <v>3427</v>
      </c>
      <c r="O2080" t="s">
        <v>3428</v>
      </c>
      <c r="P2080">
        <v>41161416</v>
      </c>
    </row>
    <row r="2081" spans="1:16">
      <c r="A2081" t="s">
        <v>97</v>
      </c>
      <c r="B2081">
        <v>1</v>
      </c>
      <c r="E2081" t="s">
        <v>3424</v>
      </c>
      <c r="F2081" t="s">
        <v>3425</v>
      </c>
      <c r="G2081" t="s">
        <v>3426</v>
      </c>
      <c r="I2081" t="s">
        <v>3338</v>
      </c>
      <c r="J2081" t="s">
        <v>2421</v>
      </c>
      <c r="K2081" t="s">
        <v>3354</v>
      </c>
      <c r="L2081" t="s">
        <v>3369</v>
      </c>
      <c r="N2081" t="s">
        <v>3429</v>
      </c>
      <c r="O2081" t="s">
        <v>3430</v>
      </c>
      <c r="P2081">
        <v>41161416</v>
      </c>
    </row>
    <row r="2082" spans="1:16">
      <c r="A2082" t="s">
        <v>97</v>
      </c>
      <c r="B2082">
        <v>1</v>
      </c>
      <c r="E2082" t="s">
        <v>3424</v>
      </c>
      <c r="F2082" t="s">
        <v>3425</v>
      </c>
      <c r="G2082" t="s">
        <v>3426</v>
      </c>
      <c r="I2082" t="s">
        <v>3338</v>
      </c>
      <c r="J2082" t="s">
        <v>2232</v>
      </c>
      <c r="K2082" t="s">
        <v>2233</v>
      </c>
      <c r="L2082" t="s">
        <v>3342</v>
      </c>
      <c r="N2082" t="s">
        <v>3431</v>
      </c>
      <c r="O2082" t="s">
        <v>3432</v>
      </c>
      <c r="P2082">
        <v>41161416</v>
      </c>
    </row>
    <row r="2083" spans="1:16">
      <c r="A2083" t="s">
        <v>97</v>
      </c>
      <c r="B2083">
        <v>0</v>
      </c>
      <c r="G2083" t="s">
        <v>3338</v>
      </c>
      <c r="I2083" t="s">
        <v>3338</v>
      </c>
      <c r="N2083" t="s">
        <v>3433</v>
      </c>
      <c r="O2083" t="s">
        <v>3434</v>
      </c>
      <c r="P2083">
        <v>41161416</v>
      </c>
    </row>
    <row r="2084" spans="1:16">
      <c r="A2084" t="s">
        <v>97</v>
      </c>
      <c r="B2084">
        <v>1</v>
      </c>
      <c r="E2084" t="s">
        <v>3433</v>
      </c>
      <c r="F2084" t="s">
        <v>3434</v>
      </c>
      <c r="G2084" t="s">
        <v>3435</v>
      </c>
      <c r="I2084" t="s">
        <v>3338</v>
      </c>
      <c r="J2084" t="s">
        <v>2232</v>
      </c>
      <c r="K2084" t="s">
        <v>2233</v>
      </c>
      <c r="L2084" t="s">
        <v>3342</v>
      </c>
      <c r="N2084" t="s">
        <v>3436</v>
      </c>
      <c r="O2084" t="s">
        <v>3437</v>
      </c>
      <c r="P2084">
        <v>41161416</v>
      </c>
    </row>
    <row r="2085" spans="1:16">
      <c r="A2085" t="s">
        <v>97</v>
      </c>
      <c r="B2085">
        <v>1</v>
      </c>
      <c r="E2085" t="s">
        <v>3433</v>
      </c>
      <c r="F2085" t="s">
        <v>3434</v>
      </c>
      <c r="G2085" t="s">
        <v>3435</v>
      </c>
      <c r="I2085" t="s">
        <v>3338</v>
      </c>
      <c r="J2085" t="s">
        <v>2232</v>
      </c>
      <c r="K2085" t="s">
        <v>2233</v>
      </c>
      <c r="L2085" t="s">
        <v>3342</v>
      </c>
      <c r="N2085" t="s">
        <v>3438</v>
      </c>
      <c r="O2085" t="s">
        <v>3439</v>
      </c>
      <c r="P2085">
        <v>41161416</v>
      </c>
    </row>
    <row r="2086" spans="1:16">
      <c r="A2086" t="s">
        <v>97</v>
      </c>
      <c r="B2086">
        <v>1</v>
      </c>
      <c r="E2086" t="s">
        <v>3433</v>
      </c>
      <c r="F2086" t="s">
        <v>3434</v>
      </c>
      <c r="G2086" t="s">
        <v>3435</v>
      </c>
      <c r="I2086" t="s">
        <v>3338</v>
      </c>
      <c r="J2086" t="s">
        <v>2232</v>
      </c>
      <c r="K2086" t="s">
        <v>2233</v>
      </c>
      <c r="L2086" t="s">
        <v>3342</v>
      </c>
      <c r="N2086" t="s">
        <v>3440</v>
      </c>
      <c r="O2086" t="s">
        <v>3441</v>
      </c>
      <c r="P2086">
        <v>41161416</v>
      </c>
    </row>
    <row r="2087" spans="1:16">
      <c r="A2087" t="s">
        <v>97</v>
      </c>
      <c r="B2087">
        <v>1</v>
      </c>
      <c r="E2087" t="s">
        <v>3433</v>
      </c>
      <c r="F2087" t="s">
        <v>3434</v>
      </c>
      <c r="G2087" t="s">
        <v>3435</v>
      </c>
      <c r="I2087" t="s">
        <v>3338</v>
      </c>
      <c r="J2087" t="s">
        <v>2232</v>
      </c>
      <c r="K2087" t="s">
        <v>2233</v>
      </c>
      <c r="L2087" t="s">
        <v>3342</v>
      </c>
      <c r="N2087" t="s">
        <v>3442</v>
      </c>
      <c r="O2087" t="s">
        <v>3443</v>
      </c>
      <c r="P2087">
        <v>41161416</v>
      </c>
    </row>
    <row r="2088" spans="1:16">
      <c r="A2088" t="s">
        <v>97</v>
      </c>
      <c r="B2088">
        <v>1</v>
      </c>
      <c r="E2088" t="s">
        <v>3433</v>
      </c>
      <c r="F2088" t="s">
        <v>3434</v>
      </c>
      <c r="G2088" t="s">
        <v>3435</v>
      </c>
      <c r="I2088" t="s">
        <v>3338</v>
      </c>
      <c r="J2088" t="s">
        <v>2232</v>
      </c>
      <c r="K2088" t="s">
        <v>2233</v>
      </c>
      <c r="L2088" t="s">
        <v>3342</v>
      </c>
      <c r="N2088" t="s">
        <v>3444</v>
      </c>
      <c r="O2088" t="s">
        <v>3445</v>
      </c>
      <c r="P2088">
        <v>41161416</v>
      </c>
    </row>
    <row r="2089" spans="1:16">
      <c r="A2089" t="s">
        <v>97</v>
      </c>
      <c r="B2089">
        <v>1</v>
      </c>
      <c r="E2089" t="s">
        <v>3433</v>
      </c>
      <c r="F2089" t="s">
        <v>3434</v>
      </c>
      <c r="G2089" t="s">
        <v>3435</v>
      </c>
      <c r="I2089" t="s">
        <v>3338</v>
      </c>
      <c r="J2089" t="s">
        <v>2232</v>
      </c>
      <c r="K2089" t="s">
        <v>2233</v>
      </c>
      <c r="L2089" t="s">
        <v>3342</v>
      </c>
      <c r="N2089" t="s">
        <v>3446</v>
      </c>
      <c r="O2089" t="s">
        <v>3447</v>
      </c>
      <c r="P2089">
        <v>41161416</v>
      </c>
    </row>
    <row r="2090" spans="1:16">
      <c r="A2090" t="s">
        <v>97</v>
      </c>
      <c r="B2090">
        <v>0</v>
      </c>
      <c r="G2090" t="s">
        <v>3338</v>
      </c>
      <c r="I2090" t="s">
        <v>3338</v>
      </c>
      <c r="N2090" t="s">
        <v>3448</v>
      </c>
      <c r="O2090" t="s">
        <v>3449</v>
      </c>
      <c r="P2090">
        <v>41161416</v>
      </c>
    </row>
    <row r="2091" spans="1:16">
      <c r="A2091" t="s">
        <v>97</v>
      </c>
      <c r="B2091">
        <v>1</v>
      </c>
      <c r="E2091" t="s">
        <v>3448</v>
      </c>
      <c r="F2091" t="s">
        <v>3449</v>
      </c>
      <c r="G2091" t="s">
        <v>3450</v>
      </c>
      <c r="I2091" t="s">
        <v>3338</v>
      </c>
      <c r="J2091" t="s">
        <v>2421</v>
      </c>
      <c r="K2091" t="s">
        <v>3354</v>
      </c>
      <c r="L2091" t="s">
        <v>3451</v>
      </c>
      <c r="N2091" t="s">
        <v>3452</v>
      </c>
      <c r="O2091" t="s">
        <v>3453</v>
      </c>
      <c r="P2091">
        <v>41161416</v>
      </c>
    </row>
    <row r="2092" spans="1:16">
      <c r="A2092" t="s">
        <v>99</v>
      </c>
      <c r="B2092">
        <v>0</v>
      </c>
      <c r="G2092" t="s">
        <v>3338</v>
      </c>
      <c r="I2092" t="s">
        <v>3338</v>
      </c>
      <c r="N2092" t="s">
        <v>3339</v>
      </c>
      <c r="O2092" t="s">
        <v>3340</v>
      </c>
      <c r="P2092">
        <v>41151139</v>
      </c>
    </row>
    <row r="2093" spans="1:16">
      <c r="A2093" t="s">
        <v>99</v>
      </c>
      <c r="B2093">
        <v>1</v>
      </c>
      <c r="E2093" t="s">
        <v>3339</v>
      </c>
      <c r="F2093" t="s">
        <v>3340</v>
      </c>
      <c r="G2093" t="s">
        <v>3341</v>
      </c>
      <c r="I2093" t="s">
        <v>3338</v>
      </c>
      <c r="J2093" t="s">
        <v>2232</v>
      </c>
      <c r="K2093" t="s">
        <v>2233</v>
      </c>
      <c r="L2093" t="s">
        <v>3342</v>
      </c>
      <c r="N2093" t="s">
        <v>3343</v>
      </c>
      <c r="O2093" t="s">
        <v>3344</v>
      </c>
      <c r="P2093">
        <v>41151139</v>
      </c>
    </row>
    <row r="2094" spans="1:16">
      <c r="A2094" t="s">
        <v>99</v>
      </c>
      <c r="B2094">
        <v>1</v>
      </c>
      <c r="E2094" t="s">
        <v>3339</v>
      </c>
      <c r="F2094" t="s">
        <v>3340</v>
      </c>
      <c r="G2094" t="s">
        <v>3341</v>
      </c>
      <c r="I2094" t="s">
        <v>3338</v>
      </c>
      <c r="J2094" t="s">
        <v>2232</v>
      </c>
      <c r="K2094" t="s">
        <v>2233</v>
      </c>
      <c r="L2094" t="s">
        <v>3342</v>
      </c>
      <c r="N2094" t="s">
        <v>3345</v>
      </c>
      <c r="O2094" t="s">
        <v>3346</v>
      </c>
      <c r="P2094">
        <v>41151139</v>
      </c>
    </row>
    <row r="2095" spans="1:16">
      <c r="A2095" t="s">
        <v>99</v>
      </c>
      <c r="B2095">
        <v>0</v>
      </c>
      <c r="G2095" t="s">
        <v>3338</v>
      </c>
      <c r="I2095" t="s">
        <v>3338</v>
      </c>
      <c r="N2095" t="s">
        <v>3347</v>
      </c>
      <c r="O2095" t="s">
        <v>3344</v>
      </c>
      <c r="P2095">
        <v>41151139</v>
      </c>
    </row>
    <row r="2096" spans="1:16">
      <c r="A2096" t="s">
        <v>99</v>
      </c>
      <c r="B2096">
        <v>1</v>
      </c>
      <c r="E2096" t="s">
        <v>3347</v>
      </c>
      <c r="F2096" t="s">
        <v>3344</v>
      </c>
      <c r="G2096" t="s">
        <v>3348</v>
      </c>
      <c r="I2096" t="s">
        <v>3338</v>
      </c>
      <c r="J2096" t="s">
        <v>2232</v>
      </c>
      <c r="K2096" t="s">
        <v>2233</v>
      </c>
      <c r="L2096" t="s">
        <v>3342</v>
      </c>
      <c r="N2096" t="s">
        <v>3349</v>
      </c>
      <c r="O2096" t="s">
        <v>3350</v>
      </c>
      <c r="P2096">
        <v>41151139</v>
      </c>
    </row>
    <row r="2097" spans="1:16">
      <c r="A2097" t="s">
        <v>99</v>
      </c>
      <c r="B2097">
        <v>1</v>
      </c>
      <c r="E2097" t="s">
        <v>3347</v>
      </c>
      <c r="F2097" t="s">
        <v>3344</v>
      </c>
      <c r="G2097" t="s">
        <v>3348</v>
      </c>
      <c r="I2097" t="s">
        <v>3338</v>
      </c>
      <c r="L2097" t="s">
        <v>193</v>
      </c>
      <c r="N2097" t="s">
        <v>3351</v>
      </c>
      <c r="O2097" t="s">
        <v>3352</v>
      </c>
      <c r="P2097">
        <v>41151139</v>
      </c>
    </row>
    <row r="2098" spans="1:16">
      <c r="A2098" t="s">
        <v>99</v>
      </c>
      <c r="B2098">
        <v>2</v>
      </c>
      <c r="E2098" t="s">
        <v>3351</v>
      </c>
      <c r="F2098" t="s">
        <v>3352</v>
      </c>
      <c r="G2098" t="s">
        <v>3353</v>
      </c>
      <c r="I2098" t="s">
        <v>3338</v>
      </c>
      <c r="J2098" t="s">
        <v>2421</v>
      </c>
      <c r="K2098" t="s">
        <v>3354</v>
      </c>
      <c r="L2098" t="s">
        <v>3355</v>
      </c>
      <c r="N2098" t="s">
        <v>3356</v>
      </c>
      <c r="O2098" t="s">
        <v>3357</v>
      </c>
      <c r="P2098">
        <v>41151139</v>
      </c>
    </row>
    <row r="2099" spans="1:16">
      <c r="A2099" t="s">
        <v>99</v>
      </c>
      <c r="B2099">
        <v>2</v>
      </c>
      <c r="E2099" t="s">
        <v>3351</v>
      </c>
      <c r="F2099" t="s">
        <v>3352</v>
      </c>
      <c r="G2099" t="s">
        <v>3353</v>
      </c>
      <c r="I2099" t="s">
        <v>3338</v>
      </c>
      <c r="J2099" t="s">
        <v>2421</v>
      </c>
      <c r="K2099" t="s">
        <v>3354</v>
      </c>
      <c r="L2099" t="s">
        <v>3355</v>
      </c>
      <c r="N2099" t="s">
        <v>3358</v>
      </c>
      <c r="O2099" t="s">
        <v>3359</v>
      </c>
      <c r="P2099">
        <v>41151139</v>
      </c>
    </row>
    <row r="2100" spans="1:16">
      <c r="A2100" t="s">
        <v>99</v>
      </c>
      <c r="B2100">
        <v>2</v>
      </c>
      <c r="E2100" t="s">
        <v>3351</v>
      </c>
      <c r="F2100" t="s">
        <v>3352</v>
      </c>
      <c r="G2100" t="s">
        <v>3353</v>
      </c>
      <c r="I2100" t="s">
        <v>3338</v>
      </c>
      <c r="J2100" t="s">
        <v>2421</v>
      </c>
      <c r="K2100" t="s">
        <v>3354</v>
      </c>
      <c r="L2100" t="s">
        <v>3355</v>
      </c>
      <c r="N2100" t="s">
        <v>3360</v>
      </c>
      <c r="O2100" t="s">
        <v>3361</v>
      </c>
      <c r="P2100">
        <v>41151139</v>
      </c>
    </row>
    <row r="2101" spans="1:16">
      <c r="A2101" t="s">
        <v>99</v>
      </c>
      <c r="B2101">
        <v>1</v>
      </c>
      <c r="E2101" t="s">
        <v>3347</v>
      </c>
      <c r="F2101" t="s">
        <v>3344</v>
      </c>
      <c r="G2101" t="s">
        <v>3348</v>
      </c>
      <c r="I2101" t="s">
        <v>3338</v>
      </c>
      <c r="J2101" t="s">
        <v>2236</v>
      </c>
      <c r="K2101" t="s">
        <v>3362</v>
      </c>
      <c r="L2101" t="s">
        <v>3363</v>
      </c>
      <c r="N2101" t="s">
        <v>3364</v>
      </c>
      <c r="O2101" t="s">
        <v>3365</v>
      </c>
      <c r="P2101">
        <v>41151139</v>
      </c>
    </row>
    <row r="2102" spans="1:16">
      <c r="A2102" t="s">
        <v>99</v>
      </c>
      <c r="B2102">
        <v>1</v>
      </c>
      <c r="E2102" t="s">
        <v>3347</v>
      </c>
      <c r="F2102" t="s">
        <v>3344</v>
      </c>
      <c r="G2102" t="s">
        <v>3348</v>
      </c>
      <c r="I2102" t="s">
        <v>3338</v>
      </c>
      <c r="L2102" t="s">
        <v>193</v>
      </c>
      <c r="N2102" t="s">
        <v>3366</v>
      </c>
      <c r="O2102" t="s">
        <v>3367</v>
      </c>
      <c r="P2102">
        <v>41151139</v>
      </c>
    </row>
    <row r="2103" spans="1:16">
      <c r="A2103" t="s">
        <v>99</v>
      </c>
      <c r="B2103">
        <v>2</v>
      </c>
      <c r="E2103" t="s">
        <v>3366</v>
      </c>
      <c r="F2103" t="s">
        <v>3367</v>
      </c>
      <c r="G2103" t="s">
        <v>3368</v>
      </c>
      <c r="I2103" t="s">
        <v>3338</v>
      </c>
      <c r="J2103" t="s">
        <v>2421</v>
      </c>
      <c r="K2103" t="s">
        <v>3354</v>
      </c>
      <c r="L2103" t="s">
        <v>3369</v>
      </c>
      <c r="N2103" t="s">
        <v>3370</v>
      </c>
      <c r="O2103" t="s">
        <v>3359</v>
      </c>
      <c r="P2103">
        <v>41151139</v>
      </c>
    </row>
    <row r="2104" spans="1:16">
      <c r="A2104" t="s">
        <v>99</v>
      </c>
      <c r="B2104">
        <v>2</v>
      </c>
      <c r="E2104" t="s">
        <v>3366</v>
      </c>
      <c r="F2104" t="s">
        <v>3367</v>
      </c>
      <c r="G2104" t="s">
        <v>3368</v>
      </c>
      <c r="I2104" t="s">
        <v>3338</v>
      </c>
      <c r="J2104" t="s">
        <v>2421</v>
      </c>
      <c r="K2104" t="s">
        <v>3354</v>
      </c>
      <c r="L2104" t="s">
        <v>3369</v>
      </c>
      <c r="N2104" t="s">
        <v>3371</v>
      </c>
      <c r="O2104" t="s">
        <v>3372</v>
      </c>
      <c r="P2104">
        <v>41151139</v>
      </c>
    </row>
    <row r="2105" spans="1:16">
      <c r="A2105" t="s">
        <v>99</v>
      </c>
      <c r="B2105">
        <v>2</v>
      </c>
      <c r="E2105" t="s">
        <v>3366</v>
      </c>
      <c r="F2105" t="s">
        <v>3367</v>
      </c>
      <c r="G2105" t="s">
        <v>3368</v>
      </c>
      <c r="I2105" t="s">
        <v>3338</v>
      </c>
      <c r="J2105" t="s">
        <v>2421</v>
      </c>
      <c r="K2105" t="s">
        <v>3354</v>
      </c>
      <c r="L2105" t="s">
        <v>3369</v>
      </c>
      <c r="N2105" t="s">
        <v>3373</v>
      </c>
      <c r="O2105" t="s">
        <v>3374</v>
      </c>
      <c r="P2105">
        <v>41151139</v>
      </c>
    </row>
    <row r="2106" spans="1:16">
      <c r="A2106" t="s">
        <v>99</v>
      </c>
      <c r="B2106">
        <v>2</v>
      </c>
      <c r="E2106" t="s">
        <v>3366</v>
      </c>
      <c r="F2106" t="s">
        <v>3367</v>
      </c>
      <c r="G2106" t="s">
        <v>3368</v>
      </c>
      <c r="I2106" t="s">
        <v>3338</v>
      </c>
      <c r="J2106" t="s">
        <v>2236</v>
      </c>
      <c r="K2106" t="s">
        <v>3362</v>
      </c>
      <c r="L2106" t="s">
        <v>3363</v>
      </c>
      <c r="N2106" t="s">
        <v>3375</v>
      </c>
      <c r="O2106" t="s">
        <v>3376</v>
      </c>
      <c r="P2106">
        <v>41151139</v>
      </c>
    </row>
    <row r="2107" spans="1:16">
      <c r="A2107" t="s">
        <v>99</v>
      </c>
      <c r="B2107">
        <v>0</v>
      </c>
      <c r="G2107" t="s">
        <v>3338</v>
      </c>
      <c r="I2107" t="s">
        <v>3338</v>
      </c>
      <c r="N2107" t="s">
        <v>3377</v>
      </c>
      <c r="O2107" t="s">
        <v>3346</v>
      </c>
      <c r="P2107">
        <v>41151139</v>
      </c>
    </row>
    <row r="2108" spans="1:16">
      <c r="A2108" t="s">
        <v>99</v>
      </c>
      <c r="B2108">
        <v>1</v>
      </c>
      <c r="E2108" t="s">
        <v>3377</v>
      </c>
      <c r="F2108" t="s">
        <v>3346</v>
      </c>
      <c r="G2108" t="s">
        <v>3378</v>
      </c>
      <c r="I2108" t="s">
        <v>3338</v>
      </c>
      <c r="L2108" t="s">
        <v>193</v>
      </c>
      <c r="N2108" t="s">
        <v>3379</v>
      </c>
      <c r="O2108" t="s">
        <v>3380</v>
      </c>
      <c r="P2108">
        <v>41151139</v>
      </c>
    </row>
    <row r="2109" spans="1:16">
      <c r="A2109" t="s">
        <v>99</v>
      </c>
      <c r="B2109">
        <v>2</v>
      </c>
      <c r="E2109" t="s">
        <v>3379</v>
      </c>
      <c r="F2109" t="s">
        <v>3380</v>
      </c>
      <c r="G2109" t="s">
        <v>3381</v>
      </c>
      <c r="I2109" t="s">
        <v>3338</v>
      </c>
      <c r="J2109" t="s">
        <v>2421</v>
      </c>
      <c r="K2109" t="s">
        <v>3354</v>
      </c>
      <c r="L2109" t="s">
        <v>3369</v>
      </c>
      <c r="N2109" t="s">
        <v>3382</v>
      </c>
      <c r="O2109" t="s">
        <v>3352</v>
      </c>
      <c r="P2109">
        <v>41151139</v>
      </c>
    </row>
    <row r="2110" spans="1:16">
      <c r="A2110" t="s">
        <v>99</v>
      </c>
      <c r="B2110">
        <v>2</v>
      </c>
      <c r="E2110" t="s">
        <v>3379</v>
      </c>
      <c r="F2110" t="s">
        <v>3380</v>
      </c>
      <c r="G2110" t="s">
        <v>3381</v>
      </c>
      <c r="I2110" t="s">
        <v>3338</v>
      </c>
      <c r="L2110" t="s">
        <v>3383</v>
      </c>
      <c r="N2110" t="s">
        <v>3384</v>
      </c>
      <c r="O2110" t="s">
        <v>3385</v>
      </c>
      <c r="P2110">
        <v>41151139</v>
      </c>
    </row>
    <row r="2111" spans="1:16">
      <c r="A2111" t="s">
        <v>99</v>
      </c>
      <c r="B2111">
        <v>2</v>
      </c>
      <c r="E2111" t="s">
        <v>3379</v>
      </c>
      <c r="F2111" t="s">
        <v>3380</v>
      </c>
      <c r="G2111" t="s">
        <v>3381</v>
      </c>
      <c r="I2111" t="s">
        <v>3338</v>
      </c>
      <c r="J2111" t="s">
        <v>2232</v>
      </c>
      <c r="K2111" t="s">
        <v>2233</v>
      </c>
      <c r="L2111" t="s">
        <v>3342</v>
      </c>
      <c r="N2111" t="s">
        <v>3386</v>
      </c>
      <c r="O2111" t="s">
        <v>3350</v>
      </c>
      <c r="P2111">
        <v>41151139</v>
      </c>
    </row>
    <row r="2112" spans="1:16">
      <c r="A2112" t="s">
        <v>99</v>
      </c>
      <c r="B2112">
        <v>0</v>
      </c>
      <c r="G2112" t="s">
        <v>3338</v>
      </c>
      <c r="I2112" t="s">
        <v>3338</v>
      </c>
      <c r="N2112" t="s">
        <v>3395</v>
      </c>
      <c r="O2112" t="s">
        <v>3396</v>
      </c>
      <c r="P2112">
        <v>41151139</v>
      </c>
    </row>
    <row r="2113" spans="1:16">
      <c r="A2113" t="s">
        <v>99</v>
      </c>
      <c r="B2113">
        <v>1</v>
      </c>
      <c r="E2113" t="s">
        <v>3395</v>
      </c>
      <c r="F2113" t="s">
        <v>3396</v>
      </c>
      <c r="G2113" t="s">
        <v>3397</v>
      </c>
      <c r="I2113" t="s">
        <v>3338</v>
      </c>
      <c r="J2113" t="s">
        <v>2232</v>
      </c>
      <c r="K2113" t="s">
        <v>2233</v>
      </c>
      <c r="L2113" t="s">
        <v>3342</v>
      </c>
      <c r="N2113" t="s">
        <v>3398</v>
      </c>
      <c r="O2113" t="s">
        <v>3399</v>
      </c>
      <c r="P2113">
        <v>41151139</v>
      </c>
    </row>
    <row r="2114" spans="1:16">
      <c r="A2114" t="s">
        <v>99</v>
      </c>
      <c r="B2114">
        <v>1</v>
      </c>
      <c r="E2114" t="s">
        <v>3395</v>
      </c>
      <c r="F2114" t="s">
        <v>3396</v>
      </c>
      <c r="G2114" t="s">
        <v>3397</v>
      </c>
      <c r="I2114" t="s">
        <v>3338</v>
      </c>
      <c r="J2114" t="s">
        <v>2232</v>
      </c>
      <c r="K2114" t="s">
        <v>2233</v>
      </c>
      <c r="L2114" t="s">
        <v>3342</v>
      </c>
      <c r="N2114" t="s">
        <v>3400</v>
      </c>
      <c r="O2114" t="s">
        <v>3401</v>
      </c>
      <c r="P2114">
        <v>41151139</v>
      </c>
    </row>
    <row r="2115" spans="1:16">
      <c r="A2115" t="s">
        <v>99</v>
      </c>
      <c r="B2115">
        <v>1</v>
      </c>
      <c r="E2115" t="s">
        <v>3395</v>
      </c>
      <c r="F2115" t="s">
        <v>3396</v>
      </c>
      <c r="G2115" t="s">
        <v>3397</v>
      </c>
      <c r="I2115" t="s">
        <v>3338</v>
      </c>
      <c r="L2115" t="s">
        <v>3342</v>
      </c>
      <c r="N2115" t="s">
        <v>3402</v>
      </c>
      <c r="O2115" t="s">
        <v>3403</v>
      </c>
      <c r="P2115">
        <v>41151139</v>
      </c>
    </row>
    <row r="2116" spans="1:16">
      <c r="A2116" t="s">
        <v>99</v>
      </c>
      <c r="B2116">
        <v>1</v>
      </c>
      <c r="E2116" t="s">
        <v>3395</v>
      </c>
      <c r="F2116" t="s">
        <v>3396</v>
      </c>
      <c r="G2116" t="s">
        <v>3397</v>
      </c>
      <c r="I2116" t="s">
        <v>3338</v>
      </c>
      <c r="L2116" t="s">
        <v>3342</v>
      </c>
      <c r="N2116" t="s">
        <v>3404</v>
      </c>
      <c r="O2116" t="s">
        <v>3405</v>
      </c>
      <c r="P2116">
        <v>41151139</v>
      </c>
    </row>
    <row r="2117" spans="1:16">
      <c r="A2117" t="s">
        <v>99</v>
      </c>
      <c r="B2117">
        <v>0</v>
      </c>
      <c r="G2117" t="s">
        <v>3338</v>
      </c>
      <c r="I2117" t="s">
        <v>3338</v>
      </c>
      <c r="N2117" t="s">
        <v>3406</v>
      </c>
      <c r="O2117" t="s">
        <v>3407</v>
      </c>
      <c r="P2117">
        <v>41151139</v>
      </c>
    </row>
    <row r="2118" spans="1:16">
      <c r="A2118" t="s">
        <v>99</v>
      </c>
      <c r="B2118">
        <v>1</v>
      </c>
      <c r="E2118" t="s">
        <v>3406</v>
      </c>
      <c r="F2118" t="s">
        <v>3407</v>
      </c>
      <c r="G2118" t="s">
        <v>3408</v>
      </c>
      <c r="I2118" t="s">
        <v>3338</v>
      </c>
      <c r="J2118" t="s">
        <v>2421</v>
      </c>
      <c r="K2118" t="s">
        <v>3354</v>
      </c>
      <c r="L2118" t="s">
        <v>3369</v>
      </c>
      <c r="N2118" t="s">
        <v>3409</v>
      </c>
      <c r="O2118" t="s">
        <v>3410</v>
      </c>
      <c r="P2118">
        <v>41151139</v>
      </c>
    </row>
    <row r="2119" spans="1:16">
      <c r="A2119" t="s">
        <v>99</v>
      </c>
      <c r="B2119">
        <v>1</v>
      </c>
      <c r="E2119" t="s">
        <v>3406</v>
      </c>
      <c r="F2119" t="s">
        <v>3407</v>
      </c>
      <c r="G2119" t="s">
        <v>3408</v>
      </c>
      <c r="I2119" t="s">
        <v>3338</v>
      </c>
      <c r="L2119" t="s">
        <v>193</v>
      </c>
      <c r="N2119" t="s">
        <v>3411</v>
      </c>
      <c r="O2119" t="s">
        <v>3412</v>
      </c>
      <c r="P2119">
        <v>41151139</v>
      </c>
    </row>
    <row r="2120" spans="1:16">
      <c r="A2120" t="s">
        <v>99</v>
      </c>
      <c r="B2120">
        <v>2</v>
      </c>
      <c r="E2120" t="s">
        <v>3411</v>
      </c>
      <c r="F2120" t="s">
        <v>3412</v>
      </c>
      <c r="G2120" t="s">
        <v>3413</v>
      </c>
      <c r="I2120" t="s">
        <v>3338</v>
      </c>
      <c r="L2120" t="s">
        <v>3342</v>
      </c>
      <c r="N2120" t="s">
        <v>3414</v>
      </c>
      <c r="O2120" t="s">
        <v>3415</v>
      </c>
      <c r="P2120">
        <v>41151139</v>
      </c>
    </row>
    <row r="2121" spans="1:16">
      <c r="A2121" t="s">
        <v>99</v>
      </c>
      <c r="B2121">
        <v>2</v>
      </c>
      <c r="E2121" t="s">
        <v>3411</v>
      </c>
      <c r="F2121" t="s">
        <v>3412</v>
      </c>
      <c r="G2121" t="s">
        <v>3413</v>
      </c>
      <c r="I2121" t="s">
        <v>3338</v>
      </c>
      <c r="J2121" t="s">
        <v>2232</v>
      </c>
      <c r="K2121" t="s">
        <v>2233</v>
      </c>
      <c r="L2121" t="s">
        <v>3342</v>
      </c>
      <c r="N2121" t="s">
        <v>3416</v>
      </c>
      <c r="O2121" t="s">
        <v>3417</v>
      </c>
      <c r="P2121">
        <v>41151139</v>
      </c>
    </row>
    <row r="2122" spans="1:16">
      <c r="A2122" t="s">
        <v>99</v>
      </c>
      <c r="B2122">
        <v>2</v>
      </c>
      <c r="E2122" t="s">
        <v>3411</v>
      </c>
      <c r="F2122" t="s">
        <v>3412</v>
      </c>
      <c r="G2122" t="s">
        <v>3413</v>
      </c>
      <c r="I2122" t="s">
        <v>3338</v>
      </c>
      <c r="J2122" t="s">
        <v>2232</v>
      </c>
      <c r="K2122" t="s">
        <v>2233</v>
      </c>
      <c r="L2122" t="s">
        <v>3342</v>
      </c>
      <c r="N2122" t="s">
        <v>3418</v>
      </c>
      <c r="O2122" t="s">
        <v>3419</v>
      </c>
      <c r="P2122">
        <v>41151139</v>
      </c>
    </row>
    <row r="2123" spans="1:16">
      <c r="A2123" t="s">
        <v>99</v>
      </c>
      <c r="B2123">
        <v>2</v>
      </c>
      <c r="E2123" t="s">
        <v>3411</v>
      </c>
      <c r="F2123" t="s">
        <v>3412</v>
      </c>
      <c r="G2123" t="s">
        <v>3413</v>
      </c>
      <c r="I2123" t="s">
        <v>3338</v>
      </c>
      <c r="L2123" t="s">
        <v>3342</v>
      </c>
      <c r="N2123" t="s">
        <v>3420</v>
      </c>
      <c r="O2123" t="s">
        <v>3421</v>
      </c>
      <c r="P2123">
        <v>41151139</v>
      </c>
    </row>
    <row r="2124" spans="1:16">
      <c r="A2124" t="s">
        <v>99</v>
      </c>
      <c r="B2124">
        <v>2</v>
      </c>
      <c r="E2124" t="s">
        <v>3411</v>
      </c>
      <c r="F2124" t="s">
        <v>3412</v>
      </c>
      <c r="G2124" t="s">
        <v>3413</v>
      </c>
      <c r="I2124" t="s">
        <v>3338</v>
      </c>
      <c r="J2124" t="s">
        <v>2232</v>
      </c>
      <c r="K2124" t="s">
        <v>2233</v>
      </c>
      <c r="L2124" t="s">
        <v>3342</v>
      </c>
      <c r="N2124" t="s">
        <v>3422</v>
      </c>
      <c r="O2124" t="s">
        <v>3423</v>
      </c>
      <c r="P2124">
        <v>41151139</v>
      </c>
    </row>
    <row r="2125" spans="1:16">
      <c r="A2125" t="s">
        <v>99</v>
      </c>
      <c r="B2125">
        <v>0</v>
      </c>
      <c r="G2125" t="s">
        <v>3338</v>
      </c>
      <c r="I2125" t="s">
        <v>3338</v>
      </c>
      <c r="N2125" t="s">
        <v>3424</v>
      </c>
      <c r="O2125" t="s">
        <v>3425</v>
      </c>
      <c r="P2125">
        <v>41151139</v>
      </c>
    </row>
    <row r="2126" spans="1:16">
      <c r="A2126" t="s">
        <v>99</v>
      </c>
      <c r="B2126">
        <v>1</v>
      </c>
      <c r="E2126" t="s">
        <v>3424</v>
      </c>
      <c r="F2126" t="s">
        <v>3425</v>
      </c>
      <c r="G2126" t="s">
        <v>3426</v>
      </c>
      <c r="I2126" t="s">
        <v>3338</v>
      </c>
      <c r="J2126" t="s">
        <v>2421</v>
      </c>
      <c r="K2126" t="s">
        <v>3354</v>
      </c>
      <c r="L2126" t="s">
        <v>3369</v>
      </c>
      <c r="N2126" t="s">
        <v>3427</v>
      </c>
      <c r="O2126" t="s">
        <v>3428</v>
      </c>
      <c r="P2126">
        <v>41151139</v>
      </c>
    </row>
    <row r="2127" spans="1:16">
      <c r="A2127" t="s">
        <v>99</v>
      </c>
      <c r="B2127">
        <v>1</v>
      </c>
      <c r="E2127" t="s">
        <v>3424</v>
      </c>
      <c r="F2127" t="s">
        <v>3425</v>
      </c>
      <c r="G2127" t="s">
        <v>3426</v>
      </c>
      <c r="I2127" t="s">
        <v>3338</v>
      </c>
      <c r="J2127" t="s">
        <v>2421</v>
      </c>
      <c r="K2127" t="s">
        <v>3354</v>
      </c>
      <c r="L2127" t="s">
        <v>3369</v>
      </c>
      <c r="N2127" t="s">
        <v>3429</v>
      </c>
      <c r="O2127" t="s">
        <v>3430</v>
      </c>
      <c r="P2127">
        <v>41151139</v>
      </c>
    </row>
    <row r="2128" spans="1:16">
      <c r="A2128" t="s">
        <v>99</v>
      </c>
      <c r="B2128">
        <v>1</v>
      </c>
      <c r="E2128" t="s">
        <v>3424</v>
      </c>
      <c r="F2128" t="s">
        <v>3425</v>
      </c>
      <c r="G2128" t="s">
        <v>3426</v>
      </c>
      <c r="I2128" t="s">
        <v>3338</v>
      </c>
      <c r="J2128" t="s">
        <v>2232</v>
      </c>
      <c r="K2128" t="s">
        <v>2233</v>
      </c>
      <c r="L2128" t="s">
        <v>3342</v>
      </c>
      <c r="N2128" t="s">
        <v>3431</v>
      </c>
      <c r="O2128" t="s">
        <v>3432</v>
      </c>
      <c r="P2128">
        <v>41151139</v>
      </c>
    </row>
    <row r="2129" spans="1:16">
      <c r="A2129" t="s">
        <v>99</v>
      </c>
      <c r="B2129">
        <v>0</v>
      </c>
      <c r="G2129" t="s">
        <v>3338</v>
      </c>
      <c r="I2129" t="s">
        <v>3338</v>
      </c>
      <c r="N2129" t="s">
        <v>3433</v>
      </c>
      <c r="O2129" t="s">
        <v>3434</v>
      </c>
      <c r="P2129">
        <v>41151139</v>
      </c>
    </row>
    <row r="2130" spans="1:16">
      <c r="A2130" t="s">
        <v>99</v>
      </c>
      <c r="B2130">
        <v>1</v>
      </c>
      <c r="E2130" t="s">
        <v>3433</v>
      </c>
      <c r="F2130" t="s">
        <v>3434</v>
      </c>
      <c r="G2130" t="s">
        <v>3435</v>
      </c>
      <c r="I2130" t="s">
        <v>3338</v>
      </c>
      <c r="J2130" t="s">
        <v>2232</v>
      </c>
      <c r="K2130" t="s">
        <v>2233</v>
      </c>
      <c r="L2130" t="s">
        <v>3342</v>
      </c>
      <c r="N2130" t="s">
        <v>3436</v>
      </c>
      <c r="O2130" t="s">
        <v>3437</v>
      </c>
      <c r="P2130">
        <v>41151139</v>
      </c>
    </row>
    <row r="2131" spans="1:16">
      <c r="A2131" t="s">
        <v>99</v>
      </c>
      <c r="B2131">
        <v>1</v>
      </c>
      <c r="E2131" t="s">
        <v>3433</v>
      </c>
      <c r="F2131" t="s">
        <v>3434</v>
      </c>
      <c r="G2131" t="s">
        <v>3435</v>
      </c>
      <c r="I2131" t="s">
        <v>3338</v>
      </c>
      <c r="J2131" t="s">
        <v>2232</v>
      </c>
      <c r="K2131" t="s">
        <v>2233</v>
      </c>
      <c r="L2131" t="s">
        <v>3342</v>
      </c>
      <c r="N2131" t="s">
        <v>3438</v>
      </c>
      <c r="O2131" t="s">
        <v>3439</v>
      </c>
      <c r="P2131">
        <v>41151139</v>
      </c>
    </row>
    <row r="2132" spans="1:16">
      <c r="A2132" t="s">
        <v>99</v>
      </c>
      <c r="B2132">
        <v>1</v>
      </c>
      <c r="E2132" t="s">
        <v>3433</v>
      </c>
      <c r="F2132" t="s">
        <v>3434</v>
      </c>
      <c r="G2132" t="s">
        <v>3435</v>
      </c>
      <c r="I2132" t="s">
        <v>3338</v>
      </c>
      <c r="J2132" t="s">
        <v>2232</v>
      </c>
      <c r="K2132" t="s">
        <v>2233</v>
      </c>
      <c r="L2132" t="s">
        <v>3342</v>
      </c>
      <c r="N2132" t="s">
        <v>3440</v>
      </c>
      <c r="O2132" t="s">
        <v>3441</v>
      </c>
      <c r="P2132">
        <v>41151139</v>
      </c>
    </row>
    <row r="2133" spans="1:16">
      <c r="A2133" t="s">
        <v>99</v>
      </c>
      <c r="B2133">
        <v>1</v>
      </c>
      <c r="E2133" t="s">
        <v>3433</v>
      </c>
      <c r="F2133" t="s">
        <v>3434</v>
      </c>
      <c r="G2133" t="s">
        <v>3435</v>
      </c>
      <c r="I2133" t="s">
        <v>3338</v>
      </c>
      <c r="J2133" t="s">
        <v>2232</v>
      </c>
      <c r="K2133" t="s">
        <v>2233</v>
      </c>
      <c r="L2133" t="s">
        <v>3342</v>
      </c>
      <c r="N2133" t="s">
        <v>3442</v>
      </c>
      <c r="O2133" t="s">
        <v>3443</v>
      </c>
      <c r="P2133">
        <v>41151139</v>
      </c>
    </row>
    <row r="2134" spans="1:16">
      <c r="A2134" t="s">
        <v>99</v>
      </c>
      <c r="B2134">
        <v>1</v>
      </c>
      <c r="E2134" t="s">
        <v>3433</v>
      </c>
      <c r="F2134" t="s">
        <v>3434</v>
      </c>
      <c r="G2134" t="s">
        <v>3435</v>
      </c>
      <c r="I2134" t="s">
        <v>3338</v>
      </c>
      <c r="J2134" t="s">
        <v>2232</v>
      </c>
      <c r="K2134" t="s">
        <v>2233</v>
      </c>
      <c r="L2134" t="s">
        <v>3342</v>
      </c>
      <c r="N2134" t="s">
        <v>3444</v>
      </c>
      <c r="O2134" t="s">
        <v>3445</v>
      </c>
      <c r="P2134">
        <v>41151139</v>
      </c>
    </row>
    <row r="2135" spans="1:16">
      <c r="A2135" t="s">
        <v>99</v>
      </c>
      <c r="B2135">
        <v>1</v>
      </c>
      <c r="E2135" t="s">
        <v>3433</v>
      </c>
      <c r="F2135" t="s">
        <v>3434</v>
      </c>
      <c r="G2135" t="s">
        <v>3435</v>
      </c>
      <c r="I2135" t="s">
        <v>3338</v>
      </c>
      <c r="J2135" t="s">
        <v>2232</v>
      </c>
      <c r="K2135" t="s">
        <v>2233</v>
      </c>
      <c r="L2135" t="s">
        <v>3342</v>
      </c>
      <c r="N2135" t="s">
        <v>3446</v>
      </c>
      <c r="O2135" t="s">
        <v>3447</v>
      </c>
      <c r="P2135">
        <v>41151139</v>
      </c>
    </row>
    <row r="2136" spans="1:16">
      <c r="A2136" t="s">
        <v>99</v>
      </c>
      <c r="B2136">
        <v>0</v>
      </c>
      <c r="G2136" t="s">
        <v>3338</v>
      </c>
      <c r="I2136" t="s">
        <v>3338</v>
      </c>
      <c r="N2136" t="s">
        <v>3448</v>
      </c>
      <c r="O2136" t="s">
        <v>3449</v>
      </c>
      <c r="P2136">
        <v>41151139</v>
      </c>
    </row>
    <row r="2137" spans="1:16">
      <c r="A2137" t="s">
        <v>99</v>
      </c>
      <c r="B2137">
        <v>1</v>
      </c>
      <c r="E2137" t="s">
        <v>3448</v>
      </c>
      <c r="F2137" t="s">
        <v>3449</v>
      </c>
      <c r="G2137" t="s">
        <v>3450</v>
      </c>
      <c r="I2137" t="s">
        <v>3338</v>
      </c>
      <c r="J2137" t="s">
        <v>2421</v>
      </c>
      <c r="K2137" t="s">
        <v>3354</v>
      </c>
      <c r="L2137" t="s">
        <v>3451</v>
      </c>
      <c r="N2137" t="s">
        <v>3452</v>
      </c>
      <c r="O2137" t="s">
        <v>3453</v>
      </c>
      <c r="P2137">
        <v>41151139</v>
      </c>
    </row>
    <row r="2138" spans="1:16">
      <c r="A2138" t="s">
        <v>99</v>
      </c>
      <c r="B2138">
        <v>0</v>
      </c>
      <c r="G2138" t="s">
        <v>3456</v>
      </c>
      <c r="I2138" t="s">
        <v>3456</v>
      </c>
      <c r="M2138" t="s">
        <v>3460</v>
      </c>
      <c r="N2138" t="s">
        <v>3485</v>
      </c>
      <c r="O2138" t="s">
        <v>3486</v>
      </c>
      <c r="P2138">
        <v>41151139</v>
      </c>
    </row>
    <row r="2139" spans="1:16">
      <c r="A2139" t="s">
        <v>99</v>
      </c>
      <c r="B2139">
        <v>0</v>
      </c>
      <c r="G2139" t="s">
        <v>3456</v>
      </c>
      <c r="I2139" t="s">
        <v>3456</v>
      </c>
      <c r="M2139" t="s">
        <v>3463</v>
      </c>
      <c r="N2139" t="s">
        <v>3461</v>
      </c>
      <c r="O2139" t="s">
        <v>3462</v>
      </c>
      <c r="P2139">
        <v>41151139</v>
      </c>
    </row>
    <row r="2140" spans="1:16">
      <c r="A2140" t="s">
        <v>99</v>
      </c>
      <c r="B2140">
        <v>0</v>
      </c>
      <c r="G2140" t="s">
        <v>3456</v>
      </c>
      <c r="I2140" t="s">
        <v>3456</v>
      </c>
      <c r="M2140" t="s">
        <v>3463</v>
      </c>
      <c r="N2140" t="s">
        <v>3489</v>
      </c>
      <c r="O2140" t="s">
        <v>3490</v>
      </c>
      <c r="P2140">
        <v>41151139</v>
      </c>
    </row>
    <row r="2141" spans="1:16">
      <c r="A2141" t="s">
        <v>99</v>
      </c>
      <c r="B2141">
        <v>0</v>
      </c>
      <c r="G2141" t="s">
        <v>3456</v>
      </c>
      <c r="I2141" t="s">
        <v>3456</v>
      </c>
      <c r="M2141" t="s">
        <v>3460</v>
      </c>
      <c r="N2141" t="s">
        <v>3458</v>
      </c>
      <c r="O2141" t="s">
        <v>3459</v>
      </c>
      <c r="P2141">
        <v>41151139</v>
      </c>
    </row>
    <row r="2142" spans="1:16">
      <c r="A2142" t="s">
        <v>99</v>
      </c>
      <c r="B2142">
        <v>0</v>
      </c>
      <c r="G2142" t="s">
        <v>3456</v>
      </c>
      <c r="I2142" t="s">
        <v>3456</v>
      </c>
      <c r="M2142" t="s">
        <v>3460</v>
      </c>
      <c r="N2142" t="s">
        <v>3493</v>
      </c>
      <c r="O2142" t="s">
        <v>3494</v>
      </c>
      <c r="P2142">
        <v>41151139</v>
      </c>
    </row>
    <row r="2143" spans="1:16">
      <c r="A2143" t="s">
        <v>100</v>
      </c>
      <c r="B2143">
        <v>0</v>
      </c>
      <c r="G2143" t="s">
        <v>3338</v>
      </c>
      <c r="I2143" t="s">
        <v>3338</v>
      </c>
      <c r="N2143" t="s">
        <v>3339</v>
      </c>
      <c r="O2143" t="s">
        <v>3340</v>
      </c>
      <c r="P2143">
        <v>41149660</v>
      </c>
    </row>
    <row r="2144" spans="1:16">
      <c r="A2144" t="s">
        <v>100</v>
      </c>
      <c r="B2144">
        <v>1</v>
      </c>
      <c r="E2144" t="s">
        <v>3339</v>
      </c>
      <c r="F2144" t="s">
        <v>3340</v>
      </c>
      <c r="G2144" t="s">
        <v>3341</v>
      </c>
      <c r="I2144" t="s">
        <v>3338</v>
      </c>
      <c r="J2144" t="s">
        <v>2232</v>
      </c>
      <c r="K2144" t="s">
        <v>2233</v>
      </c>
      <c r="L2144" t="s">
        <v>3342</v>
      </c>
      <c r="N2144" t="s">
        <v>3343</v>
      </c>
      <c r="O2144" t="s">
        <v>3344</v>
      </c>
      <c r="P2144">
        <v>41149660</v>
      </c>
    </row>
    <row r="2145" spans="1:16">
      <c r="A2145" t="s">
        <v>100</v>
      </c>
      <c r="B2145">
        <v>1</v>
      </c>
      <c r="E2145" t="s">
        <v>3339</v>
      </c>
      <c r="F2145" t="s">
        <v>3340</v>
      </c>
      <c r="G2145" t="s">
        <v>3341</v>
      </c>
      <c r="I2145" t="s">
        <v>3338</v>
      </c>
      <c r="J2145" t="s">
        <v>2232</v>
      </c>
      <c r="K2145" t="s">
        <v>2233</v>
      </c>
      <c r="L2145" t="s">
        <v>3342</v>
      </c>
      <c r="N2145" t="s">
        <v>3345</v>
      </c>
      <c r="O2145" t="s">
        <v>3346</v>
      </c>
      <c r="P2145">
        <v>41149660</v>
      </c>
    </row>
    <row r="2146" spans="1:16">
      <c r="A2146" t="s">
        <v>100</v>
      </c>
      <c r="B2146">
        <v>0</v>
      </c>
      <c r="G2146" t="s">
        <v>3338</v>
      </c>
      <c r="I2146" t="s">
        <v>3338</v>
      </c>
      <c r="N2146" t="s">
        <v>3347</v>
      </c>
      <c r="O2146" t="s">
        <v>3344</v>
      </c>
      <c r="P2146">
        <v>41149660</v>
      </c>
    </row>
    <row r="2147" spans="1:16">
      <c r="A2147" t="s">
        <v>100</v>
      </c>
      <c r="B2147">
        <v>1</v>
      </c>
      <c r="E2147" t="s">
        <v>3347</v>
      </c>
      <c r="F2147" t="s">
        <v>3344</v>
      </c>
      <c r="G2147" t="s">
        <v>3348</v>
      </c>
      <c r="I2147" t="s">
        <v>3338</v>
      </c>
      <c r="J2147" t="s">
        <v>2232</v>
      </c>
      <c r="K2147" t="s">
        <v>2233</v>
      </c>
      <c r="L2147" t="s">
        <v>3342</v>
      </c>
      <c r="N2147" t="s">
        <v>3349</v>
      </c>
      <c r="O2147" t="s">
        <v>3350</v>
      </c>
      <c r="P2147">
        <v>41149660</v>
      </c>
    </row>
    <row r="2148" spans="1:16">
      <c r="A2148" t="s">
        <v>100</v>
      </c>
      <c r="B2148">
        <v>1</v>
      </c>
      <c r="E2148" t="s">
        <v>3347</v>
      </c>
      <c r="F2148" t="s">
        <v>3344</v>
      </c>
      <c r="G2148" t="s">
        <v>3348</v>
      </c>
      <c r="I2148" t="s">
        <v>3338</v>
      </c>
      <c r="L2148" t="s">
        <v>193</v>
      </c>
      <c r="N2148" t="s">
        <v>3351</v>
      </c>
      <c r="O2148" t="s">
        <v>3352</v>
      </c>
      <c r="P2148">
        <v>41149660</v>
      </c>
    </row>
    <row r="2149" spans="1:16">
      <c r="A2149" t="s">
        <v>100</v>
      </c>
      <c r="B2149">
        <v>2</v>
      </c>
      <c r="E2149" t="s">
        <v>3351</v>
      </c>
      <c r="F2149" t="s">
        <v>3352</v>
      </c>
      <c r="G2149" t="s">
        <v>3353</v>
      </c>
      <c r="I2149" t="s">
        <v>3338</v>
      </c>
      <c r="J2149" t="s">
        <v>2421</v>
      </c>
      <c r="K2149" t="s">
        <v>3354</v>
      </c>
      <c r="L2149" t="s">
        <v>3355</v>
      </c>
      <c r="N2149" t="s">
        <v>3356</v>
      </c>
      <c r="O2149" t="s">
        <v>3357</v>
      </c>
      <c r="P2149">
        <v>41149660</v>
      </c>
    </row>
    <row r="2150" spans="1:16">
      <c r="A2150" t="s">
        <v>100</v>
      </c>
      <c r="B2150">
        <v>2</v>
      </c>
      <c r="E2150" t="s">
        <v>3351</v>
      </c>
      <c r="F2150" t="s">
        <v>3352</v>
      </c>
      <c r="G2150" t="s">
        <v>3353</v>
      </c>
      <c r="I2150" t="s">
        <v>3338</v>
      </c>
      <c r="J2150" t="s">
        <v>2421</v>
      </c>
      <c r="K2150" t="s">
        <v>3354</v>
      </c>
      <c r="L2150" t="s">
        <v>3355</v>
      </c>
      <c r="N2150" t="s">
        <v>3358</v>
      </c>
      <c r="O2150" t="s">
        <v>3359</v>
      </c>
      <c r="P2150">
        <v>41149660</v>
      </c>
    </row>
    <row r="2151" spans="1:16">
      <c r="A2151" t="s">
        <v>100</v>
      </c>
      <c r="B2151">
        <v>2</v>
      </c>
      <c r="E2151" t="s">
        <v>3351</v>
      </c>
      <c r="F2151" t="s">
        <v>3352</v>
      </c>
      <c r="G2151" t="s">
        <v>3353</v>
      </c>
      <c r="I2151" t="s">
        <v>3338</v>
      </c>
      <c r="J2151" t="s">
        <v>2421</v>
      </c>
      <c r="K2151" t="s">
        <v>3354</v>
      </c>
      <c r="L2151" t="s">
        <v>3355</v>
      </c>
      <c r="N2151" t="s">
        <v>3360</v>
      </c>
      <c r="O2151" t="s">
        <v>3361</v>
      </c>
      <c r="P2151">
        <v>41149660</v>
      </c>
    </row>
    <row r="2152" spans="1:16">
      <c r="A2152" t="s">
        <v>100</v>
      </c>
      <c r="B2152">
        <v>1</v>
      </c>
      <c r="E2152" t="s">
        <v>3347</v>
      </c>
      <c r="F2152" t="s">
        <v>3344</v>
      </c>
      <c r="G2152" t="s">
        <v>3348</v>
      </c>
      <c r="I2152" t="s">
        <v>3338</v>
      </c>
      <c r="J2152" t="s">
        <v>2236</v>
      </c>
      <c r="K2152" t="s">
        <v>3362</v>
      </c>
      <c r="L2152" t="s">
        <v>3363</v>
      </c>
      <c r="N2152" t="s">
        <v>3364</v>
      </c>
      <c r="O2152" t="s">
        <v>3365</v>
      </c>
      <c r="P2152">
        <v>41149660</v>
      </c>
    </row>
    <row r="2153" spans="1:16">
      <c r="A2153" t="s">
        <v>100</v>
      </c>
      <c r="B2153">
        <v>1</v>
      </c>
      <c r="E2153" t="s">
        <v>3347</v>
      </c>
      <c r="F2153" t="s">
        <v>3344</v>
      </c>
      <c r="G2153" t="s">
        <v>3348</v>
      </c>
      <c r="I2153" t="s">
        <v>3338</v>
      </c>
      <c r="L2153" t="s">
        <v>193</v>
      </c>
      <c r="N2153" t="s">
        <v>3366</v>
      </c>
      <c r="O2153" t="s">
        <v>3367</v>
      </c>
      <c r="P2153">
        <v>41149660</v>
      </c>
    </row>
    <row r="2154" spans="1:16">
      <c r="A2154" t="s">
        <v>100</v>
      </c>
      <c r="B2154">
        <v>2</v>
      </c>
      <c r="E2154" t="s">
        <v>3366</v>
      </c>
      <c r="F2154" t="s">
        <v>3367</v>
      </c>
      <c r="G2154" t="s">
        <v>3368</v>
      </c>
      <c r="I2154" t="s">
        <v>3338</v>
      </c>
      <c r="J2154" t="s">
        <v>2421</v>
      </c>
      <c r="K2154" t="s">
        <v>3354</v>
      </c>
      <c r="L2154" t="s">
        <v>3369</v>
      </c>
      <c r="N2154" t="s">
        <v>3370</v>
      </c>
      <c r="O2154" t="s">
        <v>3359</v>
      </c>
      <c r="P2154">
        <v>41149660</v>
      </c>
    </row>
    <row r="2155" spans="1:16">
      <c r="A2155" t="s">
        <v>100</v>
      </c>
      <c r="B2155">
        <v>2</v>
      </c>
      <c r="E2155" t="s">
        <v>3366</v>
      </c>
      <c r="F2155" t="s">
        <v>3367</v>
      </c>
      <c r="G2155" t="s">
        <v>3368</v>
      </c>
      <c r="I2155" t="s">
        <v>3338</v>
      </c>
      <c r="J2155" t="s">
        <v>2421</v>
      </c>
      <c r="K2155" t="s">
        <v>3354</v>
      </c>
      <c r="L2155" t="s">
        <v>3369</v>
      </c>
      <c r="N2155" t="s">
        <v>3371</v>
      </c>
      <c r="O2155" t="s">
        <v>3372</v>
      </c>
      <c r="P2155">
        <v>41149660</v>
      </c>
    </row>
    <row r="2156" spans="1:16">
      <c r="A2156" t="s">
        <v>100</v>
      </c>
      <c r="B2156">
        <v>2</v>
      </c>
      <c r="E2156" t="s">
        <v>3366</v>
      </c>
      <c r="F2156" t="s">
        <v>3367</v>
      </c>
      <c r="G2156" t="s">
        <v>3368</v>
      </c>
      <c r="I2156" t="s">
        <v>3338</v>
      </c>
      <c r="J2156" t="s">
        <v>2421</v>
      </c>
      <c r="K2156" t="s">
        <v>3354</v>
      </c>
      <c r="L2156" t="s">
        <v>3369</v>
      </c>
      <c r="N2156" t="s">
        <v>3373</v>
      </c>
      <c r="O2156" t="s">
        <v>3374</v>
      </c>
      <c r="P2156">
        <v>41149660</v>
      </c>
    </row>
    <row r="2157" spans="1:16">
      <c r="A2157" t="s">
        <v>100</v>
      </c>
      <c r="B2157">
        <v>2</v>
      </c>
      <c r="E2157" t="s">
        <v>3366</v>
      </c>
      <c r="F2157" t="s">
        <v>3367</v>
      </c>
      <c r="G2157" t="s">
        <v>3368</v>
      </c>
      <c r="I2157" t="s">
        <v>3338</v>
      </c>
      <c r="J2157" t="s">
        <v>2236</v>
      </c>
      <c r="K2157" t="s">
        <v>3362</v>
      </c>
      <c r="L2157" t="s">
        <v>3363</v>
      </c>
      <c r="N2157" t="s">
        <v>3375</v>
      </c>
      <c r="O2157" t="s">
        <v>3376</v>
      </c>
      <c r="P2157">
        <v>41149660</v>
      </c>
    </row>
    <row r="2158" spans="1:16">
      <c r="A2158" t="s">
        <v>100</v>
      </c>
      <c r="B2158">
        <v>0</v>
      </c>
      <c r="G2158" t="s">
        <v>3338</v>
      </c>
      <c r="I2158" t="s">
        <v>3338</v>
      </c>
      <c r="N2158" t="s">
        <v>3377</v>
      </c>
      <c r="O2158" t="s">
        <v>3346</v>
      </c>
      <c r="P2158">
        <v>41149660</v>
      </c>
    </row>
    <row r="2159" spans="1:16">
      <c r="A2159" t="s">
        <v>100</v>
      </c>
      <c r="B2159">
        <v>1</v>
      </c>
      <c r="E2159" t="s">
        <v>3377</v>
      </c>
      <c r="F2159" t="s">
        <v>3346</v>
      </c>
      <c r="G2159" t="s">
        <v>3378</v>
      </c>
      <c r="I2159" t="s">
        <v>3338</v>
      </c>
      <c r="L2159" t="s">
        <v>193</v>
      </c>
      <c r="N2159" t="s">
        <v>3379</v>
      </c>
      <c r="O2159" t="s">
        <v>3380</v>
      </c>
      <c r="P2159">
        <v>41149660</v>
      </c>
    </row>
    <row r="2160" spans="1:16">
      <c r="A2160" t="s">
        <v>100</v>
      </c>
      <c r="B2160">
        <v>2</v>
      </c>
      <c r="E2160" t="s">
        <v>3379</v>
      </c>
      <c r="F2160" t="s">
        <v>3380</v>
      </c>
      <c r="G2160" t="s">
        <v>3381</v>
      </c>
      <c r="I2160" t="s">
        <v>3338</v>
      </c>
      <c r="J2160" t="s">
        <v>2421</v>
      </c>
      <c r="K2160" t="s">
        <v>3354</v>
      </c>
      <c r="L2160" t="s">
        <v>3369</v>
      </c>
      <c r="N2160" t="s">
        <v>3382</v>
      </c>
      <c r="O2160" t="s">
        <v>3352</v>
      </c>
      <c r="P2160">
        <v>41149660</v>
      </c>
    </row>
    <row r="2161" spans="1:16">
      <c r="A2161" t="s">
        <v>100</v>
      </c>
      <c r="B2161">
        <v>2</v>
      </c>
      <c r="E2161" t="s">
        <v>3379</v>
      </c>
      <c r="F2161" t="s">
        <v>3380</v>
      </c>
      <c r="G2161" t="s">
        <v>3381</v>
      </c>
      <c r="I2161" t="s">
        <v>3338</v>
      </c>
      <c r="L2161" t="s">
        <v>3383</v>
      </c>
      <c r="N2161" t="s">
        <v>3384</v>
      </c>
      <c r="O2161" t="s">
        <v>3385</v>
      </c>
      <c r="P2161">
        <v>41149660</v>
      </c>
    </row>
    <row r="2162" spans="1:16">
      <c r="A2162" t="s">
        <v>100</v>
      </c>
      <c r="B2162">
        <v>2</v>
      </c>
      <c r="E2162" t="s">
        <v>3379</v>
      </c>
      <c r="F2162" t="s">
        <v>3380</v>
      </c>
      <c r="G2162" t="s">
        <v>3381</v>
      </c>
      <c r="I2162" t="s">
        <v>3338</v>
      </c>
      <c r="J2162" t="s">
        <v>2232</v>
      </c>
      <c r="K2162" t="s">
        <v>2233</v>
      </c>
      <c r="L2162" t="s">
        <v>3342</v>
      </c>
      <c r="N2162" t="s">
        <v>3386</v>
      </c>
      <c r="O2162" t="s">
        <v>3350</v>
      </c>
      <c r="P2162">
        <v>41149660</v>
      </c>
    </row>
    <row r="2163" spans="1:16">
      <c r="A2163" t="s">
        <v>100</v>
      </c>
      <c r="B2163">
        <v>0</v>
      </c>
      <c r="G2163" t="s">
        <v>3338</v>
      </c>
      <c r="I2163" t="s">
        <v>3338</v>
      </c>
      <c r="N2163" t="s">
        <v>3395</v>
      </c>
      <c r="O2163" t="s">
        <v>3396</v>
      </c>
      <c r="P2163">
        <v>41149660</v>
      </c>
    </row>
    <row r="2164" spans="1:16">
      <c r="A2164" t="s">
        <v>100</v>
      </c>
      <c r="B2164">
        <v>1</v>
      </c>
      <c r="E2164" t="s">
        <v>3395</v>
      </c>
      <c r="F2164" t="s">
        <v>3396</v>
      </c>
      <c r="G2164" t="s">
        <v>3397</v>
      </c>
      <c r="I2164" t="s">
        <v>3338</v>
      </c>
      <c r="L2164" t="s">
        <v>3342</v>
      </c>
      <c r="N2164" t="s">
        <v>3398</v>
      </c>
      <c r="O2164" t="s">
        <v>3399</v>
      </c>
      <c r="P2164">
        <v>41149660</v>
      </c>
    </row>
    <row r="2165" spans="1:16">
      <c r="A2165" t="s">
        <v>100</v>
      </c>
      <c r="B2165">
        <v>1</v>
      </c>
      <c r="E2165" t="s">
        <v>3395</v>
      </c>
      <c r="F2165" t="s">
        <v>3396</v>
      </c>
      <c r="G2165" t="s">
        <v>3397</v>
      </c>
      <c r="I2165" t="s">
        <v>3338</v>
      </c>
      <c r="J2165" t="s">
        <v>2232</v>
      </c>
      <c r="K2165" t="s">
        <v>2233</v>
      </c>
      <c r="L2165" t="s">
        <v>3342</v>
      </c>
      <c r="N2165" t="s">
        <v>3400</v>
      </c>
      <c r="O2165" t="s">
        <v>3401</v>
      </c>
      <c r="P2165">
        <v>41149660</v>
      </c>
    </row>
    <row r="2166" spans="1:16">
      <c r="A2166" t="s">
        <v>100</v>
      </c>
      <c r="B2166">
        <v>1</v>
      </c>
      <c r="E2166" t="s">
        <v>3395</v>
      </c>
      <c r="F2166" t="s">
        <v>3396</v>
      </c>
      <c r="G2166" t="s">
        <v>3397</v>
      </c>
      <c r="I2166" t="s">
        <v>3338</v>
      </c>
      <c r="L2166" t="s">
        <v>3342</v>
      </c>
      <c r="N2166" t="s">
        <v>3402</v>
      </c>
      <c r="O2166" t="s">
        <v>3403</v>
      </c>
      <c r="P2166">
        <v>41149660</v>
      </c>
    </row>
    <row r="2167" spans="1:16">
      <c r="A2167" t="s">
        <v>100</v>
      </c>
      <c r="B2167">
        <v>1</v>
      </c>
      <c r="E2167" t="s">
        <v>3395</v>
      </c>
      <c r="F2167" t="s">
        <v>3396</v>
      </c>
      <c r="G2167" t="s">
        <v>3397</v>
      </c>
      <c r="I2167" t="s">
        <v>3338</v>
      </c>
      <c r="J2167" t="s">
        <v>2232</v>
      </c>
      <c r="K2167" t="s">
        <v>2233</v>
      </c>
      <c r="L2167" t="s">
        <v>3342</v>
      </c>
      <c r="N2167" t="s">
        <v>3404</v>
      </c>
      <c r="O2167" t="s">
        <v>3405</v>
      </c>
      <c r="P2167">
        <v>41149660</v>
      </c>
    </row>
    <row r="2168" spans="1:16">
      <c r="A2168" t="s">
        <v>100</v>
      </c>
      <c r="B2168">
        <v>0</v>
      </c>
      <c r="G2168" t="s">
        <v>3338</v>
      </c>
      <c r="I2168" t="s">
        <v>3338</v>
      </c>
      <c r="N2168" t="s">
        <v>3406</v>
      </c>
      <c r="O2168" t="s">
        <v>3407</v>
      </c>
      <c r="P2168">
        <v>41149660</v>
      </c>
    </row>
    <row r="2169" spans="1:16">
      <c r="A2169" t="s">
        <v>100</v>
      </c>
      <c r="B2169">
        <v>1</v>
      </c>
      <c r="E2169" t="s">
        <v>3406</v>
      </c>
      <c r="F2169" t="s">
        <v>3407</v>
      </c>
      <c r="G2169" t="s">
        <v>3408</v>
      </c>
      <c r="I2169" t="s">
        <v>3338</v>
      </c>
      <c r="J2169" t="s">
        <v>2421</v>
      </c>
      <c r="K2169" t="s">
        <v>3354</v>
      </c>
      <c r="L2169" t="s">
        <v>3369</v>
      </c>
      <c r="N2169" t="s">
        <v>3409</v>
      </c>
      <c r="O2169" t="s">
        <v>3410</v>
      </c>
      <c r="P2169">
        <v>41149660</v>
      </c>
    </row>
    <row r="2170" spans="1:16">
      <c r="A2170" t="s">
        <v>100</v>
      </c>
      <c r="B2170">
        <v>1</v>
      </c>
      <c r="E2170" t="s">
        <v>3406</v>
      </c>
      <c r="F2170" t="s">
        <v>3407</v>
      </c>
      <c r="G2170" t="s">
        <v>3408</v>
      </c>
      <c r="I2170" t="s">
        <v>3338</v>
      </c>
      <c r="L2170" t="s">
        <v>193</v>
      </c>
      <c r="N2170" t="s">
        <v>3411</v>
      </c>
      <c r="O2170" t="s">
        <v>3412</v>
      </c>
      <c r="P2170">
        <v>41149660</v>
      </c>
    </row>
    <row r="2171" spans="1:16">
      <c r="A2171" t="s">
        <v>100</v>
      </c>
      <c r="B2171">
        <v>2</v>
      </c>
      <c r="E2171" t="s">
        <v>3411</v>
      </c>
      <c r="F2171" t="s">
        <v>3412</v>
      </c>
      <c r="G2171" t="s">
        <v>3413</v>
      </c>
      <c r="I2171" t="s">
        <v>3338</v>
      </c>
      <c r="L2171" t="s">
        <v>3342</v>
      </c>
      <c r="N2171" t="s">
        <v>3414</v>
      </c>
      <c r="O2171" t="s">
        <v>3415</v>
      </c>
      <c r="P2171">
        <v>41149660</v>
      </c>
    </row>
    <row r="2172" spans="1:16">
      <c r="A2172" t="s">
        <v>100</v>
      </c>
      <c r="B2172">
        <v>2</v>
      </c>
      <c r="E2172" t="s">
        <v>3411</v>
      </c>
      <c r="F2172" t="s">
        <v>3412</v>
      </c>
      <c r="G2172" t="s">
        <v>3413</v>
      </c>
      <c r="I2172" t="s">
        <v>3338</v>
      </c>
      <c r="J2172" t="s">
        <v>2232</v>
      </c>
      <c r="K2172" t="s">
        <v>2233</v>
      </c>
      <c r="L2172" t="s">
        <v>3342</v>
      </c>
      <c r="N2172" t="s">
        <v>3416</v>
      </c>
      <c r="O2172" t="s">
        <v>3417</v>
      </c>
      <c r="P2172">
        <v>41149660</v>
      </c>
    </row>
    <row r="2173" spans="1:16">
      <c r="A2173" t="s">
        <v>100</v>
      </c>
      <c r="B2173">
        <v>2</v>
      </c>
      <c r="E2173" t="s">
        <v>3411</v>
      </c>
      <c r="F2173" t="s">
        <v>3412</v>
      </c>
      <c r="G2173" t="s">
        <v>3413</v>
      </c>
      <c r="I2173" t="s">
        <v>3338</v>
      </c>
      <c r="J2173" t="s">
        <v>2232</v>
      </c>
      <c r="K2173" t="s">
        <v>2233</v>
      </c>
      <c r="L2173" t="s">
        <v>3342</v>
      </c>
      <c r="N2173" t="s">
        <v>3418</v>
      </c>
      <c r="O2173" t="s">
        <v>3419</v>
      </c>
      <c r="P2173">
        <v>41149660</v>
      </c>
    </row>
    <row r="2174" spans="1:16">
      <c r="A2174" t="s">
        <v>100</v>
      </c>
      <c r="B2174">
        <v>2</v>
      </c>
      <c r="E2174" t="s">
        <v>3411</v>
      </c>
      <c r="F2174" t="s">
        <v>3412</v>
      </c>
      <c r="G2174" t="s">
        <v>3413</v>
      </c>
      <c r="I2174" t="s">
        <v>3338</v>
      </c>
      <c r="L2174" t="s">
        <v>3342</v>
      </c>
      <c r="N2174" t="s">
        <v>3420</v>
      </c>
      <c r="O2174" t="s">
        <v>3421</v>
      </c>
      <c r="P2174">
        <v>41149660</v>
      </c>
    </row>
    <row r="2175" spans="1:16">
      <c r="A2175" t="s">
        <v>100</v>
      </c>
      <c r="B2175">
        <v>2</v>
      </c>
      <c r="E2175" t="s">
        <v>3411</v>
      </c>
      <c r="F2175" t="s">
        <v>3412</v>
      </c>
      <c r="G2175" t="s">
        <v>3413</v>
      </c>
      <c r="I2175" t="s">
        <v>3338</v>
      </c>
      <c r="J2175" t="s">
        <v>2232</v>
      </c>
      <c r="K2175" t="s">
        <v>2233</v>
      </c>
      <c r="L2175" t="s">
        <v>3342</v>
      </c>
      <c r="N2175" t="s">
        <v>3422</v>
      </c>
      <c r="O2175" t="s">
        <v>3423</v>
      </c>
      <c r="P2175">
        <v>41149660</v>
      </c>
    </row>
    <row r="2176" spans="1:16">
      <c r="A2176" t="s">
        <v>100</v>
      </c>
      <c r="B2176">
        <v>0</v>
      </c>
      <c r="G2176" t="s">
        <v>3338</v>
      </c>
      <c r="I2176" t="s">
        <v>3338</v>
      </c>
      <c r="N2176" t="s">
        <v>3424</v>
      </c>
      <c r="O2176" t="s">
        <v>3425</v>
      </c>
      <c r="P2176">
        <v>41149660</v>
      </c>
    </row>
    <row r="2177" spans="1:16">
      <c r="A2177" t="s">
        <v>100</v>
      </c>
      <c r="B2177">
        <v>1</v>
      </c>
      <c r="E2177" t="s">
        <v>3424</v>
      </c>
      <c r="F2177" t="s">
        <v>3425</v>
      </c>
      <c r="G2177" t="s">
        <v>3426</v>
      </c>
      <c r="I2177" t="s">
        <v>3338</v>
      </c>
      <c r="J2177" t="s">
        <v>2421</v>
      </c>
      <c r="K2177" t="s">
        <v>3354</v>
      </c>
      <c r="L2177" t="s">
        <v>3369</v>
      </c>
      <c r="N2177" t="s">
        <v>3427</v>
      </c>
      <c r="O2177" t="s">
        <v>3428</v>
      </c>
      <c r="P2177">
        <v>41149660</v>
      </c>
    </row>
    <row r="2178" spans="1:16">
      <c r="A2178" t="s">
        <v>100</v>
      </c>
      <c r="B2178">
        <v>1</v>
      </c>
      <c r="E2178" t="s">
        <v>3424</v>
      </c>
      <c r="F2178" t="s">
        <v>3425</v>
      </c>
      <c r="G2178" t="s">
        <v>3426</v>
      </c>
      <c r="I2178" t="s">
        <v>3338</v>
      </c>
      <c r="J2178" t="s">
        <v>2421</v>
      </c>
      <c r="K2178" t="s">
        <v>3354</v>
      </c>
      <c r="L2178" t="s">
        <v>3369</v>
      </c>
      <c r="N2178" t="s">
        <v>3429</v>
      </c>
      <c r="O2178" t="s">
        <v>3430</v>
      </c>
      <c r="P2178">
        <v>41149660</v>
      </c>
    </row>
    <row r="2179" spans="1:16">
      <c r="A2179" t="s">
        <v>100</v>
      </c>
      <c r="B2179">
        <v>1</v>
      </c>
      <c r="E2179" t="s">
        <v>3424</v>
      </c>
      <c r="F2179" t="s">
        <v>3425</v>
      </c>
      <c r="G2179" t="s">
        <v>3426</v>
      </c>
      <c r="I2179" t="s">
        <v>3338</v>
      </c>
      <c r="J2179" t="s">
        <v>2232</v>
      </c>
      <c r="K2179" t="s">
        <v>2233</v>
      </c>
      <c r="L2179" t="s">
        <v>3342</v>
      </c>
      <c r="N2179" t="s">
        <v>3431</v>
      </c>
      <c r="O2179" t="s">
        <v>3432</v>
      </c>
      <c r="P2179">
        <v>41149660</v>
      </c>
    </row>
    <row r="2180" spans="1:16">
      <c r="A2180" t="s">
        <v>100</v>
      </c>
      <c r="B2180">
        <v>0</v>
      </c>
      <c r="G2180" t="s">
        <v>3338</v>
      </c>
      <c r="I2180" t="s">
        <v>3338</v>
      </c>
      <c r="N2180" t="s">
        <v>3433</v>
      </c>
      <c r="O2180" t="s">
        <v>3434</v>
      </c>
      <c r="P2180">
        <v>41149660</v>
      </c>
    </row>
    <row r="2181" spans="1:16">
      <c r="A2181" t="s">
        <v>100</v>
      </c>
      <c r="B2181">
        <v>1</v>
      </c>
      <c r="E2181" t="s">
        <v>3433</v>
      </c>
      <c r="F2181" t="s">
        <v>3434</v>
      </c>
      <c r="G2181" t="s">
        <v>3435</v>
      </c>
      <c r="I2181" t="s">
        <v>3338</v>
      </c>
      <c r="J2181" t="s">
        <v>2232</v>
      </c>
      <c r="K2181" t="s">
        <v>2233</v>
      </c>
      <c r="L2181" t="s">
        <v>3342</v>
      </c>
      <c r="N2181" t="s">
        <v>3436</v>
      </c>
      <c r="O2181" t="s">
        <v>3437</v>
      </c>
      <c r="P2181">
        <v>41149660</v>
      </c>
    </row>
    <row r="2182" spans="1:16">
      <c r="A2182" t="s">
        <v>100</v>
      </c>
      <c r="B2182">
        <v>1</v>
      </c>
      <c r="E2182" t="s">
        <v>3433</v>
      </c>
      <c r="F2182" t="s">
        <v>3434</v>
      </c>
      <c r="G2182" t="s">
        <v>3435</v>
      </c>
      <c r="I2182" t="s">
        <v>3338</v>
      </c>
      <c r="J2182" t="s">
        <v>2232</v>
      </c>
      <c r="K2182" t="s">
        <v>2233</v>
      </c>
      <c r="L2182" t="s">
        <v>3342</v>
      </c>
      <c r="N2182" t="s">
        <v>3438</v>
      </c>
      <c r="O2182" t="s">
        <v>3439</v>
      </c>
      <c r="P2182">
        <v>41149660</v>
      </c>
    </row>
    <row r="2183" spans="1:16">
      <c r="A2183" t="s">
        <v>100</v>
      </c>
      <c r="B2183">
        <v>1</v>
      </c>
      <c r="E2183" t="s">
        <v>3433</v>
      </c>
      <c r="F2183" t="s">
        <v>3434</v>
      </c>
      <c r="G2183" t="s">
        <v>3435</v>
      </c>
      <c r="I2183" t="s">
        <v>3338</v>
      </c>
      <c r="J2183" t="s">
        <v>2232</v>
      </c>
      <c r="K2183" t="s">
        <v>2233</v>
      </c>
      <c r="L2183" t="s">
        <v>3342</v>
      </c>
      <c r="N2183" t="s">
        <v>3440</v>
      </c>
      <c r="O2183" t="s">
        <v>3441</v>
      </c>
      <c r="P2183">
        <v>41149660</v>
      </c>
    </row>
    <row r="2184" spans="1:16">
      <c r="A2184" t="s">
        <v>100</v>
      </c>
      <c r="B2184">
        <v>1</v>
      </c>
      <c r="E2184" t="s">
        <v>3433</v>
      </c>
      <c r="F2184" t="s">
        <v>3434</v>
      </c>
      <c r="G2184" t="s">
        <v>3435</v>
      </c>
      <c r="I2184" t="s">
        <v>3338</v>
      </c>
      <c r="J2184" t="s">
        <v>2232</v>
      </c>
      <c r="K2184" t="s">
        <v>2233</v>
      </c>
      <c r="L2184" t="s">
        <v>3342</v>
      </c>
      <c r="N2184" t="s">
        <v>3442</v>
      </c>
      <c r="O2184" t="s">
        <v>3443</v>
      </c>
      <c r="P2184">
        <v>41149660</v>
      </c>
    </row>
    <row r="2185" spans="1:16">
      <c r="A2185" t="s">
        <v>100</v>
      </c>
      <c r="B2185">
        <v>1</v>
      </c>
      <c r="E2185" t="s">
        <v>3433</v>
      </c>
      <c r="F2185" t="s">
        <v>3434</v>
      </c>
      <c r="G2185" t="s">
        <v>3435</v>
      </c>
      <c r="I2185" t="s">
        <v>3338</v>
      </c>
      <c r="J2185" t="s">
        <v>2232</v>
      </c>
      <c r="K2185" t="s">
        <v>2233</v>
      </c>
      <c r="L2185" t="s">
        <v>3342</v>
      </c>
      <c r="N2185" t="s">
        <v>3444</v>
      </c>
      <c r="O2185" t="s">
        <v>3445</v>
      </c>
      <c r="P2185">
        <v>41149660</v>
      </c>
    </row>
    <row r="2186" spans="1:16">
      <c r="A2186" t="s">
        <v>100</v>
      </c>
      <c r="B2186">
        <v>1</v>
      </c>
      <c r="E2186" t="s">
        <v>3433</v>
      </c>
      <c r="F2186" t="s">
        <v>3434</v>
      </c>
      <c r="G2186" t="s">
        <v>3435</v>
      </c>
      <c r="I2186" t="s">
        <v>3338</v>
      </c>
      <c r="J2186" t="s">
        <v>2232</v>
      </c>
      <c r="K2186" t="s">
        <v>2233</v>
      </c>
      <c r="L2186" t="s">
        <v>3342</v>
      </c>
      <c r="N2186" t="s">
        <v>3446</v>
      </c>
      <c r="O2186" t="s">
        <v>3447</v>
      </c>
      <c r="P2186">
        <v>41149660</v>
      </c>
    </row>
    <row r="2187" spans="1:16">
      <c r="A2187" t="s">
        <v>100</v>
      </c>
      <c r="B2187">
        <v>0</v>
      </c>
      <c r="G2187" t="s">
        <v>3338</v>
      </c>
      <c r="I2187" t="s">
        <v>3338</v>
      </c>
      <c r="N2187" t="s">
        <v>3448</v>
      </c>
      <c r="O2187" t="s">
        <v>3449</v>
      </c>
      <c r="P2187">
        <v>41149660</v>
      </c>
    </row>
    <row r="2188" spans="1:16">
      <c r="A2188" t="s">
        <v>100</v>
      </c>
      <c r="B2188">
        <v>1</v>
      </c>
      <c r="E2188" t="s">
        <v>3448</v>
      </c>
      <c r="F2188" t="s">
        <v>3449</v>
      </c>
      <c r="G2188" t="s">
        <v>3450</v>
      </c>
      <c r="I2188" t="s">
        <v>3338</v>
      </c>
      <c r="J2188" t="s">
        <v>2421</v>
      </c>
      <c r="K2188" t="s">
        <v>3354</v>
      </c>
      <c r="L2188" t="s">
        <v>3451</v>
      </c>
      <c r="N2188" t="s">
        <v>3452</v>
      </c>
      <c r="O2188" t="s">
        <v>3453</v>
      </c>
      <c r="P2188">
        <v>41149660</v>
      </c>
    </row>
    <row r="2189" spans="1:16">
      <c r="A2189" t="s">
        <v>100</v>
      </c>
      <c r="B2189">
        <v>0</v>
      </c>
      <c r="G2189" t="s">
        <v>3456</v>
      </c>
      <c r="I2189" t="s">
        <v>3456</v>
      </c>
      <c r="M2189" t="s">
        <v>3460</v>
      </c>
      <c r="N2189" t="s">
        <v>3485</v>
      </c>
      <c r="O2189" t="s">
        <v>3486</v>
      </c>
      <c r="P2189">
        <v>41149660</v>
      </c>
    </row>
    <row r="2190" spans="1:16">
      <c r="A2190" t="s">
        <v>104</v>
      </c>
      <c r="B2190">
        <v>0</v>
      </c>
      <c r="G2190" t="s">
        <v>3338</v>
      </c>
      <c r="I2190" t="s">
        <v>3338</v>
      </c>
      <c r="N2190" t="s">
        <v>3339</v>
      </c>
      <c r="O2190" t="s">
        <v>3340</v>
      </c>
      <c r="P2190">
        <v>41146024</v>
      </c>
    </row>
    <row r="2191" spans="1:16">
      <c r="A2191" t="s">
        <v>104</v>
      </c>
      <c r="B2191">
        <v>1</v>
      </c>
      <c r="E2191" t="s">
        <v>3339</v>
      </c>
      <c r="F2191" t="s">
        <v>3340</v>
      </c>
      <c r="G2191" t="s">
        <v>3341</v>
      </c>
      <c r="I2191" t="s">
        <v>3338</v>
      </c>
      <c r="J2191" t="s">
        <v>2232</v>
      </c>
      <c r="K2191" t="s">
        <v>2233</v>
      </c>
      <c r="L2191" t="s">
        <v>3342</v>
      </c>
      <c r="N2191" t="s">
        <v>3343</v>
      </c>
      <c r="O2191" t="s">
        <v>3344</v>
      </c>
      <c r="P2191">
        <v>41146024</v>
      </c>
    </row>
    <row r="2192" spans="1:16">
      <c r="A2192" t="s">
        <v>104</v>
      </c>
      <c r="B2192">
        <v>1</v>
      </c>
      <c r="E2192" t="s">
        <v>3339</v>
      </c>
      <c r="F2192" t="s">
        <v>3340</v>
      </c>
      <c r="G2192" t="s">
        <v>3341</v>
      </c>
      <c r="I2192" t="s">
        <v>3338</v>
      </c>
      <c r="J2192" t="s">
        <v>2232</v>
      </c>
      <c r="K2192" t="s">
        <v>2233</v>
      </c>
      <c r="L2192" t="s">
        <v>3342</v>
      </c>
      <c r="N2192" t="s">
        <v>3345</v>
      </c>
      <c r="O2192" t="s">
        <v>3346</v>
      </c>
      <c r="P2192">
        <v>41146024</v>
      </c>
    </row>
    <row r="2193" spans="1:16">
      <c r="A2193" t="s">
        <v>104</v>
      </c>
      <c r="B2193">
        <v>0</v>
      </c>
      <c r="G2193" t="s">
        <v>3338</v>
      </c>
      <c r="I2193" t="s">
        <v>3338</v>
      </c>
      <c r="N2193" t="s">
        <v>3347</v>
      </c>
      <c r="O2193" t="s">
        <v>3344</v>
      </c>
      <c r="P2193">
        <v>41146024</v>
      </c>
    </row>
    <row r="2194" spans="1:16">
      <c r="A2194" t="s">
        <v>104</v>
      </c>
      <c r="B2194">
        <v>1</v>
      </c>
      <c r="E2194" t="s">
        <v>3347</v>
      </c>
      <c r="F2194" t="s">
        <v>3344</v>
      </c>
      <c r="G2194" t="s">
        <v>3348</v>
      </c>
      <c r="I2194" t="s">
        <v>3338</v>
      </c>
      <c r="J2194" t="s">
        <v>2232</v>
      </c>
      <c r="K2194" t="s">
        <v>2233</v>
      </c>
      <c r="L2194" t="s">
        <v>3342</v>
      </c>
      <c r="N2194" t="s">
        <v>3349</v>
      </c>
      <c r="O2194" t="s">
        <v>3350</v>
      </c>
      <c r="P2194">
        <v>41146024</v>
      </c>
    </row>
    <row r="2195" spans="1:16">
      <c r="A2195" t="s">
        <v>104</v>
      </c>
      <c r="B2195">
        <v>1</v>
      </c>
      <c r="E2195" t="s">
        <v>3347</v>
      </c>
      <c r="F2195" t="s">
        <v>3344</v>
      </c>
      <c r="G2195" t="s">
        <v>3348</v>
      </c>
      <c r="I2195" t="s">
        <v>3338</v>
      </c>
      <c r="L2195" t="s">
        <v>193</v>
      </c>
      <c r="N2195" t="s">
        <v>3351</v>
      </c>
      <c r="O2195" t="s">
        <v>3352</v>
      </c>
      <c r="P2195">
        <v>41146024</v>
      </c>
    </row>
    <row r="2196" spans="1:16">
      <c r="A2196" t="s">
        <v>104</v>
      </c>
      <c r="B2196">
        <v>2</v>
      </c>
      <c r="E2196" t="s">
        <v>3351</v>
      </c>
      <c r="F2196" t="s">
        <v>3352</v>
      </c>
      <c r="G2196" t="s">
        <v>3353</v>
      </c>
      <c r="I2196" t="s">
        <v>3338</v>
      </c>
      <c r="J2196" t="s">
        <v>2421</v>
      </c>
      <c r="K2196" t="s">
        <v>3354</v>
      </c>
      <c r="L2196" t="s">
        <v>3355</v>
      </c>
      <c r="N2196" t="s">
        <v>3356</v>
      </c>
      <c r="O2196" t="s">
        <v>3357</v>
      </c>
      <c r="P2196">
        <v>41146024</v>
      </c>
    </row>
    <row r="2197" spans="1:16">
      <c r="A2197" t="s">
        <v>104</v>
      </c>
      <c r="B2197">
        <v>2</v>
      </c>
      <c r="E2197" t="s">
        <v>3351</v>
      </c>
      <c r="F2197" t="s">
        <v>3352</v>
      </c>
      <c r="G2197" t="s">
        <v>3353</v>
      </c>
      <c r="I2197" t="s">
        <v>3338</v>
      </c>
      <c r="J2197" t="s">
        <v>2421</v>
      </c>
      <c r="K2197" t="s">
        <v>3354</v>
      </c>
      <c r="L2197" t="s">
        <v>3355</v>
      </c>
      <c r="N2197" t="s">
        <v>3358</v>
      </c>
      <c r="O2197" t="s">
        <v>3359</v>
      </c>
      <c r="P2197">
        <v>41146024</v>
      </c>
    </row>
    <row r="2198" spans="1:16">
      <c r="A2198" t="s">
        <v>104</v>
      </c>
      <c r="B2198">
        <v>2</v>
      </c>
      <c r="E2198" t="s">
        <v>3351</v>
      </c>
      <c r="F2198" t="s">
        <v>3352</v>
      </c>
      <c r="G2198" t="s">
        <v>3353</v>
      </c>
      <c r="I2198" t="s">
        <v>3338</v>
      </c>
      <c r="J2198" t="s">
        <v>2421</v>
      </c>
      <c r="K2198" t="s">
        <v>3354</v>
      </c>
      <c r="L2198" t="s">
        <v>3355</v>
      </c>
      <c r="N2198" t="s">
        <v>3360</v>
      </c>
      <c r="O2198" t="s">
        <v>3361</v>
      </c>
      <c r="P2198">
        <v>41146024</v>
      </c>
    </row>
    <row r="2199" spans="1:16">
      <c r="A2199" t="s">
        <v>104</v>
      </c>
      <c r="B2199">
        <v>1</v>
      </c>
      <c r="E2199" t="s">
        <v>3347</v>
      </c>
      <c r="F2199" t="s">
        <v>3344</v>
      </c>
      <c r="G2199" t="s">
        <v>3348</v>
      </c>
      <c r="I2199" t="s">
        <v>3338</v>
      </c>
      <c r="J2199" t="s">
        <v>2236</v>
      </c>
      <c r="K2199" t="s">
        <v>3362</v>
      </c>
      <c r="L2199" t="s">
        <v>3363</v>
      </c>
      <c r="N2199" t="s">
        <v>3364</v>
      </c>
      <c r="O2199" t="s">
        <v>3365</v>
      </c>
      <c r="P2199">
        <v>41146024</v>
      </c>
    </row>
    <row r="2200" spans="1:16">
      <c r="A2200" t="s">
        <v>104</v>
      </c>
      <c r="B2200">
        <v>1</v>
      </c>
      <c r="E2200" t="s">
        <v>3347</v>
      </c>
      <c r="F2200" t="s">
        <v>3344</v>
      </c>
      <c r="G2200" t="s">
        <v>3348</v>
      </c>
      <c r="I2200" t="s">
        <v>3338</v>
      </c>
      <c r="L2200" t="s">
        <v>193</v>
      </c>
      <c r="N2200" t="s">
        <v>3366</v>
      </c>
      <c r="O2200" t="s">
        <v>3367</v>
      </c>
      <c r="P2200">
        <v>41146024</v>
      </c>
    </row>
    <row r="2201" spans="1:16">
      <c r="A2201" t="s">
        <v>104</v>
      </c>
      <c r="B2201">
        <v>2</v>
      </c>
      <c r="E2201" t="s">
        <v>3366</v>
      </c>
      <c r="F2201" t="s">
        <v>3367</v>
      </c>
      <c r="G2201" t="s">
        <v>3368</v>
      </c>
      <c r="I2201" t="s">
        <v>3338</v>
      </c>
      <c r="J2201" t="s">
        <v>2421</v>
      </c>
      <c r="K2201" t="s">
        <v>3354</v>
      </c>
      <c r="L2201" t="s">
        <v>3369</v>
      </c>
      <c r="N2201" t="s">
        <v>3370</v>
      </c>
      <c r="O2201" t="s">
        <v>3359</v>
      </c>
      <c r="P2201">
        <v>41146024</v>
      </c>
    </row>
    <row r="2202" spans="1:16">
      <c r="A2202" t="s">
        <v>104</v>
      </c>
      <c r="B2202">
        <v>2</v>
      </c>
      <c r="E2202" t="s">
        <v>3366</v>
      </c>
      <c r="F2202" t="s">
        <v>3367</v>
      </c>
      <c r="G2202" t="s">
        <v>3368</v>
      </c>
      <c r="I2202" t="s">
        <v>3338</v>
      </c>
      <c r="J2202" t="s">
        <v>2421</v>
      </c>
      <c r="K2202" t="s">
        <v>3354</v>
      </c>
      <c r="L2202" t="s">
        <v>3369</v>
      </c>
      <c r="N2202" t="s">
        <v>3371</v>
      </c>
      <c r="O2202" t="s">
        <v>3372</v>
      </c>
      <c r="P2202">
        <v>41146024</v>
      </c>
    </row>
    <row r="2203" spans="1:16">
      <c r="A2203" t="s">
        <v>104</v>
      </c>
      <c r="B2203">
        <v>2</v>
      </c>
      <c r="E2203" t="s">
        <v>3366</v>
      </c>
      <c r="F2203" t="s">
        <v>3367</v>
      </c>
      <c r="G2203" t="s">
        <v>3368</v>
      </c>
      <c r="I2203" t="s">
        <v>3338</v>
      </c>
      <c r="J2203" t="s">
        <v>2421</v>
      </c>
      <c r="K2203" t="s">
        <v>3354</v>
      </c>
      <c r="L2203" t="s">
        <v>3369</v>
      </c>
      <c r="N2203" t="s">
        <v>3373</v>
      </c>
      <c r="O2203" t="s">
        <v>3374</v>
      </c>
      <c r="P2203">
        <v>41146024</v>
      </c>
    </row>
    <row r="2204" spans="1:16">
      <c r="A2204" t="s">
        <v>104</v>
      </c>
      <c r="B2204">
        <v>2</v>
      </c>
      <c r="E2204" t="s">
        <v>3366</v>
      </c>
      <c r="F2204" t="s">
        <v>3367</v>
      </c>
      <c r="G2204" t="s">
        <v>3368</v>
      </c>
      <c r="I2204" t="s">
        <v>3338</v>
      </c>
      <c r="J2204" t="s">
        <v>2236</v>
      </c>
      <c r="K2204" t="s">
        <v>3362</v>
      </c>
      <c r="L2204" t="s">
        <v>3363</v>
      </c>
      <c r="N2204" t="s">
        <v>3375</v>
      </c>
      <c r="O2204" t="s">
        <v>3376</v>
      </c>
      <c r="P2204">
        <v>41146024</v>
      </c>
    </row>
    <row r="2205" spans="1:16">
      <c r="A2205" t="s">
        <v>104</v>
      </c>
      <c r="B2205">
        <v>0</v>
      </c>
      <c r="G2205" t="s">
        <v>3338</v>
      </c>
      <c r="I2205" t="s">
        <v>3338</v>
      </c>
      <c r="N2205" t="s">
        <v>3377</v>
      </c>
      <c r="O2205" t="s">
        <v>3346</v>
      </c>
      <c r="P2205">
        <v>41146024</v>
      </c>
    </row>
    <row r="2206" spans="1:16">
      <c r="A2206" t="s">
        <v>104</v>
      </c>
      <c r="B2206">
        <v>1</v>
      </c>
      <c r="E2206" t="s">
        <v>3377</v>
      </c>
      <c r="F2206" t="s">
        <v>3346</v>
      </c>
      <c r="G2206" t="s">
        <v>3378</v>
      </c>
      <c r="I2206" t="s">
        <v>3338</v>
      </c>
      <c r="L2206" t="s">
        <v>193</v>
      </c>
      <c r="N2206" t="s">
        <v>3379</v>
      </c>
      <c r="O2206" t="s">
        <v>3380</v>
      </c>
      <c r="P2206">
        <v>41146024</v>
      </c>
    </row>
    <row r="2207" spans="1:16">
      <c r="A2207" t="s">
        <v>104</v>
      </c>
      <c r="B2207">
        <v>2</v>
      </c>
      <c r="E2207" t="s">
        <v>3379</v>
      </c>
      <c r="F2207" t="s">
        <v>3380</v>
      </c>
      <c r="G2207" t="s">
        <v>3381</v>
      </c>
      <c r="I2207" t="s">
        <v>3338</v>
      </c>
      <c r="J2207" t="s">
        <v>2421</v>
      </c>
      <c r="K2207" t="s">
        <v>3354</v>
      </c>
      <c r="L2207" t="s">
        <v>3369</v>
      </c>
      <c r="N2207" t="s">
        <v>3382</v>
      </c>
      <c r="O2207" t="s">
        <v>3352</v>
      </c>
      <c r="P2207">
        <v>41146024</v>
      </c>
    </row>
    <row r="2208" spans="1:16">
      <c r="A2208" t="s">
        <v>104</v>
      </c>
      <c r="B2208">
        <v>2</v>
      </c>
      <c r="E2208" t="s">
        <v>3379</v>
      </c>
      <c r="F2208" t="s">
        <v>3380</v>
      </c>
      <c r="G2208" t="s">
        <v>3381</v>
      </c>
      <c r="I2208" t="s">
        <v>3338</v>
      </c>
      <c r="J2208" t="s">
        <v>2236</v>
      </c>
      <c r="K2208" t="s">
        <v>3362</v>
      </c>
      <c r="L2208" t="s">
        <v>3383</v>
      </c>
      <c r="N2208" t="s">
        <v>3384</v>
      </c>
      <c r="O2208" t="s">
        <v>3385</v>
      </c>
      <c r="P2208">
        <v>41146024</v>
      </c>
    </row>
    <row r="2209" spans="1:16">
      <c r="A2209" t="s">
        <v>104</v>
      </c>
      <c r="B2209">
        <v>2</v>
      </c>
      <c r="E2209" t="s">
        <v>3379</v>
      </c>
      <c r="F2209" t="s">
        <v>3380</v>
      </c>
      <c r="G2209" t="s">
        <v>3381</v>
      </c>
      <c r="I2209" t="s">
        <v>3338</v>
      </c>
      <c r="J2209" t="s">
        <v>2232</v>
      </c>
      <c r="K2209" t="s">
        <v>2233</v>
      </c>
      <c r="L2209" t="s">
        <v>3342</v>
      </c>
      <c r="N2209" t="s">
        <v>3386</v>
      </c>
      <c r="O2209" t="s">
        <v>3350</v>
      </c>
      <c r="P2209">
        <v>41146024</v>
      </c>
    </row>
    <row r="2210" spans="1:16">
      <c r="A2210" t="s">
        <v>104</v>
      </c>
      <c r="B2210">
        <v>1</v>
      </c>
      <c r="E2210" t="s">
        <v>3377</v>
      </c>
      <c r="F2210" t="s">
        <v>3346</v>
      </c>
      <c r="G2210" t="s">
        <v>3378</v>
      </c>
      <c r="I2210" t="s">
        <v>3338</v>
      </c>
      <c r="L2210" t="s">
        <v>193</v>
      </c>
      <c r="N2210" t="s">
        <v>3387</v>
      </c>
      <c r="O2210" t="s">
        <v>3388</v>
      </c>
      <c r="P2210">
        <v>41146024</v>
      </c>
    </row>
    <row r="2211" spans="1:16">
      <c r="A2211" t="s">
        <v>104</v>
      </c>
      <c r="B2211">
        <v>2</v>
      </c>
      <c r="E2211" t="s">
        <v>3387</v>
      </c>
      <c r="F2211" t="s">
        <v>3388</v>
      </c>
      <c r="G2211" t="s">
        <v>3389</v>
      </c>
      <c r="I2211" t="s">
        <v>3338</v>
      </c>
      <c r="L2211" t="s">
        <v>3369</v>
      </c>
      <c r="N2211" t="s">
        <v>3390</v>
      </c>
      <c r="O2211" t="s">
        <v>3352</v>
      </c>
      <c r="P2211">
        <v>41146024</v>
      </c>
    </row>
    <row r="2212" spans="1:16">
      <c r="A2212" t="s">
        <v>104</v>
      </c>
      <c r="B2212">
        <v>2</v>
      </c>
      <c r="E2212" t="s">
        <v>3387</v>
      </c>
      <c r="F2212" t="s">
        <v>3388</v>
      </c>
      <c r="G2212" t="s">
        <v>3389</v>
      </c>
      <c r="I2212" t="s">
        <v>3338</v>
      </c>
      <c r="L2212" t="s">
        <v>3342</v>
      </c>
      <c r="N2212" t="s">
        <v>3391</v>
      </c>
      <c r="O2212" t="s">
        <v>3392</v>
      </c>
      <c r="P2212">
        <v>41146024</v>
      </c>
    </row>
    <row r="2213" spans="1:16">
      <c r="A2213" t="s">
        <v>104</v>
      </c>
      <c r="B2213">
        <v>2</v>
      </c>
      <c r="E2213" t="s">
        <v>3387</v>
      </c>
      <c r="F2213" t="s">
        <v>3388</v>
      </c>
      <c r="G2213" t="s">
        <v>3389</v>
      </c>
      <c r="I2213" t="s">
        <v>3338</v>
      </c>
      <c r="L2213" t="s">
        <v>3383</v>
      </c>
      <c r="N2213" t="s">
        <v>3393</v>
      </c>
      <c r="O2213" t="s">
        <v>3385</v>
      </c>
      <c r="P2213">
        <v>41146024</v>
      </c>
    </row>
    <row r="2214" spans="1:16">
      <c r="A2214" t="s">
        <v>104</v>
      </c>
      <c r="B2214">
        <v>2</v>
      </c>
      <c r="E2214" t="s">
        <v>3387</v>
      </c>
      <c r="F2214" t="s">
        <v>3388</v>
      </c>
      <c r="G2214" t="s">
        <v>3389</v>
      </c>
      <c r="I2214" t="s">
        <v>3338</v>
      </c>
      <c r="L2214" t="s">
        <v>3342</v>
      </c>
      <c r="N2214" t="s">
        <v>3394</v>
      </c>
      <c r="O2214" t="s">
        <v>3350</v>
      </c>
      <c r="P2214">
        <v>41146024</v>
      </c>
    </row>
    <row r="2215" spans="1:16">
      <c r="A2215" t="s">
        <v>104</v>
      </c>
      <c r="B2215">
        <v>0</v>
      </c>
      <c r="G2215" t="s">
        <v>3338</v>
      </c>
      <c r="I2215" t="s">
        <v>3338</v>
      </c>
      <c r="N2215" t="s">
        <v>3395</v>
      </c>
      <c r="O2215" t="s">
        <v>3396</v>
      </c>
      <c r="P2215">
        <v>41146024</v>
      </c>
    </row>
    <row r="2216" spans="1:16">
      <c r="A2216" t="s">
        <v>104</v>
      </c>
      <c r="B2216">
        <v>1</v>
      </c>
      <c r="E2216" t="s">
        <v>3395</v>
      </c>
      <c r="F2216" t="s">
        <v>3396</v>
      </c>
      <c r="G2216" t="s">
        <v>3397</v>
      </c>
      <c r="I2216" t="s">
        <v>3338</v>
      </c>
      <c r="L2216" t="s">
        <v>3342</v>
      </c>
      <c r="N2216" t="s">
        <v>3398</v>
      </c>
      <c r="O2216" t="s">
        <v>3399</v>
      </c>
      <c r="P2216">
        <v>41146024</v>
      </c>
    </row>
    <row r="2217" spans="1:16">
      <c r="A2217" t="s">
        <v>104</v>
      </c>
      <c r="B2217">
        <v>1</v>
      </c>
      <c r="E2217" t="s">
        <v>3395</v>
      </c>
      <c r="F2217" t="s">
        <v>3396</v>
      </c>
      <c r="G2217" t="s">
        <v>3397</v>
      </c>
      <c r="I2217" t="s">
        <v>3338</v>
      </c>
      <c r="J2217" t="s">
        <v>2232</v>
      </c>
      <c r="K2217" t="s">
        <v>2233</v>
      </c>
      <c r="L2217" t="s">
        <v>3342</v>
      </c>
      <c r="N2217" t="s">
        <v>3400</v>
      </c>
      <c r="O2217" t="s">
        <v>3401</v>
      </c>
      <c r="P2217">
        <v>41146024</v>
      </c>
    </row>
    <row r="2218" spans="1:16">
      <c r="A2218" t="s">
        <v>104</v>
      </c>
      <c r="B2218">
        <v>1</v>
      </c>
      <c r="E2218" t="s">
        <v>3395</v>
      </c>
      <c r="F2218" t="s">
        <v>3396</v>
      </c>
      <c r="G2218" t="s">
        <v>3397</v>
      </c>
      <c r="I2218" t="s">
        <v>3338</v>
      </c>
      <c r="L2218" t="s">
        <v>3342</v>
      </c>
      <c r="N2218" t="s">
        <v>3402</v>
      </c>
      <c r="O2218" t="s">
        <v>3403</v>
      </c>
      <c r="P2218">
        <v>41146024</v>
      </c>
    </row>
    <row r="2219" spans="1:16">
      <c r="A2219" t="s">
        <v>104</v>
      </c>
      <c r="B2219">
        <v>1</v>
      </c>
      <c r="E2219" t="s">
        <v>3395</v>
      </c>
      <c r="F2219" t="s">
        <v>3396</v>
      </c>
      <c r="G2219" t="s">
        <v>3397</v>
      </c>
      <c r="I2219" t="s">
        <v>3338</v>
      </c>
      <c r="J2219" t="s">
        <v>2232</v>
      </c>
      <c r="K2219" t="s">
        <v>2233</v>
      </c>
      <c r="L2219" t="s">
        <v>3342</v>
      </c>
      <c r="N2219" t="s">
        <v>3404</v>
      </c>
      <c r="O2219" t="s">
        <v>3405</v>
      </c>
      <c r="P2219">
        <v>41146024</v>
      </c>
    </row>
    <row r="2220" spans="1:16">
      <c r="A2220" t="s">
        <v>104</v>
      </c>
      <c r="B2220">
        <v>0</v>
      </c>
      <c r="G2220" t="s">
        <v>3338</v>
      </c>
      <c r="I2220" t="s">
        <v>3338</v>
      </c>
      <c r="N2220" t="s">
        <v>3406</v>
      </c>
      <c r="O2220" t="s">
        <v>3407</v>
      </c>
      <c r="P2220">
        <v>41146024</v>
      </c>
    </row>
    <row r="2221" spans="1:16">
      <c r="A2221" t="s">
        <v>104</v>
      </c>
      <c r="B2221">
        <v>1</v>
      </c>
      <c r="E2221" t="s">
        <v>3406</v>
      </c>
      <c r="F2221" t="s">
        <v>3407</v>
      </c>
      <c r="G2221" t="s">
        <v>3408</v>
      </c>
      <c r="I2221" t="s">
        <v>3338</v>
      </c>
      <c r="J2221" t="s">
        <v>2421</v>
      </c>
      <c r="K2221" t="s">
        <v>3354</v>
      </c>
      <c r="L2221" t="s">
        <v>3369</v>
      </c>
      <c r="N2221" t="s">
        <v>3409</v>
      </c>
      <c r="O2221" t="s">
        <v>3410</v>
      </c>
      <c r="P2221">
        <v>41146024</v>
      </c>
    </row>
    <row r="2222" spans="1:16">
      <c r="A2222" t="s">
        <v>104</v>
      </c>
      <c r="B2222">
        <v>1</v>
      </c>
      <c r="E2222" t="s">
        <v>3406</v>
      </c>
      <c r="F2222" t="s">
        <v>3407</v>
      </c>
      <c r="G2222" t="s">
        <v>3408</v>
      </c>
      <c r="I2222" t="s">
        <v>3338</v>
      </c>
      <c r="L2222" t="s">
        <v>193</v>
      </c>
      <c r="N2222" t="s">
        <v>3411</v>
      </c>
      <c r="O2222" t="s">
        <v>3412</v>
      </c>
      <c r="P2222">
        <v>41146024</v>
      </c>
    </row>
    <row r="2223" spans="1:16">
      <c r="A2223" t="s">
        <v>104</v>
      </c>
      <c r="B2223">
        <v>2</v>
      </c>
      <c r="E2223" t="s">
        <v>3411</v>
      </c>
      <c r="F2223" t="s">
        <v>3412</v>
      </c>
      <c r="G2223" t="s">
        <v>3413</v>
      </c>
      <c r="I2223" t="s">
        <v>3338</v>
      </c>
      <c r="J2223" t="s">
        <v>2232</v>
      </c>
      <c r="K2223" t="s">
        <v>2233</v>
      </c>
      <c r="L2223" t="s">
        <v>3342</v>
      </c>
      <c r="N2223" t="s">
        <v>3414</v>
      </c>
      <c r="O2223" t="s">
        <v>3415</v>
      </c>
      <c r="P2223">
        <v>41146024</v>
      </c>
    </row>
    <row r="2224" spans="1:16">
      <c r="A2224" t="s">
        <v>104</v>
      </c>
      <c r="B2224">
        <v>2</v>
      </c>
      <c r="E2224" t="s">
        <v>3411</v>
      </c>
      <c r="F2224" t="s">
        <v>3412</v>
      </c>
      <c r="G2224" t="s">
        <v>3413</v>
      </c>
      <c r="I2224" t="s">
        <v>3338</v>
      </c>
      <c r="J2224" t="s">
        <v>2232</v>
      </c>
      <c r="K2224" t="s">
        <v>2233</v>
      </c>
      <c r="L2224" t="s">
        <v>3342</v>
      </c>
      <c r="N2224" t="s">
        <v>3416</v>
      </c>
      <c r="O2224" t="s">
        <v>3417</v>
      </c>
      <c r="P2224">
        <v>41146024</v>
      </c>
    </row>
    <row r="2225" spans="1:16">
      <c r="A2225" t="s">
        <v>104</v>
      </c>
      <c r="B2225">
        <v>2</v>
      </c>
      <c r="E2225" t="s">
        <v>3411</v>
      </c>
      <c r="F2225" t="s">
        <v>3412</v>
      </c>
      <c r="G2225" t="s">
        <v>3413</v>
      </c>
      <c r="I2225" t="s">
        <v>3338</v>
      </c>
      <c r="J2225" t="s">
        <v>2232</v>
      </c>
      <c r="K2225" t="s">
        <v>2233</v>
      </c>
      <c r="L2225" t="s">
        <v>3342</v>
      </c>
      <c r="N2225" t="s">
        <v>3418</v>
      </c>
      <c r="O2225" t="s">
        <v>3419</v>
      </c>
      <c r="P2225">
        <v>41146024</v>
      </c>
    </row>
    <row r="2226" spans="1:16">
      <c r="A2226" t="s">
        <v>104</v>
      </c>
      <c r="B2226">
        <v>2</v>
      </c>
      <c r="E2226" t="s">
        <v>3411</v>
      </c>
      <c r="F2226" t="s">
        <v>3412</v>
      </c>
      <c r="G2226" t="s">
        <v>3413</v>
      </c>
      <c r="I2226" t="s">
        <v>3338</v>
      </c>
      <c r="J2226" t="s">
        <v>2232</v>
      </c>
      <c r="K2226" t="s">
        <v>2233</v>
      </c>
      <c r="L2226" t="s">
        <v>3342</v>
      </c>
      <c r="N2226" t="s">
        <v>3420</v>
      </c>
      <c r="O2226" t="s">
        <v>3421</v>
      </c>
      <c r="P2226">
        <v>41146024</v>
      </c>
    </row>
    <row r="2227" spans="1:16">
      <c r="A2227" t="s">
        <v>104</v>
      </c>
      <c r="B2227">
        <v>2</v>
      </c>
      <c r="E2227" t="s">
        <v>3411</v>
      </c>
      <c r="F2227" t="s">
        <v>3412</v>
      </c>
      <c r="G2227" t="s">
        <v>3413</v>
      </c>
      <c r="I2227" t="s">
        <v>3338</v>
      </c>
      <c r="J2227" t="s">
        <v>2232</v>
      </c>
      <c r="K2227" t="s">
        <v>2233</v>
      </c>
      <c r="L2227" t="s">
        <v>3342</v>
      </c>
      <c r="N2227" t="s">
        <v>3422</v>
      </c>
      <c r="O2227" t="s">
        <v>3423</v>
      </c>
      <c r="P2227">
        <v>41146024</v>
      </c>
    </row>
    <row r="2228" spans="1:16">
      <c r="A2228" t="s">
        <v>104</v>
      </c>
      <c r="B2228">
        <v>0</v>
      </c>
      <c r="G2228" t="s">
        <v>3338</v>
      </c>
      <c r="I2228" t="s">
        <v>3338</v>
      </c>
      <c r="N2228" t="s">
        <v>3424</v>
      </c>
      <c r="O2228" t="s">
        <v>3425</v>
      </c>
      <c r="P2228">
        <v>41146024</v>
      </c>
    </row>
    <row r="2229" spans="1:16">
      <c r="A2229" t="s">
        <v>104</v>
      </c>
      <c r="B2229">
        <v>1</v>
      </c>
      <c r="E2229" t="s">
        <v>3424</v>
      </c>
      <c r="F2229" t="s">
        <v>3425</v>
      </c>
      <c r="G2229" t="s">
        <v>3426</v>
      </c>
      <c r="I2229" t="s">
        <v>3338</v>
      </c>
      <c r="J2229" t="s">
        <v>2421</v>
      </c>
      <c r="K2229" t="s">
        <v>3354</v>
      </c>
      <c r="L2229" t="s">
        <v>3369</v>
      </c>
      <c r="N2229" t="s">
        <v>3427</v>
      </c>
      <c r="O2229" t="s">
        <v>3428</v>
      </c>
      <c r="P2229">
        <v>41146024</v>
      </c>
    </row>
    <row r="2230" spans="1:16">
      <c r="A2230" t="s">
        <v>104</v>
      </c>
      <c r="B2230">
        <v>1</v>
      </c>
      <c r="E2230" t="s">
        <v>3424</v>
      </c>
      <c r="F2230" t="s">
        <v>3425</v>
      </c>
      <c r="G2230" t="s">
        <v>3426</v>
      </c>
      <c r="I2230" t="s">
        <v>3338</v>
      </c>
      <c r="J2230" t="s">
        <v>2421</v>
      </c>
      <c r="K2230" t="s">
        <v>3354</v>
      </c>
      <c r="L2230" t="s">
        <v>3369</v>
      </c>
      <c r="N2230" t="s">
        <v>3429</v>
      </c>
      <c r="O2230" t="s">
        <v>3430</v>
      </c>
      <c r="P2230">
        <v>41146024</v>
      </c>
    </row>
    <row r="2231" spans="1:16">
      <c r="A2231" t="s">
        <v>104</v>
      </c>
      <c r="B2231">
        <v>1</v>
      </c>
      <c r="E2231" t="s">
        <v>3424</v>
      </c>
      <c r="F2231" t="s">
        <v>3425</v>
      </c>
      <c r="G2231" t="s">
        <v>3426</v>
      </c>
      <c r="I2231" t="s">
        <v>3338</v>
      </c>
      <c r="J2231" t="s">
        <v>2232</v>
      </c>
      <c r="K2231" t="s">
        <v>2233</v>
      </c>
      <c r="L2231" t="s">
        <v>3342</v>
      </c>
      <c r="N2231" t="s">
        <v>3431</v>
      </c>
      <c r="O2231" t="s">
        <v>3432</v>
      </c>
      <c r="P2231">
        <v>41146024</v>
      </c>
    </row>
    <row r="2232" spans="1:16">
      <c r="A2232" t="s">
        <v>104</v>
      </c>
      <c r="B2232">
        <v>0</v>
      </c>
      <c r="G2232" t="s">
        <v>3338</v>
      </c>
      <c r="I2232" t="s">
        <v>3338</v>
      </c>
      <c r="N2232" t="s">
        <v>3433</v>
      </c>
      <c r="O2232" t="s">
        <v>3434</v>
      </c>
      <c r="P2232">
        <v>41146024</v>
      </c>
    </row>
    <row r="2233" spans="1:16">
      <c r="A2233" t="s">
        <v>104</v>
      </c>
      <c r="B2233">
        <v>1</v>
      </c>
      <c r="E2233" t="s">
        <v>3433</v>
      </c>
      <c r="F2233" t="s">
        <v>3434</v>
      </c>
      <c r="G2233" t="s">
        <v>3435</v>
      </c>
      <c r="I2233" t="s">
        <v>3338</v>
      </c>
      <c r="J2233" t="s">
        <v>2232</v>
      </c>
      <c r="K2233" t="s">
        <v>2233</v>
      </c>
      <c r="L2233" t="s">
        <v>3342</v>
      </c>
      <c r="N2233" t="s">
        <v>3436</v>
      </c>
      <c r="O2233" t="s">
        <v>3437</v>
      </c>
      <c r="P2233">
        <v>41146024</v>
      </c>
    </row>
    <row r="2234" spans="1:16">
      <c r="A2234" t="s">
        <v>104</v>
      </c>
      <c r="B2234">
        <v>1</v>
      </c>
      <c r="E2234" t="s">
        <v>3433</v>
      </c>
      <c r="F2234" t="s">
        <v>3434</v>
      </c>
      <c r="G2234" t="s">
        <v>3435</v>
      </c>
      <c r="I2234" t="s">
        <v>3338</v>
      </c>
      <c r="J2234" t="s">
        <v>2232</v>
      </c>
      <c r="K2234" t="s">
        <v>2233</v>
      </c>
      <c r="L2234" t="s">
        <v>3342</v>
      </c>
      <c r="N2234" t="s">
        <v>3438</v>
      </c>
      <c r="O2234" t="s">
        <v>3439</v>
      </c>
      <c r="P2234">
        <v>41146024</v>
      </c>
    </row>
    <row r="2235" spans="1:16">
      <c r="A2235" t="s">
        <v>104</v>
      </c>
      <c r="B2235">
        <v>1</v>
      </c>
      <c r="E2235" t="s">
        <v>3433</v>
      </c>
      <c r="F2235" t="s">
        <v>3434</v>
      </c>
      <c r="G2235" t="s">
        <v>3435</v>
      </c>
      <c r="I2235" t="s">
        <v>3338</v>
      </c>
      <c r="J2235" t="s">
        <v>2232</v>
      </c>
      <c r="K2235" t="s">
        <v>2233</v>
      </c>
      <c r="L2235" t="s">
        <v>3342</v>
      </c>
      <c r="N2235" t="s">
        <v>3440</v>
      </c>
      <c r="O2235" t="s">
        <v>3441</v>
      </c>
      <c r="P2235">
        <v>41146024</v>
      </c>
    </row>
    <row r="2236" spans="1:16">
      <c r="A2236" t="s">
        <v>104</v>
      </c>
      <c r="B2236">
        <v>1</v>
      </c>
      <c r="E2236" t="s">
        <v>3433</v>
      </c>
      <c r="F2236" t="s">
        <v>3434</v>
      </c>
      <c r="G2236" t="s">
        <v>3435</v>
      </c>
      <c r="I2236" t="s">
        <v>3338</v>
      </c>
      <c r="J2236" t="s">
        <v>2232</v>
      </c>
      <c r="K2236" t="s">
        <v>2233</v>
      </c>
      <c r="L2236" t="s">
        <v>3342</v>
      </c>
      <c r="N2236" t="s">
        <v>3442</v>
      </c>
      <c r="O2236" t="s">
        <v>3443</v>
      </c>
      <c r="P2236">
        <v>41146024</v>
      </c>
    </row>
    <row r="2237" spans="1:16">
      <c r="A2237" t="s">
        <v>104</v>
      </c>
      <c r="B2237">
        <v>1</v>
      </c>
      <c r="E2237" t="s">
        <v>3433</v>
      </c>
      <c r="F2237" t="s">
        <v>3434</v>
      </c>
      <c r="G2237" t="s">
        <v>3435</v>
      </c>
      <c r="I2237" t="s">
        <v>3338</v>
      </c>
      <c r="J2237" t="s">
        <v>2232</v>
      </c>
      <c r="K2237" t="s">
        <v>2233</v>
      </c>
      <c r="L2237" t="s">
        <v>3342</v>
      </c>
      <c r="N2237" t="s">
        <v>3444</v>
      </c>
      <c r="O2237" t="s">
        <v>3445</v>
      </c>
      <c r="P2237">
        <v>41146024</v>
      </c>
    </row>
    <row r="2238" spans="1:16">
      <c r="A2238" t="s">
        <v>104</v>
      </c>
      <c r="B2238">
        <v>1</v>
      </c>
      <c r="E2238" t="s">
        <v>3433</v>
      </c>
      <c r="F2238" t="s">
        <v>3434</v>
      </c>
      <c r="G2238" t="s">
        <v>3435</v>
      </c>
      <c r="I2238" t="s">
        <v>3338</v>
      </c>
      <c r="J2238" t="s">
        <v>2232</v>
      </c>
      <c r="K2238" t="s">
        <v>2233</v>
      </c>
      <c r="L2238" t="s">
        <v>3342</v>
      </c>
      <c r="N2238" t="s">
        <v>3446</v>
      </c>
      <c r="O2238" t="s">
        <v>3447</v>
      </c>
      <c r="P2238">
        <v>41146024</v>
      </c>
    </row>
    <row r="2239" spans="1:16">
      <c r="A2239" t="s">
        <v>104</v>
      </c>
      <c r="B2239">
        <v>0</v>
      </c>
      <c r="G2239" t="s">
        <v>3338</v>
      </c>
      <c r="I2239" t="s">
        <v>3338</v>
      </c>
      <c r="N2239" t="s">
        <v>3448</v>
      </c>
      <c r="O2239" t="s">
        <v>3449</v>
      </c>
      <c r="P2239">
        <v>41146024</v>
      </c>
    </row>
    <row r="2240" spans="1:16">
      <c r="A2240" t="s">
        <v>104</v>
      </c>
      <c r="B2240">
        <v>1</v>
      </c>
      <c r="E2240" t="s">
        <v>3448</v>
      </c>
      <c r="F2240" t="s">
        <v>3449</v>
      </c>
      <c r="G2240" t="s">
        <v>3450</v>
      </c>
      <c r="I2240" t="s">
        <v>3338</v>
      </c>
      <c r="J2240" t="s">
        <v>2421</v>
      </c>
      <c r="K2240" t="s">
        <v>3354</v>
      </c>
      <c r="L2240" t="s">
        <v>3451</v>
      </c>
      <c r="N2240" t="s">
        <v>3452</v>
      </c>
      <c r="O2240" t="s">
        <v>3453</v>
      </c>
      <c r="P2240">
        <v>41146024</v>
      </c>
    </row>
    <row r="2241" spans="1:16">
      <c r="A2241" t="s">
        <v>104</v>
      </c>
      <c r="B2241">
        <v>0</v>
      </c>
      <c r="G2241" t="s">
        <v>3456</v>
      </c>
      <c r="I2241" t="s">
        <v>3456</v>
      </c>
      <c r="M2241" t="s">
        <v>3463</v>
      </c>
      <c r="N2241" t="s">
        <v>3479</v>
      </c>
      <c r="O2241" t="s">
        <v>3480</v>
      </c>
      <c r="P2241">
        <v>41146024</v>
      </c>
    </row>
    <row r="2242" spans="1:16">
      <c r="A2242" t="s">
        <v>106</v>
      </c>
      <c r="B2242">
        <v>0</v>
      </c>
      <c r="G2242" t="s">
        <v>3338</v>
      </c>
      <c r="I2242" t="s">
        <v>3338</v>
      </c>
      <c r="N2242" t="s">
        <v>3339</v>
      </c>
      <c r="O2242" t="s">
        <v>3340</v>
      </c>
      <c r="P2242">
        <v>40403035</v>
      </c>
    </row>
    <row r="2243" spans="1:16">
      <c r="A2243" t="s">
        <v>106</v>
      </c>
      <c r="B2243">
        <v>1</v>
      </c>
      <c r="E2243" t="s">
        <v>3339</v>
      </c>
      <c r="F2243" t="s">
        <v>3340</v>
      </c>
      <c r="G2243" t="s">
        <v>3341</v>
      </c>
      <c r="I2243" t="s">
        <v>3338</v>
      </c>
      <c r="J2243" t="s">
        <v>2232</v>
      </c>
      <c r="K2243" t="s">
        <v>2233</v>
      </c>
      <c r="L2243" t="s">
        <v>3342</v>
      </c>
      <c r="N2243" t="s">
        <v>3343</v>
      </c>
      <c r="O2243" t="s">
        <v>3344</v>
      </c>
      <c r="P2243">
        <v>40403035</v>
      </c>
    </row>
    <row r="2244" spans="1:16">
      <c r="A2244" t="s">
        <v>106</v>
      </c>
      <c r="B2244">
        <v>1</v>
      </c>
      <c r="E2244" t="s">
        <v>3339</v>
      </c>
      <c r="F2244" t="s">
        <v>3340</v>
      </c>
      <c r="G2244" t="s">
        <v>3341</v>
      </c>
      <c r="I2244" t="s">
        <v>3338</v>
      </c>
      <c r="J2244" t="s">
        <v>2232</v>
      </c>
      <c r="K2244" t="s">
        <v>2233</v>
      </c>
      <c r="L2244" t="s">
        <v>3342</v>
      </c>
      <c r="N2244" t="s">
        <v>3345</v>
      </c>
      <c r="O2244" t="s">
        <v>3346</v>
      </c>
      <c r="P2244">
        <v>40403035</v>
      </c>
    </row>
    <row r="2245" spans="1:16">
      <c r="A2245" t="s">
        <v>106</v>
      </c>
      <c r="B2245">
        <v>0</v>
      </c>
      <c r="G2245" t="s">
        <v>3338</v>
      </c>
      <c r="I2245" t="s">
        <v>3338</v>
      </c>
      <c r="N2245" t="s">
        <v>3347</v>
      </c>
      <c r="O2245" t="s">
        <v>3344</v>
      </c>
      <c r="P2245">
        <v>40403035</v>
      </c>
    </row>
    <row r="2246" spans="1:16">
      <c r="A2246" t="s">
        <v>106</v>
      </c>
      <c r="B2246">
        <v>1</v>
      </c>
      <c r="E2246" t="s">
        <v>3347</v>
      </c>
      <c r="F2246" t="s">
        <v>3344</v>
      </c>
      <c r="G2246" t="s">
        <v>3348</v>
      </c>
      <c r="I2246" t="s">
        <v>3338</v>
      </c>
      <c r="J2246" t="s">
        <v>2232</v>
      </c>
      <c r="K2246" t="s">
        <v>2233</v>
      </c>
      <c r="L2246" t="s">
        <v>3342</v>
      </c>
      <c r="N2246" t="s">
        <v>3349</v>
      </c>
      <c r="O2246" t="s">
        <v>3350</v>
      </c>
      <c r="P2246">
        <v>40403035</v>
      </c>
    </row>
    <row r="2247" spans="1:16">
      <c r="A2247" t="s">
        <v>106</v>
      </c>
      <c r="B2247">
        <v>1</v>
      </c>
      <c r="E2247" t="s">
        <v>3347</v>
      </c>
      <c r="F2247" t="s">
        <v>3344</v>
      </c>
      <c r="G2247" t="s">
        <v>3348</v>
      </c>
      <c r="I2247" t="s">
        <v>3338</v>
      </c>
      <c r="L2247" t="s">
        <v>193</v>
      </c>
      <c r="N2247" t="s">
        <v>3351</v>
      </c>
      <c r="O2247" t="s">
        <v>3352</v>
      </c>
      <c r="P2247">
        <v>40403035</v>
      </c>
    </row>
    <row r="2248" spans="1:16">
      <c r="A2248" t="s">
        <v>106</v>
      </c>
      <c r="B2248">
        <v>2</v>
      </c>
      <c r="E2248" t="s">
        <v>3351</v>
      </c>
      <c r="F2248" t="s">
        <v>3352</v>
      </c>
      <c r="G2248" t="s">
        <v>3353</v>
      </c>
      <c r="I2248" t="s">
        <v>3338</v>
      </c>
      <c r="J2248" t="s">
        <v>2421</v>
      </c>
      <c r="K2248" t="s">
        <v>3354</v>
      </c>
      <c r="L2248" t="s">
        <v>3355</v>
      </c>
      <c r="N2248" t="s">
        <v>3356</v>
      </c>
      <c r="O2248" t="s">
        <v>3357</v>
      </c>
      <c r="P2248">
        <v>40403035</v>
      </c>
    </row>
    <row r="2249" spans="1:16">
      <c r="A2249" t="s">
        <v>106</v>
      </c>
      <c r="B2249">
        <v>2</v>
      </c>
      <c r="E2249" t="s">
        <v>3351</v>
      </c>
      <c r="F2249" t="s">
        <v>3352</v>
      </c>
      <c r="G2249" t="s">
        <v>3353</v>
      </c>
      <c r="I2249" t="s">
        <v>3338</v>
      </c>
      <c r="J2249" t="s">
        <v>2421</v>
      </c>
      <c r="K2249" t="s">
        <v>3354</v>
      </c>
      <c r="L2249" t="s">
        <v>3355</v>
      </c>
      <c r="N2249" t="s">
        <v>3358</v>
      </c>
      <c r="O2249" t="s">
        <v>3359</v>
      </c>
      <c r="P2249">
        <v>40403035</v>
      </c>
    </row>
    <row r="2250" spans="1:16">
      <c r="A2250" t="s">
        <v>106</v>
      </c>
      <c r="B2250">
        <v>2</v>
      </c>
      <c r="E2250" t="s">
        <v>3351</v>
      </c>
      <c r="F2250" t="s">
        <v>3352</v>
      </c>
      <c r="G2250" t="s">
        <v>3353</v>
      </c>
      <c r="I2250" t="s">
        <v>3338</v>
      </c>
      <c r="J2250" t="s">
        <v>2421</v>
      </c>
      <c r="K2250" t="s">
        <v>3354</v>
      </c>
      <c r="L2250" t="s">
        <v>3355</v>
      </c>
      <c r="N2250" t="s">
        <v>3360</v>
      </c>
      <c r="O2250" t="s">
        <v>3361</v>
      </c>
      <c r="P2250">
        <v>40403035</v>
      </c>
    </row>
    <row r="2251" spans="1:16">
      <c r="A2251" t="s">
        <v>106</v>
      </c>
      <c r="B2251">
        <v>1</v>
      </c>
      <c r="E2251" t="s">
        <v>3347</v>
      </c>
      <c r="F2251" t="s">
        <v>3344</v>
      </c>
      <c r="G2251" t="s">
        <v>3348</v>
      </c>
      <c r="I2251" t="s">
        <v>3338</v>
      </c>
      <c r="J2251" t="s">
        <v>2236</v>
      </c>
      <c r="K2251" t="s">
        <v>3362</v>
      </c>
      <c r="L2251" t="s">
        <v>3363</v>
      </c>
      <c r="N2251" t="s">
        <v>3364</v>
      </c>
      <c r="O2251" t="s">
        <v>3365</v>
      </c>
      <c r="P2251">
        <v>40403035</v>
      </c>
    </row>
    <row r="2252" spans="1:16">
      <c r="A2252" t="s">
        <v>106</v>
      </c>
      <c r="B2252">
        <v>1</v>
      </c>
      <c r="E2252" t="s">
        <v>3347</v>
      </c>
      <c r="F2252" t="s">
        <v>3344</v>
      </c>
      <c r="G2252" t="s">
        <v>3348</v>
      </c>
      <c r="I2252" t="s">
        <v>3338</v>
      </c>
      <c r="L2252" t="s">
        <v>193</v>
      </c>
      <c r="N2252" t="s">
        <v>3366</v>
      </c>
      <c r="O2252" t="s">
        <v>3367</v>
      </c>
      <c r="P2252">
        <v>40403035</v>
      </c>
    </row>
    <row r="2253" spans="1:16">
      <c r="A2253" t="s">
        <v>106</v>
      </c>
      <c r="B2253">
        <v>2</v>
      </c>
      <c r="E2253" t="s">
        <v>3366</v>
      </c>
      <c r="F2253" t="s">
        <v>3367</v>
      </c>
      <c r="G2253" t="s">
        <v>3368</v>
      </c>
      <c r="I2253" t="s">
        <v>3338</v>
      </c>
      <c r="J2253" t="s">
        <v>2421</v>
      </c>
      <c r="K2253" t="s">
        <v>3354</v>
      </c>
      <c r="L2253" t="s">
        <v>3369</v>
      </c>
      <c r="N2253" t="s">
        <v>3370</v>
      </c>
      <c r="O2253" t="s">
        <v>3359</v>
      </c>
      <c r="P2253">
        <v>40403035</v>
      </c>
    </row>
    <row r="2254" spans="1:16">
      <c r="A2254" t="s">
        <v>106</v>
      </c>
      <c r="B2254">
        <v>2</v>
      </c>
      <c r="E2254" t="s">
        <v>3366</v>
      </c>
      <c r="F2254" t="s">
        <v>3367</v>
      </c>
      <c r="G2254" t="s">
        <v>3368</v>
      </c>
      <c r="I2254" t="s">
        <v>3338</v>
      </c>
      <c r="J2254" t="s">
        <v>2421</v>
      </c>
      <c r="K2254" t="s">
        <v>3354</v>
      </c>
      <c r="L2254" t="s">
        <v>3369</v>
      </c>
      <c r="N2254" t="s">
        <v>3371</v>
      </c>
      <c r="O2254" t="s">
        <v>3372</v>
      </c>
      <c r="P2254">
        <v>40403035</v>
      </c>
    </row>
    <row r="2255" spans="1:16">
      <c r="A2255" t="s">
        <v>106</v>
      </c>
      <c r="B2255">
        <v>2</v>
      </c>
      <c r="E2255" t="s">
        <v>3366</v>
      </c>
      <c r="F2255" t="s">
        <v>3367</v>
      </c>
      <c r="G2255" t="s">
        <v>3368</v>
      </c>
      <c r="I2255" t="s">
        <v>3338</v>
      </c>
      <c r="J2255" t="s">
        <v>2421</v>
      </c>
      <c r="K2255" t="s">
        <v>3354</v>
      </c>
      <c r="L2255" t="s">
        <v>3369</v>
      </c>
      <c r="N2255" t="s">
        <v>3373</v>
      </c>
      <c r="O2255" t="s">
        <v>3374</v>
      </c>
      <c r="P2255">
        <v>40403035</v>
      </c>
    </row>
    <row r="2256" spans="1:16">
      <c r="A2256" t="s">
        <v>106</v>
      </c>
      <c r="B2256">
        <v>2</v>
      </c>
      <c r="E2256" t="s">
        <v>3366</v>
      </c>
      <c r="F2256" t="s">
        <v>3367</v>
      </c>
      <c r="G2256" t="s">
        <v>3368</v>
      </c>
      <c r="I2256" t="s">
        <v>3338</v>
      </c>
      <c r="J2256" t="s">
        <v>2236</v>
      </c>
      <c r="K2256" t="s">
        <v>3362</v>
      </c>
      <c r="L2256" t="s">
        <v>3363</v>
      </c>
      <c r="N2256" t="s">
        <v>3375</v>
      </c>
      <c r="O2256" t="s">
        <v>3376</v>
      </c>
      <c r="P2256">
        <v>40403035</v>
      </c>
    </row>
    <row r="2257" spans="1:16">
      <c r="A2257" t="s">
        <v>106</v>
      </c>
      <c r="B2257">
        <v>0</v>
      </c>
      <c r="G2257" t="s">
        <v>3338</v>
      </c>
      <c r="I2257" t="s">
        <v>3338</v>
      </c>
      <c r="N2257" t="s">
        <v>3377</v>
      </c>
      <c r="O2257" t="s">
        <v>3346</v>
      </c>
      <c r="P2257">
        <v>40403035</v>
      </c>
    </row>
    <row r="2258" spans="1:16">
      <c r="A2258" t="s">
        <v>106</v>
      </c>
      <c r="B2258">
        <v>1</v>
      </c>
      <c r="E2258" t="s">
        <v>3377</v>
      </c>
      <c r="F2258" t="s">
        <v>3346</v>
      </c>
      <c r="G2258" t="s">
        <v>3378</v>
      </c>
      <c r="I2258" t="s">
        <v>3338</v>
      </c>
      <c r="L2258" t="s">
        <v>193</v>
      </c>
      <c r="N2258" t="s">
        <v>3379</v>
      </c>
      <c r="O2258" t="s">
        <v>3380</v>
      </c>
      <c r="P2258">
        <v>40403035</v>
      </c>
    </row>
    <row r="2259" spans="1:16">
      <c r="A2259" t="s">
        <v>106</v>
      </c>
      <c r="B2259">
        <v>2</v>
      </c>
      <c r="E2259" t="s">
        <v>3379</v>
      </c>
      <c r="F2259" t="s">
        <v>3380</v>
      </c>
      <c r="G2259" t="s">
        <v>3381</v>
      </c>
      <c r="I2259" t="s">
        <v>3338</v>
      </c>
      <c r="J2259" t="s">
        <v>2421</v>
      </c>
      <c r="K2259" t="s">
        <v>3354</v>
      </c>
      <c r="L2259" t="s">
        <v>3369</v>
      </c>
      <c r="N2259" t="s">
        <v>3382</v>
      </c>
      <c r="O2259" t="s">
        <v>3352</v>
      </c>
      <c r="P2259">
        <v>40403035</v>
      </c>
    </row>
    <row r="2260" spans="1:16">
      <c r="A2260" t="s">
        <v>106</v>
      </c>
      <c r="B2260">
        <v>2</v>
      </c>
      <c r="E2260" t="s">
        <v>3379</v>
      </c>
      <c r="F2260" t="s">
        <v>3380</v>
      </c>
      <c r="G2260" t="s">
        <v>3381</v>
      </c>
      <c r="I2260" t="s">
        <v>3338</v>
      </c>
      <c r="J2260" t="s">
        <v>2236</v>
      </c>
      <c r="K2260" t="s">
        <v>3362</v>
      </c>
      <c r="L2260" t="s">
        <v>3383</v>
      </c>
      <c r="N2260" t="s">
        <v>3384</v>
      </c>
      <c r="O2260" t="s">
        <v>3385</v>
      </c>
      <c r="P2260">
        <v>40403035</v>
      </c>
    </row>
    <row r="2261" spans="1:16">
      <c r="A2261" t="s">
        <v>106</v>
      </c>
      <c r="B2261">
        <v>2</v>
      </c>
      <c r="E2261" t="s">
        <v>3379</v>
      </c>
      <c r="F2261" t="s">
        <v>3380</v>
      </c>
      <c r="G2261" t="s">
        <v>3381</v>
      </c>
      <c r="I2261" t="s">
        <v>3338</v>
      </c>
      <c r="J2261" t="s">
        <v>2232</v>
      </c>
      <c r="K2261" t="s">
        <v>2233</v>
      </c>
      <c r="L2261" t="s">
        <v>3342</v>
      </c>
      <c r="N2261" t="s">
        <v>3386</v>
      </c>
      <c r="O2261" t="s">
        <v>3350</v>
      </c>
      <c r="P2261">
        <v>40403035</v>
      </c>
    </row>
    <row r="2262" spans="1:16">
      <c r="A2262" t="s">
        <v>106</v>
      </c>
      <c r="B2262">
        <v>0</v>
      </c>
      <c r="G2262" t="s">
        <v>3338</v>
      </c>
      <c r="I2262" t="s">
        <v>3338</v>
      </c>
      <c r="N2262" t="s">
        <v>3395</v>
      </c>
      <c r="O2262" t="s">
        <v>3396</v>
      </c>
      <c r="P2262">
        <v>40403035</v>
      </c>
    </row>
    <row r="2263" spans="1:16">
      <c r="A2263" t="s">
        <v>106</v>
      </c>
      <c r="B2263">
        <v>1</v>
      </c>
      <c r="E2263" t="s">
        <v>3395</v>
      </c>
      <c r="F2263" t="s">
        <v>3396</v>
      </c>
      <c r="G2263" t="s">
        <v>3397</v>
      </c>
      <c r="I2263" t="s">
        <v>3338</v>
      </c>
      <c r="L2263" t="s">
        <v>3342</v>
      </c>
      <c r="N2263" t="s">
        <v>3398</v>
      </c>
      <c r="O2263" t="s">
        <v>3399</v>
      </c>
      <c r="P2263">
        <v>40403035</v>
      </c>
    </row>
    <row r="2264" spans="1:16">
      <c r="A2264" t="s">
        <v>106</v>
      </c>
      <c r="B2264">
        <v>1</v>
      </c>
      <c r="E2264" t="s">
        <v>3395</v>
      </c>
      <c r="F2264" t="s">
        <v>3396</v>
      </c>
      <c r="G2264" t="s">
        <v>3397</v>
      </c>
      <c r="I2264" t="s">
        <v>3338</v>
      </c>
      <c r="J2264" t="s">
        <v>2232</v>
      </c>
      <c r="K2264" t="s">
        <v>2233</v>
      </c>
      <c r="L2264" t="s">
        <v>3342</v>
      </c>
      <c r="N2264" t="s">
        <v>3400</v>
      </c>
      <c r="O2264" t="s">
        <v>3401</v>
      </c>
      <c r="P2264">
        <v>40403035</v>
      </c>
    </row>
    <row r="2265" spans="1:16">
      <c r="A2265" t="s">
        <v>106</v>
      </c>
      <c r="B2265">
        <v>1</v>
      </c>
      <c r="E2265" t="s">
        <v>3395</v>
      </c>
      <c r="F2265" t="s">
        <v>3396</v>
      </c>
      <c r="G2265" t="s">
        <v>3397</v>
      </c>
      <c r="I2265" t="s">
        <v>3338</v>
      </c>
      <c r="J2265" t="s">
        <v>2232</v>
      </c>
      <c r="K2265" t="s">
        <v>2233</v>
      </c>
      <c r="L2265" t="s">
        <v>3342</v>
      </c>
      <c r="N2265" t="s">
        <v>3402</v>
      </c>
      <c r="O2265" t="s">
        <v>3403</v>
      </c>
      <c r="P2265">
        <v>40403035</v>
      </c>
    </row>
    <row r="2266" spans="1:16">
      <c r="A2266" t="s">
        <v>106</v>
      </c>
      <c r="B2266">
        <v>1</v>
      </c>
      <c r="E2266" t="s">
        <v>3395</v>
      </c>
      <c r="F2266" t="s">
        <v>3396</v>
      </c>
      <c r="G2266" t="s">
        <v>3397</v>
      </c>
      <c r="I2266" t="s">
        <v>3338</v>
      </c>
      <c r="J2266" t="s">
        <v>2232</v>
      </c>
      <c r="K2266" t="s">
        <v>2233</v>
      </c>
      <c r="L2266" t="s">
        <v>3342</v>
      </c>
      <c r="N2266" t="s">
        <v>3404</v>
      </c>
      <c r="O2266" t="s">
        <v>3405</v>
      </c>
      <c r="P2266">
        <v>40403035</v>
      </c>
    </row>
    <row r="2267" spans="1:16">
      <c r="A2267" t="s">
        <v>106</v>
      </c>
      <c r="B2267">
        <v>0</v>
      </c>
      <c r="G2267" t="s">
        <v>3338</v>
      </c>
      <c r="I2267" t="s">
        <v>3338</v>
      </c>
      <c r="N2267" t="s">
        <v>3406</v>
      </c>
      <c r="O2267" t="s">
        <v>3407</v>
      </c>
      <c r="P2267">
        <v>40403035</v>
      </c>
    </row>
    <row r="2268" spans="1:16">
      <c r="A2268" t="s">
        <v>106</v>
      </c>
      <c r="B2268">
        <v>1</v>
      </c>
      <c r="E2268" t="s">
        <v>3406</v>
      </c>
      <c r="F2268" t="s">
        <v>3407</v>
      </c>
      <c r="G2268" t="s">
        <v>3408</v>
      </c>
      <c r="I2268" t="s">
        <v>3338</v>
      </c>
      <c r="J2268" t="s">
        <v>2421</v>
      </c>
      <c r="K2268" t="s">
        <v>3354</v>
      </c>
      <c r="L2268" t="s">
        <v>3369</v>
      </c>
      <c r="N2268" t="s">
        <v>3409</v>
      </c>
      <c r="O2268" t="s">
        <v>3410</v>
      </c>
      <c r="P2268">
        <v>40403035</v>
      </c>
    </row>
    <row r="2269" spans="1:16">
      <c r="A2269" t="s">
        <v>106</v>
      </c>
      <c r="B2269">
        <v>1</v>
      </c>
      <c r="E2269" t="s">
        <v>3406</v>
      </c>
      <c r="F2269" t="s">
        <v>3407</v>
      </c>
      <c r="G2269" t="s">
        <v>3408</v>
      </c>
      <c r="I2269" t="s">
        <v>3338</v>
      </c>
      <c r="L2269" t="s">
        <v>193</v>
      </c>
      <c r="N2269" t="s">
        <v>3411</v>
      </c>
      <c r="O2269" t="s">
        <v>3412</v>
      </c>
      <c r="P2269">
        <v>40403035</v>
      </c>
    </row>
    <row r="2270" spans="1:16">
      <c r="A2270" t="s">
        <v>106</v>
      </c>
      <c r="B2270">
        <v>2</v>
      </c>
      <c r="E2270" t="s">
        <v>3411</v>
      </c>
      <c r="F2270" t="s">
        <v>3412</v>
      </c>
      <c r="G2270" t="s">
        <v>3413</v>
      </c>
      <c r="I2270" t="s">
        <v>3338</v>
      </c>
      <c r="J2270" t="s">
        <v>2232</v>
      </c>
      <c r="K2270" t="s">
        <v>2233</v>
      </c>
      <c r="L2270" t="s">
        <v>3342</v>
      </c>
      <c r="N2270" t="s">
        <v>3414</v>
      </c>
      <c r="O2270" t="s">
        <v>3415</v>
      </c>
      <c r="P2270">
        <v>40403035</v>
      </c>
    </row>
    <row r="2271" spans="1:16">
      <c r="A2271" t="s">
        <v>106</v>
      </c>
      <c r="B2271">
        <v>2</v>
      </c>
      <c r="E2271" t="s">
        <v>3411</v>
      </c>
      <c r="F2271" t="s">
        <v>3412</v>
      </c>
      <c r="G2271" t="s">
        <v>3413</v>
      </c>
      <c r="I2271" t="s">
        <v>3338</v>
      </c>
      <c r="J2271" t="s">
        <v>2232</v>
      </c>
      <c r="K2271" t="s">
        <v>2233</v>
      </c>
      <c r="L2271" t="s">
        <v>3342</v>
      </c>
      <c r="N2271" t="s">
        <v>3416</v>
      </c>
      <c r="O2271" t="s">
        <v>3417</v>
      </c>
      <c r="P2271">
        <v>40403035</v>
      </c>
    </row>
    <row r="2272" spans="1:16">
      <c r="A2272" t="s">
        <v>106</v>
      </c>
      <c r="B2272">
        <v>2</v>
      </c>
      <c r="E2272" t="s">
        <v>3411</v>
      </c>
      <c r="F2272" t="s">
        <v>3412</v>
      </c>
      <c r="G2272" t="s">
        <v>3413</v>
      </c>
      <c r="I2272" t="s">
        <v>3338</v>
      </c>
      <c r="J2272" t="s">
        <v>2232</v>
      </c>
      <c r="K2272" t="s">
        <v>2233</v>
      </c>
      <c r="L2272" t="s">
        <v>3342</v>
      </c>
      <c r="N2272" t="s">
        <v>3418</v>
      </c>
      <c r="O2272" t="s">
        <v>3419</v>
      </c>
      <c r="P2272">
        <v>40403035</v>
      </c>
    </row>
    <row r="2273" spans="1:16">
      <c r="A2273" t="s">
        <v>106</v>
      </c>
      <c r="B2273">
        <v>2</v>
      </c>
      <c r="E2273" t="s">
        <v>3411</v>
      </c>
      <c r="F2273" t="s">
        <v>3412</v>
      </c>
      <c r="G2273" t="s">
        <v>3413</v>
      </c>
      <c r="I2273" t="s">
        <v>3338</v>
      </c>
      <c r="J2273" t="s">
        <v>2232</v>
      </c>
      <c r="K2273" t="s">
        <v>2233</v>
      </c>
      <c r="L2273" t="s">
        <v>3342</v>
      </c>
      <c r="N2273" t="s">
        <v>3420</v>
      </c>
      <c r="O2273" t="s">
        <v>3421</v>
      </c>
      <c r="P2273">
        <v>40403035</v>
      </c>
    </row>
    <row r="2274" spans="1:16">
      <c r="A2274" t="s">
        <v>106</v>
      </c>
      <c r="B2274">
        <v>2</v>
      </c>
      <c r="E2274" t="s">
        <v>3411</v>
      </c>
      <c r="F2274" t="s">
        <v>3412</v>
      </c>
      <c r="G2274" t="s">
        <v>3413</v>
      </c>
      <c r="I2274" t="s">
        <v>3338</v>
      </c>
      <c r="J2274" t="s">
        <v>2232</v>
      </c>
      <c r="K2274" t="s">
        <v>2233</v>
      </c>
      <c r="L2274" t="s">
        <v>3342</v>
      </c>
      <c r="N2274" t="s">
        <v>3422</v>
      </c>
      <c r="O2274" t="s">
        <v>3423</v>
      </c>
      <c r="P2274">
        <v>40403035</v>
      </c>
    </row>
    <row r="2275" spans="1:16">
      <c r="A2275" t="s">
        <v>106</v>
      </c>
      <c r="B2275">
        <v>0</v>
      </c>
      <c r="G2275" t="s">
        <v>3338</v>
      </c>
      <c r="I2275" t="s">
        <v>3338</v>
      </c>
      <c r="N2275" t="s">
        <v>3424</v>
      </c>
      <c r="O2275" t="s">
        <v>3425</v>
      </c>
      <c r="P2275">
        <v>40403035</v>
      </c>
    </row>
    <row r="2276" spans="1:16">
      <c r="A2276" t="s">
        <v>106</v>
      </c>
      <c r="B2276">
        <v>1</v>
      </c>
      <c r="E2276" t="s">
        <v>3424</v>
      </c>
      <c r="F2276" t="s">
        <v>3425</v>
      </c>
      <c r="G2276" t="s">
        <v>3426</v>
      </c>
      <c r="I2276" t="s">
        <v>3338</v>
      </c>
      <c r="J2276" t="s">
        <v>2421</v>
      </c>
      <c r="K2276" t="s">
        <v>3354</v>
      </c>
      <c r="L2276" t="s">
        <v>3369</v>
      </c>
      <c r="N2276" t="s">
        <v>3427</v>
      </c>
      <c r="O2276" t="s">
        <v>3428</v>
      </c>
      <c r="P2276">
        <v>40403035</v>
      </c>
    </row>
    <row r="2277" spans="1:16">
      <c r="A2277" t="s">
        <v>106</v>
      </c>
      <c r="B2277">
        <v>1</v>
      </c>
      <c r="E2277" t="s">
        <v>3424</v>
      </c>
      <c r="F2277" t="s">
        <v>3425</v>
      </c>
      <c r="G2277" t="s">
        <v>3426</v>
      </c>
      <c r="I2277" t="s">
        <v>3338</v>
      </c>
      <c r="J2277" t="s">
        <v>2421</v>
      </c>
      <c r="K2277" t="s">
        <v>3354</v>
      </c>
      <c r="L2277" t="s">
        <v>3369</v>
      </c>
      <c r="N2277" t="s">
        <v>3429</v>
      </c>
      <c r="O2277" t="s">
        <v>3430</v>
      </c>
      <c r="P2277">
        <v>40403035</v>
      </c>
    </row>
    <row r="2278" spans="1:16">
      <c r="A2278" t="s">
        <v>106</v>
      </c>
      <c r="B2278">
        <v>1</v>
      </c>
      <c r="E2278" t="s">
        <v>3424</v>
      </c>
      <c r="F2278" t="s">
        <v>3425</v>
      </c>
      <c r="G2278" t="s">
        <v>3426</v>
      </c>
      <c r="I2278" t="s">
        <v>3338</v>
      </c>
      <c r="J2278" t="s">
        <v>2232</v>
      </c>
      <c r="K2278" t="s">
        <v>2233</v>
      </c>
      <c r="L2278" t="s">
        <v>3342</v>
      </c>
      <c r="N2278" t="s">
        <v>3431</v>
      </c>
      <c r="O2278" t="s">
        <v>3432</v>
      </c>
      <c r="P2278">
        <v>40403035</v>
      </c>
    </row>
    <row r="2279" spans="1:16">
      <c r="A2279" t="s">
        <v>106</v>
      </c>
      <c r="B2279">
        <v>0</v>
      </c>
      <c r="G2279" t="s">
        <v>3338</v>
      </c>
      <c r="I2279" t="s">
        <v>3338</v>
      </c>
      <c r="N2279" t="s">
        <v>3433</v>
      </c>
      <c r="O2279" t="s">
        <v>3434</v>
      </c>
      <c r="P2279">
        <v>40403035</v>
      </c>
    </row>
    <row r="2280" spans="1:16">
      <c r="A2280" t="s">
        <v>106</v>
      </c>
      <c r="B2280">
        <v>1</v>
      </c>
      <c r="E2280" t="s">
        <v>3433</v>
      </c>
      <c r="F2280" t="s">
        <v>3434</v>
      </c>
      <c r="G2280" t="s">
        <v>3435</v>
      </c>
      <c r="I2280" t="s">
        <v>3338</v>
      </c>
      <c r="J2280" t="s">
        <v>2232</v>
      </c>
      <c r="K2280" t="s">
        <v>2233</v>
      </c>
      <c r="L2280" t="s">
        <v>3342</v>
      </c>
      <c r="N2280" t="s">
        <v>3436</v>
      </c>
      <c r="O2280" t="s">
        <v>3437</v>
      </c>
      <c r="P2280">
        <v>40403035</v>
      </c>
    </row>
    <row r="2281" spans="1:16">
      <c r="A2281" t="s">
        <v>106</v>
      </c>
      <c r="B2281">
        <v>1</v>
      </c>
      <c r="E2281" t="s">
        <v>3433</v>
      </c>
      <c r="F2281" t="s">
        <v>3434</v>
      </c>
      <c r="G2281" t="s">
        <v>3435</v>
      </c>
      <c r="I2281" t="s">
        <v>3338</v>
      </c>
      <c r="J2281" t="s">
        <v>2232</v>
      </c>
      <c r="K2281" t="s">
        <v>2233</v>
      </c>
      <c r="L2281" t="s">
        <v>3342</v>
      </c>
      <c r="N2281" t="s">
        <v>3438</v>
      </c>
      <c r="O2281" t="s">
        <v>3439</v>
      </c>
      <c r="P2281">
        <v>40403035</v>
      </c>
    </row>
    <row r="2282" spans="1:16">
      <c r="A2282" t="s">
        <v>106</v>
      </c>
      <c r="B2282">
        <v>1</v>
      </c>
      <c r="E2282" t="s">
        <v>3433</v>
      </c>
      <c r="F2282" t="s">
        <v>3434</v>
      </c>
      <c r="G2282" t="s">
        <v>3435</v>
      </c>
      <c r="I2282" t="s">
        <v>3338</v>
      </c>
      <c r="J2282" t="s">
        <v>2232</v>
      </c>
      <c r="K2282" t="s">
        <v>2233</v>
      </c>
      <c r="L2282" t="s">
        <v>3342</v>
      </c>
      <c r="N2282" t="s">
        <v>3440</v>
      </c>
      <c r="O2282" t="s">
        <v>3441</v>
      </c>
      <c r="P2282">
        <v>40403035</v>
      </c>
    </row>
    <row r="2283" spans="1:16">
      <c r="A2283" t="s">
        <v>106</v>
      </c>
      <c r="B2283">
        <v>1</v>
      </c>
      <c r="E2283" t="s">
        <v>3433</v>
      </c>
      <c r="F2283" t="s">
        <v>3434</v>
      </c>
      <c r="G2283" t="s">
        <v>3435</v>
      </c>
      <c r="I2283" t="s">
        <v>3338</v>
      </c>
      <c r="J2283" t="s">
        <v>2232</v>
      </c>
      <c r="K2283" t="s">
        <v>2233</v>
      </c>
      <c r="L2283" t="s">
        <v>3342</v>
      </c>
      <c r="N2283" t="s">
        <v>3442</v>
      </c>
      <c r="O2283" t="s">
        <v>3443</v>
      </c>
      <c r="P2283">
        <v>40403035</v>
      </c>
    </row>
    <row r="2284" spans="1:16">
      <c r="A2284" t="s">
        <v>106</v>
      </c>
      <c r="B2284">
        <v>1</v>
      </c>
      <c r="E2284" t="s">
        <v>3433</v>
      </c>
      <c r="F2284" t="s">
        <v>3434</v>
      </c>
      <c r="G2284" t="s">
        <v>3435</v>
      </c>
      <c r="I2284" t="s">
        <v>3338</v>
      </c>
      <c r="J2284" t="s">
        <v>2232</v>
      </c>
      <c r="K2284" t="s">
        <v>2233</v>
      </c>
      <c r="L2284" t="s">
        <v>3342</v>
      </c>
      <c r="N2284" t="s">
        <v>3444</v>
      </c>
      <c r="O2284" t="s">
        <v>3445</v>
      </c>
      <c r="P2284">
        <v>40403035</v>
      </c>
    </row>
    <row r="2285" spans="1:16">
      <c r="A2285" t="s">
        <v>106</v>
      </c>
      <c r="B2285">
        <v>1</v>
      </c>
      <c r="E2285" t="s">
        <v>3433</v>
      </c>
      <c r="F2285" t="s">
        <v>3434</v>
      </c>
      <c r="G2285" t="s">
        <v>3435</v>
      </c>
      <c r="I2285" t="s">
        <v>3338</v>
      </c>
      <c r="J2285" t="s">
        <v>2232</v>
      </c>
      <c r="K2285" t="s">
        <v>2233</v>
      </c>
      <c r="L2285" t="s">
        <v>3342</v>
      </c>
      <c r="N2285" t="s">
        <v>3446</v>
      </c>
      <c r="O2285" t="s">
        <v>3447</v>
      </c>
      <c r="P2285">
        <v>40403035</v>
      </c>
    </row>
    <row r="2286" spans="1:16">
      <c r="A2286" t="s">
        <v>106</v>
      </c>
      <c r="B2286">
        <v>0</v>
      </c>
      <c r="G2286" t="s">
        <v>3338</v>
      </c>
      <c r="I2286" t="s">
        <v>3338</v>
      </c>
      <c r="N2286" t="s">
        <v>3448</v>
      </c>
      <c r="O2286" t="s">
        <v>3449</v>
      </c>
      <c r="P2286">
        <v>40403035</v>
      </c>
    </row>
    <row r="2287" spans="1:16">
      <c r="A2287" t="s">
        <v>106</v>
      </c>
      <c r="B2287">
        <v>1</v>
      </c>
      <c r="E2287" t="s">
        <v>3448</v>
      </c>
      <c r="F2287" t="s">
        <v>3449</v>
      </c>
      <c r="G2287" t="s">
        <v>3450</v>
      </c>
      <c r="I2287" t="s">
        <v>3338</v>
      </c>
      <c r="J2287" t="s">
        <v>2421</v>
      </c>
      <c r="K2287" t="s">
        <v>3354</v>
      </c>
      <c r="L2287" t="s">
        <v>3451</v>
      </c>
      <c r="N2287" t="s">
        <v>3452</v>
      </c>
      <c r="O2287" t="s">
        <v>3453</v>
      </c>
      <c r="P2287">
        <v>40403035</v>
      </c>
    </row>
    <row r="2288" spans="1:16">
      <c r="A2288" t="s">
        <v>108</v>
      </c>
      <c r="B2288">
        <v>0</v>
      </c>
      <c r="G2288" t="s">
        <v>3338</v>
      </c>
      <c r="I2288" t="s">
        <v>3338</v>
      </c>
      <c r="N2288" t="s">
        <v>3339</v>
      </c>
      <c r="O2288" t="s">
        <v>3340</v>
      </c>
      <c r="P2288">
        <v>40788412</v>
      </c>
    </row>
    <row r="2289" spans="1:16">
      <c r="A2289" t="s">
        <v>108</v>
      </c>
      <c r="B2289">
        <v>1</v>
      </c>
      <c r="E2289" t="s">
        <v>3339</v>
      </c>
      <c r="F2289" t="s">
        <v>3340</v>
      </c>
      <c r="G2289" t="s">
        <v>3341</v>
      </c>
      <c r="I2289" t="s">
        <v>3338</v>
      </c>
      <c r="J2289" t="s">
        <v>2232</v>
      </c>
      <c r="K2289" t="s">
        <v>2233</v>
      </c>
      <c r="L2289" t="s">
        <v>3342</v>
      </c>
      <c r="N2289" t="s">
        <v>3343</v>
      </c>
      <c r="O2289" t="s">
        <v>3344</v>
      </c>
      <c r="P2289">
        <v>40788412</v>
      </c>
    </row>
    <row r="2290" spans="1:16">
      <c r="A2290" t="s">
        <v>108</v>
      </c>
      <c r="B2290">
        <v>1</v>
      </c>
      <c r="E2290" t="s">
        <v>3339</v>
      </c>
      <c r="F2290" t="s">
        <v>3340</v>
      </c>
      <c r="G2290" t="s">
        <v>3341</v>
      </c>
      <c r="I2290" t="s">
        <v>3338</v>
      </c>
      <c r="J2290" t="s">
        <v>2232</v>
      </c>
      <c r="K2290" t="s">
        <v>2233</v>
      </c>
      <c r="L2290" t="s">
        <v>3342</v>
      </c>
      <c r="N2290" t="s">
        <v>3345</v>
      </c>
      <c r="O2290" t="s">
        <v>3346</v>
      </c>
      <c r="P2290">
        <v>40788412</v>
      </c>
    </row>
    <row r="2291" spans="1:16">
      <c r="A2291" t="s">
        <v>108</v>
      </c>
      <c r="B2291">
        <v>0</v>
      </c>
      <c r="G2291" t="s">
        <v>3338</v>
      </c>
      <c r="I2291" t="s">
        <v>3338</v>
      </c>
      <c r="N2291" t="s">
        <v>3347</v>
      </c>
      <c r="O2291" t="s">
        <v>3344</v>
      </c>
      <c r="P2291">
        <v>40788412</v>
      </c>
    </row>
    <row r="2292" spans="1:16">
      <c r="A2292" t="s">
        <v>108</v>
      </c>
      <c r="B2292">
        <v>1</v>
      </c>
      <c r="E2292" t="s">
        <v>3347</v>
      </c>
      <c r="F2292" t="s">
        <v>3344</v>
      </c>
      <c r="G2292" t="s">
        <v>3348</v>
      </c>
      <c r="I2292" t="s">
        <v>3338</v>
      </c>
      <c r="J2292" t="s">
        <v>2232</v>
      </c>
      <c r="K2292" t="s">
        <v>2233</v>
      </c>
      <c r="L2292" t="s">
        <v>3342</v>
      </c>
      <c r="N2292" t="s">
        <v>3349</v>
      </c>
      <c r="O2292" t="s">
        <v>3350</v>
      </c>
      <c r="P2292">
        <v>40788412</v>
      </c>
    </row>
    <row r="2293" spans="1:16">
      <c r="A2293" t="s">
        <v>108</v>
      </c>
      <c r="B2293">
        <v>1</v>
      </c>
      <c r="E2293" t="s">
        <v>3347</v>
      </c>
      <c r="F2293" t="s">
        <v>3344</v>
      </c>
      <c r="G2293" t="s">
        <v>3348</v>
      </c>
      <c r="I2293" t="s">
        <v>3338</v>
      </c>
      <c r="L2293" t="s">
        <v>193</v>
      </c>
      <c r="N2293" t="s">
        <v>3351</v>
      </c>
      <c r="O2293" t="s">
        <v>3352</v>
      </c>
      <c r="P2293">
        <v>40788412</v>
      </c>
    </row>
    <row r="2294" spans="1:16">
      <c r="A2294" t="s">
        <v>108</v>
      </c>
      <c r="B2294">
        <v>2</v>
      </c>
      <c r="E2294" t="s">
        <v>3351</v>
      </c>
      <c r="F2294" t="s">
        <v>3352</v>
      </c>
      <c r="G2294" t="s">
        <v>3353</v>
      </c>
      <c r="I2294" t="s">
        <v>3338</v>
      </c>
      <c r="J2294" t="s">
        <v>2421</v>
      </c>
      <c r="K2294" t="s">
        <v>3354</v>
      </c>
      <c r="L2294" t="s">
        <v>3355</v>
      </c>
      <c r="N2294" t="s">
        <v>3356</v>
      </c>
      <c r="O2294" t="s">
        <v>3357</v>
      </c>
      <c r="P2294">
        <v>40788412</v>
      </c>
    </row>
    <row r="2295" spans="1:16">
      <c r="A2295" t="s">
        <v>108</v>
      </c>
      <c r="B2295">
        <v>2</v>
      </c>
      <c r="E2295" t="s">
        <v>3351</v>
      </c>
      <c r="F2295" t="s">
        <v>3352</v>
      </c>
      <c r="G2295" t="s">
        <v>3353</v>
      </c>
      <c r="I2295" t="s">
        <v>3338</v>
      </c>
      <c r="J2295" t="s">
        <v>2421</v>
      </c>
      <c r="K2295" t="s">
        <v>3354</v>
      </c>
      <c r="L2295" t="s">
        <v>3355</v>
      </c>
      <c r="N2295" t="s">
        <v>3358</v>
      </c>
      <c r="O2295" t="s">
        <v>3359</v>
      </c>
      <c r="P2295">
        <v>40788412</v>
      </c>
    </row>
    <row r="2296" spans="1:16">
      <c r="A2296" t="s">
        <v>108</v>
      </c>
      <c r="B2296">
        <v>2</v>
      </c>
      <c r="E2296" t="s">
        <v>3351</v>
      </c>
      <c r="F2296" t="s">
        <v>3352</v>
      </c>
      <c r="G2296" t="s">
        <v>3353</v>
      </c>
      <c r="I2296" t="s">
        <v>3338</v>
      </c>
      <c r="J2296" t="s">
        <v>2421</v>
      </c>
      <c r="K2296" t="s">
        <v>3354</v>
      </c>
      <c r="L2296" t="s">
        <v>3355</v>
      </c>
      <c r="N2296" t="s">
        <v>3360</v>
      </c>
      <c r="O2296" t="s">
        <v>3361</v>
      </c>
      <c r="P2296">
        <v>40788412</v>
      </c>
    </row>
    <row r="2297" spans="1:16">
      <c r="A2297" t="s">
        <v>108</v>
      </c>
      <c r="B2297">
        <v>1</v>
      </c>
      <c r="E2297" t="s">
        <v>3347</v>
      </c>
      <c r="F2297" t="s">
        <v>3344</v>
      </c>
      <c r="G2297" t="s">
        <v>3348</v>
      </c>
      <c r="I2297" t="s">
        <v>3338</v>
      </c>
      <c r="J2297" t="s">
        <v>2236</v>
      </c>
      <c r="K2297" t="s">
        <v>3362</v>
      </c>
      <c r="L2297" t="s">
        <v>3363</v>
      </c>
      <c r="N2297" t="s">
        <v>3364</v>
      </c>
      <c r="O2297" t="s">
        <v>3365</v>
      </c>
      <c r="P2297">
        <v>40788412</v>
      </c>
    </row>
    <row r="2298" spans="1:16">
      <c r="A2298" t="s">
        <v>108</v>
      </c>
      <c r="B2298">
        <v>1</v>
      </c>
      <c r="E2298" t="s">
        <v>3347</v>
      </c>
      <c r="F2298" t="s">
        <v>3344</v>
      </c>
      <c r="G2298" t="s">
        <v>3348</v>
      </c>
      <c r="I2298" t="s">
        <v>3338</v>
      </c>
      <c r="L2298" t="s">
        <v>193</v>
      </c>
      <c r="N2298" t="s">
        <v>3366</v>
      </c>
      <c r="O2298" t="s">
        <v>3367</v>
      </c>
      <c r="P2298">
        <v>40788412</v>
      </c>
    </row>
    <row r="2299" spans="1:16">
      <c r="A2299" t="s">
        <v>108</v>
      </c>
      <c r="B2299">
        <v>2</v>
      </c>
      <c r="E2299" t="s">
        <v>3366</v>
      </c>
      <c r="F2299" t="s">
        <v>3367</v>
      </c>
      <c r="G2299" t="s">
        <v>3368</v>
      </c>
      <c r="I2299" t="s">
        <v>3338</v>
      </c>
      <c r="J2299" t="s">
        <v>2421</v>
      </c>
      <c r="K2299" t="s">
        <v>3354</v>
      </c>
      <c r="L2299" t="s">
        <v>3369</v>
      </c>
      <c r="N2299" t="s">
        <v>3370</v>
      </c>
      <c r="O2299" t="s">
        <v>3359</v>
      </c>
      <c r="P2299">
        <v>40788412</v>
      </c>
    </row>
    <row r="2300" spans="1:16">
      <c r="A2300" t="s">
        <v>108</v>
      </c>
      <c r="B2300">
        <v>2</v>
      </c>
      <c r="E2300" t="s">
        <v>3366</v>
      </c>
      <c r="F2300" t="s">
        <v>3367</v>
      </c>
      <c r="G2300" t="s">
        <v>3368</v>
      </c>
      <c r="I2300" t="s">
        <v>3338</v>
      </c>
      <c r="J2300" t="s">
        <v>2421</v>
      </c>
      <c r="K2300" t="s">
        <v>3354</v>
      </c>
      <c r="L2300" t="s">
        <v>3369</v>
      </c>
      <c r="N2300" t="s">
        <v>3371</v>
      </c>
      <c r="O2300" t="s">
        <v>3372</v>
      </c>
      <c r="P2300">
        <v>40788412</v>
      </c>
    </row>
    <row r="2301" spans="1:16">
      <c r="A2301" t="s">
        <v>108</v>
      </c>
      <c r="B2301">
        <v>2</v>
      </c>
      <c r="E2301" t="s">
        <v>3366</v>
      </c>
      <c r="F2301" t="s">
        <v>3367</v>
      </c>
      <c r="G2301" t="s">
        <v>3368</v>
      </c>
      <c r="I2301" t="s">
        <v>3338</v>
      </c>
      <c r="J2301" t="s">
        <v>2421</v>
      </c>
      <c r="K2301" t="s">
        <v>3354</v>
      </c>
      <c r="L2301" t="s">
        <v>3369</v>
      </c>
      <c r="N2301" t="s">
        <v>3373</v>
      </c>
      <c r="O2301" t="s">
        <v>3374</v>
      </c>
      <c r="P2301">
        <v>40788412</v>
      </c>
    </row>
    <row r="2302" spans="1:16">
      <c r="A2302" t="s">
        <v>108</v>
      </c>
      <c r="B2302">
        <v>2</v>
      </c>
      <c r="E2302" t="s">
        <v>3366</v>
      </c>
      <c r="F2302" t="s">
        <v>3367</v>
      </c>
      <c r="G2302" t="s">
        <v>3368</v>
      </c>
      <c r="I2302" t="s">
        <v>3338</v>
      </c>
      <c r="J2302" t="s">
        <v>2236</v>
      </c>
      <c r="K2302" t="s">
        <v>3362</v>
      </c>
      <c r="L2302" t="s">
        <v>3363</v>
      </c>
      <c r="N2302" t="s">
        <v>3375</v>
      </c>
      <c r="O2302" t="s">
        <v>3376</v>
      </c>
      <c r="P2302">
        <v>40788412</v>
      </c>
    </row>
    <row r="2303" spans="1:16">
      <c r="A2303" t="s">
        <v>108</v>
      </c>
      <c r="B2303">
        <v>1</v>
      </c>
      <c r="E2303" t="s">
        <v>3347</v>
      </c>
      <c r="F2303" t="s">
        <v>3344</v>
      </c>
      <c r="G2303" t="s">
        <v>3348</v>
      </c>
      <c r="I2303" t="s">
        <v>3338</v>
      </c>
      <c r="J2303" t="s">
        <v>2232</v>
      </c>
      <c r="K2303" t="s">
        <v>2233</v>
      </c>
      <c r="L2303" t="s">
        <v>3342</v>
      </c>
      <c r="N2303" t="s">
        <v>3454</v>
      </c>
      <c r="O2303" t="s">
        <v>3455</v>
      </c>
      <c r="P2303">
        <v>40788412</v>
      </c>
    </row>
    <row r="2304" spans="1:16">
      <c r="A2304" t="s">
        <v>108</v>
      </c>
      <c r="B2304">
        <v>0</v>
      </c>
      <c r="G2304" t="s">
        <v>3338</v>
      </c>
      <c r="I2304" t="s">
        <v>3338</v>
      </c>
      <c r="N2304" t="s">
        <v>3377</v>
      </c>
      <c r="O2304" t="s">
        <v>3346</v>
      </c>
      <c r="P2304">
        <v>40788412</v>
      </c>
    </row>
    <row r="2305" spans="1:16">
      <c r="A2305" t="s">
        <v>108</v>
      </c>
      <c r="B2305">
        <v>1</v>
      </c>
      <c r="E2305" t="s">
        <v>3377</v>
      </c>
      <c r="F2305" t="s">
        <v>3346</v>
      </c>
      <c r="G2305" t="s">
        <v>3378</v>
      </c>
      <c r="I2305" t="s">
        <v>3338</v>
      </c>
      <c r="L2305" t="s">
        <v>193</v>
      </c>
      <c r="N2305" t="s">
        <v>3379</v>
      </c>
      <c r="O2305" t="s">
        <v>3380</v>
      </c>
      <c r="P2305">
        <v>40788412</v>
      </c>
    </row>
    <row r="2306" spans="1:16">
      <c r="A2306" t="s">
        <v>108</v>
      </c>
      <c r="B2306">
        <v>2</v>
      </c>
      <c r="E2306" t="s">
        <v>3379</v>
      </c>
      <c r="F2306" t="s">
        <v>3380</v>
      </c>
      <c r="G2306" t="s">
        <v>3381</v>
      </c>
      <c r="I2306" t="s">
        <v>3338</v>
      </c>
      <c r="J2306" t="s">
        <v>2421</v>
      </c>
      <c r="K2306" t="s">
        <v>3354</v>
      </c>
      <c r="L2306" t="s">
        <v>3369</v>
      </c>
      <c r="N2306" t="s">
        <v>3382</v>
      </c>
      <c r="O2306" t="s">
        <v>3352</v>
      </c>
      <c r="P2306">
        <v>40788412</v>
      </c>
    </row>
    <row r="2307" spans="1:16">
      <c r="A2307" t="s">
        <v>108</v>
      </c>
      <c r="B2307">
        <v>2</v>
      </c>
      <c r="E2307" t="s">
        <v>3379</v>
      </c>
      <c r="F2307" t="s">
        <v>3380</v>
      </c>
      <c r="G2307" t="s">
        <v>3381</v>
      </c>
      <c r="I2307" t="s">
        <v>3338</v>
      </c>
      <c r="L2307" t="s">
        <v>3383</v>
      </c>
      <c r="N2307" t="s">
        <v>3384</v>
      </c>
      <c r="O2307" t="s">
        <v>3385</v>
      </c>
      <c r="P2307">
        <v>40788412</v>
      </c>
    </row>
    <row r="2308" spans="1:16">
      <c r="A2308" t="s">
        <v>108</v>
      </c>
      <c r="B2308">
        <v>2</v>
      </c>
      <c r="E2308" t="s">
        <v>3379</v>
      </c>
      <c r="F2308" t="s">
        <v>3380</v>
      </c>
      <c r="G2308" t="s">
        <v>3381</v>
      </c>
      <c r="I2308" t="s">
        <v>3338</v>
      </c>
      <c r="J2308" t="s">
        <v>2232</v>
      </c>
      <c r="K2308" t="s">
        <v>2233</v>
      </c>
      <c r="L2308" t="s">
        <v>3342</v>
      </c>
      <c r="N2308" t="s">
        <v>3386</v>
      </c>
      <c r="O2308" t="s">
        <v>3350</v>
      </c>
      <c r="P2308">
        <v>40788412</v>
      </c>
    </row>
    <row r="2309" spans="1:16">
      <c r="A2309" t="s">
        <v>108</v>
      </c>
      <c r="B2309">
        <v>0</v>
      </c>
      <c r="G2309" t="s">
        <v>3338</v>
      </c>
      <c r="I2309" t="s">
        <v>3338</v>
      </c>
      <c r="N2309" t="s">
        <v>3395</v>
      </c>
      <c r="O2309" t="s">
        <v>3396</v>
      </c>
      <c r="P2309">
        <v>40788412</v>
      </c>
    </row>
    <row r="2310" spans="1:16">
      <c r="A2310" t="s">
        <v>108</v>
      </c>
      <c r="B2310">
        <v>1</v>
      </c>
      <c r="E2310" t="s">
        <v>3395</v>
      </c>
      <c r="F2310" t="s">
        <v>3396</v>
      </c>
      <c r="G2310" t="s">
        <v>3397</v>
      </c>
      <c r="I2310" t="s">
        <v>3338</v>
      </c>
      <c r="L2310" t="s">
        <v>3342</v>
      </c>
      <c r="N2310" t="s">
        <v>3398</v>
      </c>
      <c r="O2310" t="s">
        <v>3399</v>
      </c>
      <c r="P2310">
        <v>40788412</v>
      </c>
    </row>
    <row r="2311" spans="1:16">
      <c r="A2311" t="s">
        <v>108</v>
      </c>
      <c r="B2311">
        <v>1</v>
      </c>
      <c r="E2311" t="s">
        <v>3395</v>
      </c>
      <c r="F2311" t="s">
        <v>3396</v>
      </c>
      <c r="G2311" t="s">
        <v>3397</v>
      </c>
      <c r="I2311" t="s">
        <v>3338</v>
      </c>
      <c r="J2311" t="s">
        <v>2232</v>
      </c>
      <c r="K2311" t="s">
        <v>2233</v>
      </c>
      <c r="L2311" t="s">
        <v>3342</v>
      </c>
      <c r="N2311" t="s">
        <v>3400</v>
      </c>
      <c r="O2311" t="s">
        <v>3401</v>
      </c>
      <c r="P2311">
        <v>40788412</v>
      </c>
    </row>
    <row r="2312" spans="1:16">
      <c r="A2312" t="s">
        <v>108</v>
      </c>
      <c r="B2312">
        <v>1</v>
      </c>
      <c r="E2312" t="s">
        <v>3395</v>
      </c>
      <c r="F2312" t="s">
        <v>3396</v>
      </c>
      <c r="G2312" t="s">
        <v>3397</v>
      </c>
      <c r="I2312" t="s">
        <v>3338</v>
      </c>
      <c r="L2312" t="s">
        <v>3342</v>
      </c>
      <c r="N2312" t="s">
        <v>3402</v>
      </c>
      <c r="O2312" t="s">
        <v>3403</v>
      </c>
      <c r="P2312">
        <v>40788412</v>
      </c>
    </row>
    <row r="2313" spans="1:16">
      <c r="A2313" t="s">
        <v>108</v>
      </c>
      <c r="B2313">
        <v>1</v>
      </c>
      <c r="E2313" t="s">
        <v>3395</v>
      </c>
      <c r="F2313" t="s">
        <v>3396</v>
      </c>
      <c r="G2313" t="s">
        <v>3397</v>
      </c>
      <c r="I2313" t="s">
        <v>3338</v>
      </c>
      <c r="J2313" t="s">
        <v>2232</v>
      </c>
      <c r="K2313" t="s">
        <v>2233</v>
      </c>
      <c r="L2313" t="s">
        <v>3342</v>
      </c>
      <c r="N2313" t="s">
        <v>3404</v>
      </c>
      <c r="O2313" t="s">
        <v>3405</v>
      </c>
      <c r="P2313">
        <v>40788412</v>
      </c>
    </row>
    <row r="2314" spans="1:16">
      <c r="A2314" t="s">
        <v>108</v>
      </c>
      <c r="B2314">
        <v>0</v>
      </c>
      <c r="G2314" t="s">
        <v>3338</v>
      </c>
      <c r="I2314" t="s">
        <v>3338</v>
      </c>
      <c r="N2314" t="s">
        <v>3406</v>
      </c>
      <c r="O2314" t="s">
        <v>3407</v>
      </c>
      <c r="P2314">
        <v>40788412</v>
      </c>
    </row>
    <row r="2315" spans="1:16">
      <c r="A2315" t="s">
        <v>108</v>
      </c>
      <c r="B2315">
        <v>1</v>
      </c>
      <c r="E2315" t="s">
        <v>3406</v>
      </c>
      <c r="F2315" t="s">
        <v>3407</v>
      </c>
      <c r="G2315" t="s">
        <v>3408</v>
      </c>
      <c r="I2315" t="s">
        <v>3338</v>
      </c>
      <c r="J2315" t="s">
        <v>2421</v>
      </c>
      <c r="K2315" t="s">
        <v>3354</v>
      </c>
      <c r="L2315" t="s">
        <v>3369</v>
      </c>
      <c r="N2315" t="s">
        <v>3409</v>
      </c>
      <c r="O2315" t="s">
        <v>3410</v>
      </c>
      <c r="P2315">
        <v>40788412</v>
      </c>
    </row>
    <row r="2316" spans="1:16">
      <c r="A2316" t="s">
        <v>108</v>
      </c>
      <c r="B2316">
        <v>1</v>
      </c>
      <c r="E2316" t="s">
        <v>3406</v>
      </c>
      <c r="F2316" t="s">
        <v>3407</v>
      </c>
      <c r="G2316" t="s">
        <v>3408</v>
      </c>
      <c r="I2316" t="s">
        <v>3338</v>
      </c>
      <c r="L2316" t="s">
        <v>193</v>
      </c>
      <c r="N2316" t="s">
        <v>3411</v>
      </c>
      <c r="O2316" t="s">
        <v>3412</v>
      </c>
      <c r="P2316">
        <v>40788412</v>
      </c>
    </row>
    <row r="2317" spans="1:16">
      <c r="A2317" t="s">
        <v>108</v>
      </c>
      <c r="B2317">
        <v>2</v>
      </c>
      <c r="E2317" t="s">
        <v>3411</v>
      </c>
      <c r="F2317" t="s">
        <v>3412</v>
      </c>
      <c r="G2317" t="s">
        <v>3413</v>
      </c>
      <c r="I2317" t="s">
        <v>3338</v>
      </c>
      <c r="L2317" t="s">
        <v>3342</v>
      </c>
      <c r="N2317" t="s">
        <v>3414</v>
      </c>
      <c r="O2317" t="s">
        <v>3415</v>
      </c>
      <c r="P2317">
        <v>40788412</v>
      </c>
    </row>
    <row r="2318" spans="1:16">
      <c r="A2318" t="s">
        <v>108</v>
      </c>
      <c r="B2318">
        <v>2</v>
      </c>
      <c r="E2318" t="s">
        <v>3411</v>
      </c>
      <c r="F2318" t="s">
        <v>3412</v>
      </c>
      <c r="G2318" t="s">
        <v>3413</v>
      </c>
      <c r="I2318" t="s">
        <v>3338</v>
      </c>
      <c r="J2318" t="s">
        <v>2232</v>
      </c>
      <c r="K2318" t="s">
        <v>2233</v>
      </c>
      <c r="L2318" t="s">
        <v>3342</v>
      </c>
      <c r="N2318" t="s">
        <v>3416</v>
      </c>
      <c r="O2318" t="s">
        <v>3417</v>
      </c>
      <c r="P2318">
        <v>40788412</v>
      </c>
    </row>
    <row r="2319" spans="1:16">
      <c r="A2319" t="s">
        <v>108</v>
      </c>
      <c r="B2319">
        <v>2</v>
      </c>
      <c r="E2319" t="s">
        <v>3411</v>
      </c>
      <c r="F2319" t="s">
        <v>3412</v>
      </c>
      <c r="G2319" t="s">
        <v>3413</v>
      </c>
      <c r="I2319" t="s">
        <v>3338</v>
      </c>
      <c r="J2319" t="s">
        <v>2232</v>
      </c>
      <c r="K2319" t="s">
        <v>2233</v>
      </c>
      <c r="L2319" t="s">
        <v>3342</v>
      </c>
      <c r="N2319" t="s">
        <v>3418</v>
      </c>
      <c r="O2319" t="s">
        <v>3419</v>
      </c>
      <c r="P2319">
        <v>40788412</v>
      </c>
    </row>
    <row r="2320" spans="1:16">
      <c r="A2320" t="s">
        <v>108</v>
      </c>
      <c r="B2320">
        <v>2</v>
      </c>
      <c r="E2320" t="s">
        <v>3411</v>
      </c>
      <c r="F2320" t="s">
        <v>3412</v>
      </c>
      <c r="G2320" t="s">
        <v>3413</v>
      </c>
      <c r="I2320" t="s">
        <v>3338</v>
      </c>
      <c r="L2320" t="s">
        <v>3342</v>
      </c>
      <c r="N2320" t="s">
        <v>3420</v>
      </c>
      <c r="O2320" t="s">
        <v>3421</v>
      </c>
      <c r="P2320">
        <v>40788412</v>
      </c>
    </row>
    <row r="2321" spans="1:16">
      <c r="A2321" t="s">
        <v>108</v>
      </c>
      <c r="B2321">
        <v>2</v>
      </c>
      <c r="E2321" t="s">
        <v>3411</v>
      </c>
      <c r="F2321" t="s">
        <v>3412</v>
      </c>
      <c r="G2321" t="s">
        <v>3413</v>
      </c>
      <c r="I2321" t="s">
        <v>3338</v>
      </c>
      <c r="J2321" t="s">
        <v>2232</v>
      </c>
      <c r="K2321" t="s">
        <v>2233</v>
      </c>
      <c r="L2321" t="s">
        <v>3342</v>
      </c>
      <c r="N2321" t="s">
        <v>3422</v>
      </c>
      <c r="O2321" t="s">
        <v>3423</v>
      </c>
      <c r="P2321">
        <v>40788412</v>
      </c>
    </row>
    <row r="2322" spans="1:16">
      <c r="A2322" t="s">
        <v>108</v>
      </c>
      <c r="B2322">
        <v>0</v>
      </c>
      <c r="G2322" t="s">
        <v>3338</v>
      </c>
      <c r="I2322" t="s">
        <v>3338</v>
      </c>
      <c r="N2322" t="s">
        <v>3424</v>
      </c>
      <c r="O2322" t="s">
        <v>3425</v>
      </c>
      <c r="P2322">
        <v>40788412</v>
      </c>
    </row>
    <row r="2323" spans="1:16">
      <c r="A2323" t="s">
        <v>108</v>
      </c>
      <c r="B2323">
        <v>1</v>
      </c>
      <c r="E2323" t="s">
        <v>3424</v>
      </c>
      <c r="F2323" t="s">
        <v>3425</v>
      </c>
      <c r="G2323" t="s">
        <v>3426</v>
      </c>
      <c r="I2323" t="s">
        <v>3338</v>
      </c>
      <c r="J2323" t="s">
        <v>2421</v>
      </c>
      <c r="K2323" t="s">
        <v>3354</v>
      </c>
      <c r="L2323" t="s">
        <v>3369</v>
      </c>
      <c r="N2323" t="s">
        <v>3427</v>
      </c>
      <c r="O2323" t="s">
        <v>3428</v>
      </c>
      <c r="P2323">
        <v>40788412</v>
      </c>
    </row>
    <row r="2324" spans="1:16">
      <c r="A2324" t="s">
        <v>108</v>
      </c>
      <c r="B2324">
        <v>1</v>
      </c>
      <c r="E2324" t="s">
        <v>3424</v>
      </c>
      <c r="F2324" t="s">
        <v>3425</v>
      </c>
      <c r="G2324" t="s">
        <v>3426</v>
      </c>
      <c r="I2324" t="s">
        <v>3338</v>
      </c>
      <c r="J2324" t="s">
        <v>2421</v>
      </c>
      <c r="K2324" t="s">
        <v>3354</v>
      </c>
      <c r="L2324" t="s">
        <v>3369</v>
      </c>
      <c r="N2324" t="s">
        <v>3429</v>
      </c>
      <c r="O2324" t="s">
        <v>3430</v>
      </c>
      <c r="P2324">
        <v>40788412</v>
      </c>
    </row>
    <row r="2325" spans="1:16">
      <c r="A2325" t="s">
        <v>108</v>
      </c>
      <c r="B2325">
        <v>1</v>
      </c>
      <c r="E2325" t="s">
        <v>3424</v>
      </c>
      <c r="F2325" t="s">
        <v>3425</v>
      </c>
      <c r="G2325" t="s">
        <v>3426</v>
      </c>
      <c r="I2325" t="s">
        <v>3338</v>
      </c>
      <c r="J2325" t="s">
        <v>2232</v>
      </c>
      <c r="K2325" t="s">
        <v>2233</v>
      </c>
      <c r="L2325" t="s">
        <v>3342</v>
      </c>
      <c r="N2325" t="s">
        <v>3431</v>
      </c>
      <c r="O2325" t="s">
        <v>3432</v>
      </c>
      <c r="P2325">
        <v>40788412</v>
      </c>
    </row>
    <row r="2326" spans="1:16">
      <c r="A2326" t="s">
        <v>108</v>
      </c>
      <c r="B2326">
        <v>0</v>
      </c>
      <c r="G2326" t="s">
        <v>3338</v>
      </c>
      <c r="I2326" t="s">
        <v>3338</v>
      </c>
      <c r="N2326" t="s">
        <v>3433</v>
      </c>
      <c r="O2326" t="s">
        <v>3434</v>
      </c>
      <c r="P2326">
        <v>40788412</v>
      </c>
    </row>
    <row r="2327" spans="1:16">
      <c r="A2327" t="s">
        <v>108</v>
      </c>
      <c r="B2327">
        <v>1</v>
      </c>
      <c r="E2327" t="s">
        <v>3433</v>
      </c>
      <c r="F2327" t="s">
        <v>3434</v>
      </c>
      <c r="G2327" t="s">
        <v>3435</v>
      </c>
      <c r="I2327" t="s">
        <v>3338</v>
      </c>
      <c r="J2327" t="s">
        <v>2232</v>
      </c>
      <c r="K2327" t="s">
        <v>2233</v>
      </c>
      <c r="L2327" t="s">
        <v>3342</v>
      </c>
      <c r="N2327" t="s">
        <v>3436</v>
      </c>
      <c r="O2327" t="s">
        <v>3437</v>
      </c>
      <c r="P2327">
        <v>40788412</v>
      </c>
    </row>
    <row r="2328" spans="1:16">
      <c r="A2328" t="s">
        <v>108</v>
      </c>
      <c r="B2328">
        <v>1</v>
      </c>
      <c r="E2328" t="s">
        <v>3433</v>
      </c>
      <c r="F2328" t="s">
        <v>3434</v>
      </c>
      <c r="G2328" t="s">
        <v>3435</v>
      </c>
      <c r="I2328" t="s">
        <v>3338</v>
      </c>
      <c r="J2328" t="s">
        <v>2232</v>
      </c>
      <c r="K2328" t="s">
        <v>2233</v>
      </c>
      <c r="L2328" t="s">
        <v>3342</v>
      </c>
      <c r="N2328" t="s">
        <v>3438</v>
      </c>
      <c r="O2328" t="s">
        <v>3439</v>
      </c>
      <c r="P2328">
        <v>40788412</v>
      </c>
    </row>
    <row r="2329" spans="1:16">
      <c r="A2329" t="s">
        <v>108</v>
      </c>
      <c r="B2329">
        <v>1</v>
      </c>
      <c r="E2329" t="s">
        <v>3433</v>
      </c>
      <c r="F2329" t="s">
        <v>3434</v>
      </c>
      <c r="G2329" t="s">
        <v>3435</v>
      </c>
      <c r="I2329" t="s">
        <v>3338</v>
      </c>
      <c r="J2329" t="s">
        <v>2232</v>
      </c>
      <c r="K2329" t="s">
        <v>2233</v>
      </c>
      <c r="L2329" t="s">
        <v>3342</v>
      </c>
      <c r="N2329" t="s">
        <v>3440</v>
      </c>
      <c r="O2329" t="s">
        <v>3441</v>
      </c>
      <c r="P2329">
        <v>40788412</v>
      </c>
    </row>
    <row r="2330" spans="1:16">
      <c r="A2330" t="s">
        <v>108</v>
      </c>
      <c r="B2330">
        <v>1</v>
      </c>
      <c r="E2330" t="s">
        <v>3433</v>
      </c>
      <c r="F2330" t="s">
        <v>3434</v>
      </c>
      <c r="G2330" t="s">
        <v>3435</v>
      </c>
      <c r="I2330" t="s">
        <v>3338</v>
      </c>
      <c r="J2330" t="s">
        <v>2232</v>
      </c>
      <c r="K2330" t="s">
        <v>2233</v>
      </c>
      <c r="L2330" t="s">
        <v>3342</v>
      </c>
      <c r="N2330" t="s">
        <v>3442</v>
      </c>
      <c r="O2330" t="s">
        <v>3443</v>
      </c>
      <c r="P2330">
        <v>40788412</v>
      </c>
    </row>
    <row r="2331" spans="1:16">
      <c r="A2331" t="s">
        <v>108</v>
      </c>
      <c r="B2331">
        <v>1</v>
      </c>
      <c r="E2331" t="s">
        <v>3433</v>
      </c>
      <c r="F2331" t="s">
        <v>3434</v>
      </c>
      <c r="G2331" t="s">
        <v>3435</v>
      </c>
      <c r="I2331" t="s">
        <v>3338</v>
      </c>
      <c r="J2331" t="s">
        <v>2232</v>
      </c>
      <c r="K2331" t="s">
        <v>2233</v>
      </c>
      <c r="L2331" t="s">
        <v>3342</v>
      </c>
      <c r="N2331" t="s">
        <v>3444</v>
      </c>
      <c r="O2331" t="s">
        <v>3445</v>
      </c>
      <c r="P2331">
        <v>40788412</v>
      </c>
    </row>
    <row r="2332" spans="1:16">
      <c r="A2332" t="s">
        <v>108</v>
      </c>
      <c r="B2332">
        <v>1</v>
      </c>
      <c r="E2332" t="s">
        <v>3433</v>
      </c>
      <c r="F2332" t="s">
        <v>3434</v>
      </c>
      <c r="G2332" t="s">
        <v>3435</v>
      </c>
      <c r="I2332" t="s">
        <v>3338</v>
      </c>
      <c r="J2332" t="s">
        <v>2232</v>
      </c>
      <c r="K2332" t="s">
        <v>2233</v>
      </c>
      <c r="L2332" t="s">
        <v>3342</v>
      </c>
      <c r="N2332" t="s">
        <v>3446</v>
      </c>
      <c r="O2332" t="s">
        <v>3447</v>
      </c>
      <c r="P2332">
        <v>40788412</v>
      </c>
    </row>
    <row r="2333" spans="1:16">
      <c r="A2333" t="s">
        <v>108</v>
      </c>
      <c r="B2333">
        <v>0</v>
      </c>
      <c r="G2333" t="s">
        <v>3338</v>
      </c>
      <c r="I2333" t="s">
        <v>3338</v>
      </c>
      <c r="N2333" t="s">
        <v>3448</v>
      </c>
      <c r="O2333" t="s">
        <v>3449</v>
      </c>
      <c r="P2333">
        <v>40788412</v>
      </c>
    </row>
    <row r="2334" spans="1:16">
      <c r="A2334" t="s">
        <v>108</v>
      </c>
      <c r="B2334">
        <v>1</v>
      </c>
      <c r="E2334" t="s">
        <v>3448</v>
      </c>
      <c r="F2334" t="s">
        <v>3449</v>
      </c>
      <c r="G2334" t="s">
        <v>3450</v>
      </c>
      <c r="I2334" t="s">
        <v>3338</v>
      </c>
      <c r="J2334" t="s">
        <v>2421</v>
      </c>
      <c r="K2334" t="s">
        <v>3354</v>
      </c>
      <c r="L2334" t="s">
        <v>3451</v>
      </c>
      <c r="N2334" t="s">
        <v>3452</v>
      </c>
      <c r="O2334" t="s">
        <v>3453</v>
      </c>
      <c r="P2334">
        <v>40788412</v>
      </c>
    </row>
    <row r="2335" spans="1:16">
      <c r="A2335" t="s">
        <v>108</v>
      </c>
      <c r="B2335">
        <v>0</v>
      </c>
      <c r="G2335" t="s">
        <v>3456</v>
      </c>
      <c r="I2335" t="s">
        <v>3456</v>
      </c>
      <c r="M2335" t="s">
        <v>3463</v>
      </c>
      <c r="N2335" t="s">
        <v>3464</v>
      </c>
      <c r="O2335" t="s">
        <v>3465</v>
      </c>
      <c r="P2335">
        <v>40788412</v>
      </c>
    </row>
    <row r="2336" spans="1:16">
      <c r="A2336" t="s">
        <v>110</v>
      </c>
      <c r="B2336">
        <v>0</v>
      </c>
      <c r="G2336" t="s">
        <v>3338</v>
      </c>
      <c r="I2336" t="s">
        <v>3338</v>
      </c>
      <c r="N2336" t="s">
        <v>3339</v>
      </c>
      <c r="O2336" t="s">
        <v>3340</v>
      </c>
      <c r="P2336">
        <v>40211340</v>
      </c>
    </row>
    <row r="2337" spans="1:16">
      <c r="A2337" t="s">
        <v>110</v>
      </c>
      <c r="B2337">
        <v>1</v>
      </c>
      <c r="E2337" t="s">
        <v>3339</v>
      </c>
      <c r="F2337" t="s">
        <v>3340</v>
      </c>
      <c r="G2337" t="s">
        <v>3341</v>
      </c>
      <c r="I2337" t="s">
        <v>3338</v>
      </c>
      <c r="J2337" t="s">
        <v>2232</v>
      </c>
      <c r="K2337" t="s">
        <v>2233</v>
      </c>
      <c r="L2337" t="s">
        <v>3342</v>
      </c>
      <c r="N2337" t="s">
        <v>3343</v>
      </c>
      <c r="O2337" t="s">
        <v>3344</v>
      </c>
      <c r="P2337">
        <v>40211340</v>
      </c>
    </row>
    <row r="2338" spans="1:16">
      <c r="A2338" t="s">
        <v>110</v>
      </c>
      <c r="B2338">
        <v>1</v>
      </c>
      <c r="E2338" t="s">
        <v>3339</v>
      </c>
      <c r="F2338" t="s">
        <v>3340</v>
      </c>
      <c r="G2338" t="s">
        <v>3341</v>
      </c>
      <c r="I2338" t="s">
        <v>3338</v>
      </c>
      <c r="J2338" t="s">
        <v>2232</v>
      </c>
      <c r="K2338" t="s">
        <v>2233</v>
      </c>
      <c r="L2338" t="s">
        <v>3342</v>
      </c>
      <c r="N2338" t="s">
        <v>3345</v>
      </c>
      <c r="O2338" t="s">
        <v>3346</v>
      </c>
      <c r="P2338">
        <v>40211340</v>
      </c>
    </row>
    <row r="2339" spans="1:16">
      <c r="A2339" t="s">
        <v>110</v>
      </c>
      <c r="B2339">
        <v>0</v>
      </c>
      <c r="G2339" t="s">
        <v>3338</v>
      </c>
      <c r="I2339" t="s">
        <v>3338</v>
      </c>
      <c r="N2339" t="s">
        <v>3347</v>
      </c>
      <c r="O2339" t="s">
        <v>3344</v>
      </c>
      <c r="P2339">
        <v>40211340</v>
      </c>
    </row>
    <row r="2340" spans="1:16">
      <c r="A2340" t="s">
        <v>110</v>
      </c>
      <c r="B2340">
        <v>1</v>
      </c>
      <c r="E2340" t="s">
        <v>3347</v>
      </c>
      <c r="F2340" t="s">
        <v>3344</v>
      </c>
      <c r="G2340" t="s">
        <v>3348</v>
      </c>
      <c r="I2340" t="s">
        <v>3338</v>
      </c>
      <c r="J2340" t="s">
        <v>2232</v>
      </c>
      <c r="K2340" t="s">
        <v>2233</v>
      </c>
      <c r="L2340" t="s">
        <v>3342</v>
      </c>
      <c r="N2340" t="s">
        <v>3349</v>
      </c>
      <c r="O2340" t="s">
        <v>3350</v>
      </c>
      <c r="P2340">
        <v>40211340</v>
      </c>
    </row>
    <row r="2341" spans="1:16">
      <c r="A2341" t="s">
        <v>110</v>
      </c>
      <c r="B2341">
        <v>1</v>
      </c>
      <c r="E2341" t="s">
        <v>3347</v>
      </c>
      <c r="F2341" t="s">
        <v>3344</v>
      </c>
      <c r="G2341" t="s">
        <v>3348</v>
      </c>
      <c r="I2341" t="s">
        <v>3338</v>
      </c>
      <c r="L2341" t="s">
        <v>193</v>
      </c>
      <c r="N2341" t="s">
        <v>3351</v>
      </c>
      <c r="O2341" t="s">
        <v>3352</v>
      </c>
      <c r="P2341">
        <v>40211340</v>
      </c>
    </row>
    <row r="2342" spans="1:16">
      <c r="A2342" t="s">
        <v>110</v>
      </c>
      <c r="B2342">
        <v>2</v>
      </c>
      <c r="E2342" t="s">
        <v>3351</v>
      </c>
      <c r="F2342" t="s">
        <v>3352</v>
      </c>
      <c r="G2342" t="s">
        <v>3353</v>
      </c>
      <c r="I2342" t="s">
        <v>3338</v>
      </c>
      <c r="J2342" t="s">
        <v>2421</v>
      </c>
      <c r="K2342" t="s">
        <v>3354</v>
      </c>
      <c r="L2342" t="s">
        <v>3355</v>
      </c>
      <c r="N2342" t="s">
        <v>3356</v>
      </c>
      <c r="O2342" t="s">
        <v>3357</v>
      </c>
      <c r="P2342">
        <v>40211340</v>
      </c>
    </row>
    <row r="2343" spans="1:16">
      <c r="A2343" t="s">
        <v>110</v>
      </c>
      <c r="B2343">
        <v>2</v>
      </c>
      <c r="E2343" t="s">
        <v>3351</v>
      </c>
      <c r="F2343" t="s">
        <v>3352</v>
      </c>
      <c r="G2343" t="s">
        <v>3353</v>
      </c>
      <c r="I2343" t="s">
        <v>3338</v>
      </c>
      <c r="J2343" t="s">
        <v>2421</v>
      </c>
      <c r="K2343" t="s">
        <v>3354</v>
      </c>
      <c r="L2343" t="s">
        <v>3355</v>
      </c>
      <c r="N2343" t="s">
        <v>3358</v>
      </c>
      <c r="O2343" t="s">
        <v>3359</v>
      </c>
      <c r="P2343">
        <v>40211340</v>
      </c>
    </row>
    <row r="2344" spans="1:16">
      <c r="A2344" t="s">
        <v>110</v>
      </c>
      <c r="B2344">
        <v>2</v>
      </c>
      <c r="E2344" t="s">
        <v>3351</v>
      </c>
      <c r="F2344" t="s">
        <v>3352</v>
      </c>
      <c r="G2344" t="s">
        <v>3353</v>
      </c>
      <c r="I2344" t="s">
        <v>3338</v>
      </c>
      <c r="J2344" t="s">
        <v>2421</v>
      </c>
      <c r="K2344" t="s">
        <v>3354</v>
      </c>
      <c r="L2344" t="s">
        <v>3355</v>
      </c>
      <c r="N2344" t="s">
        <v>3360</v>
      </c>
      <c r="O2344" t="s">
        <v>3361</v>
      </c>
      <c r="P2344">
        <v>40211340</v>
      </c>
    </row>
    <row r="2345" spans="1:16">
      <c r="A2345" t="s">
        <v>110</v>
      </c>
      <c r="B2345">
        <v>1</v>
      </c>
      <c r="E2345" t="s">
        <v>3347</v>
      </c>
      <c r="F2345" t="s">
        <v>3344</v>
      </c>
      <c r="G2345" t="s">
        <v>3348</v>
      </c>
      <c r="I2345" t="s">
        <v>3338</v>
      </c>
      <c r="J2345" t="s">
        <v>2236</v>
      </c>
      <c r="K2345" t="s">
        <v>3362</v>
      </c>
      <c r="L2345" t="s">
        <v>3363</v>
      </c>
      <c r="N2345" t="s">
        <v>3364</v>
      </c>
      <c r="O2345" t="s">
        <v>3365</v>
      </c>
      <c r="P2345">
        <v>40211340</v>
      </c>
    </row>
    <row r="2346" spans="1:16">
      <c r="A2346" t="s">
        <v>110</v>
      </c>
      <c r="B2346">
        <v>1</v>
      </c>
      <c r="E2346" t="s">
        <v>3347</v>
      </c>
      <c r="F2346" t="s">
        <v>3344</v>
      </c>
      <c r="G2346" t="s">
        <v>3348</v>
      </c>
      <c r="I2346" t="s">
        <v>3338</v>
      </c>
      <c r="L2346" t="s">
        <v>193</v>
      </c>
      <c r="N2346" t="s">
        <v>3366</v>
      </c>
      <c r="O2346" t="s">
        <v>3367</v>
      </c>
      <c r="P2346">
        <v>40211340</v>
      </c>
    </row>
    <row r="2347" spans="1:16">
      <c r="A2347" t="s">
        <v>110</v>
      </c>
      <c r="B2347">
        <v>2</v>
      </c>
      <c r="E2347" t="s">
        <v>3366</v>
      </c>
      <c r="F2347" t="s">
        <v>3367</v>
      </c>
      <c r="G2347" t="s">
        <v>3368</v>
      </c>
      <c r="I2347" t="s">
        <v>3338</v>
      </c>
      <c r="J2347" t="s">
        <v>2421</v>
      </c>
      <c r="K2347" t="s">
        <v>3354</v>
      </c>
      <c r="L2347" t="s">
        <v>3369</v>
      </c>
      <c r="N2347" t="s">
        <v>3370</v>
      </c>
      <c r="O2347" t="s">
        <v>3359</v>
      </c>
      <c r="P2347">
        <v>40211340</v>
      </c>
    </row>
    <row r="2348" spans="1:16">
      <c r="A2348" t="s">
        <v>110</v>
      </c>
      <c r="B2348">
        <v>2</v>
      </c>
      <c r="E2348" t="s">
        <v>3366</v>
      </c>
      <c r="F2348" t="s">
        <v>3367</v>
      </c>
      <c r="G2348" t="s">
        <v>3368</v>
      </c>
      <c r="I2348" t="s">
        <v>3338</v>
      </c>
      <c r="J2348" t="s">
        <v>2421</v>
      </c>
      <c r="K2348" t="s">
        <v>3354</v>
      </c>
      <c r="L2348" t="s">
        <v>3369</v>
      </c>
      <c r="N2348" t="s">
        <v>3371</v>
      </c>
      <c r="O2348" t="s">
        <v>3372</v>
      </c>
      <c r="P2348">
        <v>40211340</v>
      </c>
    </row>
    <row r="2349" spans="1:16">
      <c r="A2349" t="s">
        <v>110</v>
      </c>
      <c r="B2349">
        <v>2</v>
      </c>
      <c r="E2349" t="s">
        <v>3366</v>
      </c>
      <c r="F2349" t="s">
        <v>3367</v>
      </c>
      <c r="G2349" t="s">
        <v>3368</v>
      </c>
      <c r="I2349" t="s">
        <v>3338</v>
      </c>
      <c r="J2349" t="s">
        <v>2421</v>
      </c>
      <c r="K2349" t="s">
        <v>3354</v>
      </c>
      <c r="L2349" t="s">
        <v>3369</v>
      </c>
      <c r="N2349" t="s">
        <v>3373</v>
      </c>
      <c r="O2349" t="s">
        <v>3374</v>
      </c>
      <c r="P2349">
        <v>40211340</v>
      </c>
    </row>
    <row r="2350" spans="1:16">
      <c r="A2350" t="s">
        <v>110</v>
      </c>
      <c r="B2350">
        <v>2</v>
      </c>
      <c r="E2350" t="s">
        <v>3366</v>
      </c>
      <c r="F2350" t="s">
        <v>3367</v>
      </c>
      <c r="G2350" t="s">
        <v>3368</v>
      </c>
      <c r="I2350" t="s">
        <v>3338</v>
      </c>
      <c r="J2350" t="s">
        <v>2236</v>
      </c>
      <c r="K2350" t="s">
        <v>3362</v>
      </c>
      <c r="L2350" t="s">
        <v>3363</v>
      </c>
      <c r="N2350" t="s">
        <v>3375</v>
      </c>
      <c r="O2350" t="s">
        <v>3376</v>
      </c>
      <c r="P2350">
        <v>40211340</v>
      </c>
    </row>
    <row r="2351" spans="1:16">
      <c r="A2351" t="s">
        <v>110</v>
      </c>
      <c r="B2351">
        <v>0</v>
      </c>
      <c r="G2351" t="s">
        <v>3338</v>
      </c>
      <c r="I2351" t="s">
        <v>3338</v>
      </c>
      <c r="N2351" t="s">
        <v>3377</v>
      </c>
      <c r="O2351" t="s">
        <v>3346</v>
      </c>
      <c r="P2351">
        <v>40211340</v>
      </c>
    </row>
    <row r="2352" spans="1:16">
      <c r="A2352" t="s">
        <v>110</v>
      </c>
      <c r="B2352">
        <v>1</v>
      </c>
      <c r="E2352" t="s">
        <v>3377</v>
      </c>
      <c r="F2352" t="s">
        <v>3346</v>
      </c>
      <c r="G2352" t="s">
        <v>3378</v>
      </c>
      <c r="I2352" t="s">
        <v>3338</v>
      </c>
      <c r="L2352" t="s">
        <v>193</v>
      </c>
      <c r="N2352" t="s">
        <v>3379</v>
      </c>
      <c r="O2352" t="s">
        <v>3380</v>
      </c>
      <c r="P2352">
        <v>40211340</v>
      </c>
    </row>
    <row r="2353" spans="1:16">
      <c r="A2353" t="s">
        <v>110</v>
      </c>
      <c r="B2353">
        <v>2</v>
      </c>
      <c r="E2353" t="s">
        <v>3379</v>
      </c>
      <c r="F2353" t="s">
        <v>3380</v>
      </c>
      <c r="G2353" t="s">
        <v>3381</v>
      </c>
      <c r="I2353" t="s">
        <v>3338</v>
      </c>
      <c r="J2353" t="s">
        <v>2421</v>
      </c>
      <c r="K2353" t="s">
        <v>3354</v>
      </c>
      <c r="L2353" t="s">
        <v>3369</v>
      </c>
      <c r="N2353" t="s">
        <v>3382</v>
      </c>
      <c r="O2353" t="s">
        <v>3352</v>
      </c>
      <c r="P2353">
        <v>40211340</v>
      </c>
    </row>
    <row r="2354" spans="1:16">
      <c r="A2354" t="s">
        <v>110</v>
      </c>
      <c r="B2354">
        <v>2</v>
      </c>
      <c r="E2354" t="s">
        <v>3379</v>
      </c>
      <c r="F2354" t="s">
        <v>3380</v>
      </c>
      <c r="G2354" t="s">
        <v>3381</v>
      </c>
      <c r="I2354" t="s">
        <v>3338</v>
      </c>
      <c r="L2354" t="s">
        <v>3383</v>
      </c>
      <c r="N2354" t="s">
        <v>3384</v>
      </c>
      <c r="O2354" t="s">
        <v>3385</v>
      </c>
      <c r="P2354">
        <v>40211340</v>
      </c>
    </row>
    <row r="2355" spans="1:16">
      <c r="A2355" t="s">
        <v>110</v>
      </c>
      <c r="B2355">
        <v>2</v>
      </c>
      <c r="E2355" t="s">
        <v>3379</v>
      </c>
      <c r="F2355" t="s">
        <v>3380</v>
      </c>
      <c r="G2355" t="s">
        <v>3381</v>
      </c>
      <c r="I2355" t="s">
        <v>3338</v>
      </c>
      <c r="J2355" t="s">
        <v>2232</v>
      </c>
      <c r="K2355" t="s">
        <v>2233</v>
      </c>
      <c r="L2355" t="s">
        <v>3342</v>
      </c>
      <c r="N2355" t="s">
        <v>3386</v>
      </c>
      <c r="O2355" t="s">
        <v>3350</v>
      </c>
      <c r="P2355">
        <v>40211340</v>
      </c>
    </row>
    <row r="2356" spans="1:16">
      <c r="A2356" t="s">
        <v>110</v>
      </c>
      <c r="B2356">
        <v>1</v>
      </c>
      <c r="E2356" t="s">
        <v>3377</v>
      </c>
      <c r="F2356" t="s">
        <v>3346</v>
      </c>
      <c r="G2356" t="s">
        <v>3378</v>
      </c>
      <c r="I2356" t="s">
        <v>3338</v>
      </c>
      <c r="L2356" t="s">
        <v>193</v>
      </c>
      <c r="N2356" t="s">
        <v>3387</v>
      </c>
      <c r="O2356" t="s">
        <v>3388</v>
      </c>
      <c r="P2356">
        <v>40211340</v>
      </c>
    </row>
    <row r="2357" spans="1:16">
      <c r="A2357" t="s">
        <v>110</v>
      </c>
      <c r="B2357">
        <v>2</v>
      </c>
      <c r="E2357" t="s">
        <v>3387</v>
      </c>
      <c r="F2357" t="s">
        <v>3388</v>
      </c>
      <c r="G2357" t="s">
        <v>3389</v>
      </c>
      <c r="I2357" t="s">
        <v>3338</v>
      </c>
      <c r="L2357" t="s">
        <v>3369</v>
      </c>
      <c r="N2357" t="s">
        <v>3390</v>
      </c>
      <c r="O2357" t="s">
        <v>3352</v>
      </c>
      <c r="P2357">
        <v>40211340</v>
      </c>
    </row>
    <row r="2358" spans="1:16">
      <c r="A2358" t="s">
        <v>110</v>
      </c>
      <c r="B2358">
        <v>2</v>
      </c>
      <c r="E2358" t="s">
        <v>3387</v>
      </c>
      <c r="F2358" t="s">
        <v>3388</v>
      </c>
      <c r="G2358" t="s">
        <v>3389</v>
      </c>
      <c r="I2358" t="s">
        <v>3338</v>
      </c>
      <c r="L2358" t="s">
        <v>3342</v>
      </c>
      <c r="N2358" t="s">
        <v>3391</v>
      </c>
      <c r="O2358" t="s">
        <v>3392</v>
      </c>
      <c r="P2358">
        <v>40211340</v>
      </c>
    </row>
    <row r="2359" spans="1:16">
      <c r="A2359" t="s">
        <v>110</v>
      </c>
      <c r="B2359">
        <v>2</v>
      </c>
      <c r="E2359" t="s">
        <v>3387</v>
      </c>
      <c r="F2359" t="s">
        <v>3388</v>
      </c>
      <c r="G2359" t="s">
        <v>3389</v>
      </c>
      <c r="I2359" t="s">
        <v>3338</v>
      </c>
      <c r="L2359" t="s">
        <v>3383</v>
      </c>
      <c r="N2359" t="s">
        <v>3393</v>
      </c>
      <c r="O2359" t="s">
        <v>3385</v>
      </c>
      <c r="P2359">
        <v>40211340</v>
      </c>
    </row>
    <row r="2360" spans="1:16">
      <c r="A2360" t="s">
        <v>110</v>
      </c>
      <c r="B2360">
        <v>2</v>
      </c>
      <c r="E2360" t="s">
        <v>3387</v>
      </c>
      <c r="F2360" t="s">
        <v>3388</v>
      </c>
      <c r="G2360" t="s">
        <v>3389</v>
      </c>
      <c r="I2360" t="s">
        <v>3338</v>
      </c>
      <c r="L2360" t="s">
        <v>3342</v>
      </c>
      <c r="N2360" t="s">
        <v>3394</v>
      </c>
      <c r="O2360" t="s">
        <v>3350</v>
      </c>
      <c r="P2360">
        <v>40211340</v>
      </c>
    </row>
    <row r="2361" spans="1:16">
      <c r="A2361" t="s">
        <v>110</v>
      </c>
      <c r="B2361">
        <v>0</v>
      </c>
      <c r="G2361" t="s">
        <v>3338</v>
      </c>
      <c r="I2361" t="s">
        <v>3338</v>
      </c>
      <c r="N2361" t="s">
        <v>3395</v>
      </c>
      <c r="O2361" t="s">
        <v>3396</v>
      </c>
      <c r="P2361">
        <v>40211340</v>
      </c>
    </row>
    <row r="2362" spans="1:16">
      <c r="A2362" t="s">
        <v>110</v>
      </c>
      <c r="B2362">
        <v>1</v>
      </c>
      <c r="E2362" t="s">
        <v>3395</v>
      </c>
      <c r="F2362" t="s">
        <v>3396</v>
      </c>
      <c r="G2362" t="s">
        <v>3397</v>
      </c>
      <c r="I2362" t="s">
        <v>3338</v>
      </c>
      <c r="L2362" t="s">
        <v>3342</v>
      </c>
      <c r="N2362" t="s">
        <v>3398</v>
      </c>
      <c r="O2362" t="s">
        <v>3399</v>
      </c>
      <c r="P2362">
        <v>40211340</v>
      </c>
    </row>
    <row r="2363" spans="1:16">
      <c r="A2363" t="s">
        <v>110</v>
      </c>
      <c r="B2363">
        <v>1</v>
      </c>
      <c r="E2363" t="s">
        <v>3395</v>
      </c>
      <c r="F2363" t="s">
        <v>3396</v>
      </c>
      <c r="G2363" t="s">
        <v>3397</v>
      </c>
      <c r="I2363" t="s">
        <v>3338</v>
      </c>
      <c r="J2363" t="s">
        <v>2232</v>
      </c>
      <c r="K2363" t="s">
        <v>2233</v>
      </c>
      <c r="L2363" t="s">
        <v>3342</v>
      </c>
      <c r="N2363" t="s">
        <v>3400</v>
      </c>
      <c r="O2363" t="s">
        <v>3401</v>
      </c>
      <c r="P2363">
        <v>40211340</v>
      </c>
    </row>
    <row r="2364" spans="1:16">
      <c r="A2364" t="s">
        <v>110</v>
      </c>
      <c r="B2364">
        <v>1</v>
      </c>
      <c r="E2364" t="s">
        <v>3395</v>
      </c>
      <c r="F2364" t="s">
        <v>3396</v>
      </c>
      <c r="G2364" t="s">
        <v>3397</v>
      </c>
      <c r="I2364" t="s">
        <v>3338</v>
      </c>
      <c r="L2364" t="s">
        <v>3342</v>
      </c>
      <c r="N2364" t="s">
        <v>3402</v>
      </c>
      <c r="O2364" t="s">
        <v>3403</v>
      </c>
      <c r="P2364">
        <v>40211340</v>
      </c>
    </row>
    <row r="2365" spans="1:16">
      <c r="A2365" t="s">
        <v>110</v>
      </c>
      <c r="B2365">
        <v>1</v>
      </c>
      <c r="E2365" t="s">
        <v>3395</v>
      </c>
      <c r="F2365" t="s">
        <v>3396</v>
      </c>
      <c r="G2365" t="s">
        <v>3397</v>
      </c>
      <c r="I2365" t="s">
        <v>3338</v>
      </c>
      <c r="L2365" t="s">
        <v>3342</v>
      </c>
      <c r="N2365" t="s">
        <v>3404</v>
      </c>
      <c r="O2365" t="s">
        <v>3405</v>
      </c>
      <c r="P2365">
        <v>40211340</v>
      </c>
    </row>
    <row r="2366" spans="1:16">
      <c r="A2366" t="s">
        <v>110</v>
      </c>
      <c r="B2366">
        <v>0</v>
      </c>
      <c r="G2366" t="s">
        <v>3338</v>
      </c>
      <c r="I2366" t="s">
        <v>3338</v>
      </c>
      <c r="N2366" t="s">
        <v>3406</v>
      </c>
      <c r="O2366" t="s">
        <v>3407</v>
      </c>
      <c r="P2366">
        <v>40211340</v>
      </c>
    </row>
    <row r="2367" spans="1:16">
      <c r="A2367" t="s">
        <v>110</v>
      </c>
      <c r="B2367">
        <v>1</v>
      </c>
      <c r="E2367" t="s">
        <v>3406</v>
      </c>
      <c r="F2367" t="s">
        <v>3407</v>
      </c>
      <c r="G2367" t="s">
        <v>3408</v>
      </c>
      <c r="I2367" t="s">
        <v>3338</v>
      </c>
      <c r="J2367" t="s">
        <v>2421</v>
      </c>
      <c r="K2367" t="s">
        <v>3354</v>
      </c>
      <c r="L2367" t="s">
        <v>3369</v>
      </c>
      <c r="N2367" t="s">
        <v>3409</v>
      </c>
      <c r="O2367" t="s">
        <v>3410</v>
      </c>
      <c r="P2367">
        <v>40211340</v>
      </c>
    </row>
    <row r="2368" spans="1:16">
      <c r="A2368" t="s">
        <v>110</v>
      </c>
      <c r="B2368">
        <v>1</v>
      </c>
      <c r="E2368" t="s">
        <v>3406</v>
      </c>
      <c r="F2368" t="s">
        <v>3407</v>
      </c>
      <c r="G2368" t="s">
        <v>3408</v>
      </c>
      <c r="I2368" t="s">
        <v>3338</v>
      </c>
      <c r="L2368" t="s">
        <v>193</v>
      </c>
      <c r="N2368" t="s">
        <v>3411</v>
      </c>
      <c r="O2368" t="s">
        <v>3412</v>
      </c>
      <c r="P2368">
        <v>40211340</v>
      </c>
    </row>
    <row r="2369" spans="1:16">
      <c r="A2369" t="s">
        <v>110</v>
      </c>
      <c r="B2369">
        <v>2</v>
      </c>
      <c r="E2369" t="s">
        <v>3411</v>
      </c>
      <c r="F2369" t="s">
        <v>3412</v>
      </c>
      <c r="G2369" t="s">
        <v>3413</v>
      </c>
      <c r="I2369" t="s">
        <v>3338</v>
      </c>
      <c r="J2369" t="s">
        <v>2232</v>
      </c>
      <c r="K2369" t="s">
        <v>2233</v>
      </c>
      <c r="L2369" t="s">
        <v>3342</v>
      </c>
      <c r="N2369" t="s">
        <v>3414</v>
      </c>
      <c r="O2369" t="s">
        <v>3415</v>
      </c>
      <c r="P2369">
        <v>40211340</v>
      </c>
    </row>
    <row r="2370" spans="1:16">
      <c r="A2370" t="s">
        <v>110</v>
      </c>
      <c r="B2370">
        <v>2</v>
      </c>
      <c r="E2370" t="s">
        <v>3411</v>
      </c>
      <c r="F2370" t="s">
        <v>3412</v>
      </c>
      <c r="G2370" t="s">
        <v>3413</v>
      </c>
      <c r="I2370" t="s">
        <v>3338</v>
      </c>
      <c r="J2370" t="s">
        <v>2232</v>
      </c>
      <c r="K2370" t="s">
        <v>2233</v>
      </c>
      <c r="L2370" t="s">
        <v>3342</v>
      </c>
      <c r="N2370" t="s">
        <v>3416</v>
      </c>
      <c r="O2370" t="s">
        <v>3417</v>
      </c>
      <c r="P2370">
        <v>40211340</v>
      </c>
    </row>
    <row r="2371" spans="1:16">
      <c r="A2371" t="s">
        <v>110</v>
      </c>
      <c r="B2371">
        <v>2</v>
      </c>
      <c r="E2371" t="s">
        <v>3411</v>
      </c>
      <c r="F2371" t="s">
        <v>3412</v>
      </c>
      <c r="G2371" t="s">
        <v>3413</v>
      </c>
      <c r="I2371" t="s">
        <v>3338</v>
      </c>
      <c r="J2371" t="s">
        <v>2232</v>
      </c>
      <c r="K2371" t="s">
        <v>2233</v>
      </c>
      <c r="L2371" t="s">
        <v>3342</v>
      </c>
      <c r="N2371" t="s">
        <v>3418</v>
      </c>
      <c r="O2371" t="s">
        <v>3419</v>
      </c>
      <c r="P2371">
        <v>40211340</v>
      </c>
    </row>
    <row r="2372" spans="1:16">
      <c r="A2372" t="s">
        <v>110</v>
      </c>
      <c r="B2372">
        <v>2</v>
      </c>
      <c r="E2372" t="s">
        <v>3411</v>
      </c>
      <c r="F2372" t="s">
        <v>3412</v>
      </c>
      <c r="G2372" t="s">
        <v>3413</v>
      </c>
      <c r="I2372" t="s">
        <v>3338</v>
      </c>
      <c r="J2372" t="s">
        <v>2232</v>
      </c>
      <c r="K2372" t="s">
        <v>2233</v>
      </c>
      <c r="L2372" t="s">
        <v>3342</v>
      </c>
      <c r="N2372" t="s">
        <v>3420</v>
      </c>
      <c r="O2372" t="s">
        <v>3421</v>
      </c>
      <c r="P2372">
        <v>40211340</v>
      </c>
    </row>
    <row r="2373" spans="1:16">
      <c r="A2373" t="s">
        <v>110</v>
      </c>
      <c r="B2373">
        <v>2</v>
      </c>
      <c r="E2373" t="s">
        <v>3411</v>
      </c>
      <c r="F2373" t="s">
        <v>3412</v>
      </c>
      <c r="G2373" t="s">
        <v>3413</v>
      </c>
      <c r="I2373" t="s">
        <v>3338</v>
      </c>
      <c r="J2373" t="s">
        <v>2232</v>
      </c>
      <c r="K2373" t="s">
        <v>2233</v>
      </c>
      <c r="L2373" t="s">
        <v>3342</v>
      </c>
      <c r="N2373" t="s">
        <v>3422</v>
      </c>
      <c r="O2373" t="s">
        <v>3423</v>
      </c>
      <c r="P2373">
        <v>40211340</v>
      </c>
    </row>
    <row r="2374" spans="1:16">
      <c r="A2374" t="s">
        <v>110</v>
      </c>
      <c r="B2374">
        <v>0</v>
      </c>
      <c r="G2374" t="s">
        <v>3338</v>
      </c>
      <c r="I2374" t="s">
        <v>3338</v>
      </c>
      <c r="N2374" t="s">
        <v>3424</v>
      </c>
      <c r="O2374" t="s">
        <v>3425</v>
      </c>
      <c r="P2374">
        <v>40211340</v>
      </c>
    </row>
    <row r="2375" spans="1:16">
      <c r="A2375" t="s">
        <v>110</v>
      </c>
      <c r="B2375">
        <v>1</v>
      </c>
      <c r="E2375" t="s">
        <v>3424</v>
      </c>
      <c r="F2375" t="s">
        <v>3425</v>
      </c>
      <c r="G2375" t="s">
        <v>3426</v>
      </c>
      <c r="I2375" t="s">
        <v>3338</v>
      </c>
      <c r="J2375" t="s">
        <v>2421</v>
      </c>
      <c r="K2375" t="s">
        <v>3354</v>
      </c>
      <c r="L2375" t="s">
        <v>3369</v>
      </c>
      <c r="N2375" t="s">
        <v>3427</v>
      </c>
      <c r="O2375" t="s">
        <v>3428</v>
      </c>
      <c r="P2375">
        <v>40211340</v>
      </c>
    </row>
    <row r="2376" spans="1:16">
      <c r="A2376" t="s">
        <v>110</v>
      </c>
      <c r="B2376">
        <v>1</v>
      </c>
      <c r="E2376" t="s">
        <v>3424</v>
      </c>
      <c r="F2376" t="s">
        <v>3425</v>
      </c>
      <c r="G2376" t="s">
        <v>3426</v>
      </c>
      <c r="I2376" t="s">
        <v>3338</v>
      </c>
      <c r="J2376" t="s">
        <v>2421</v>
      </c>
      <c r="K2376" t="s">
        <v>3354</v>
      </c>
      <c r="L2376" t="s">
        <v>3369</v>
      </c>
      <c r="N2376" t="s">
        <v>3429</v>
      </c>
      <c r="O2376" t="s">
        <v>3430</v>
      </c>
      <c r="P2376">
        <v>40211340</v>
      </c>
    </row>
    <row r="2377" spans="1:16">
      <c r="A2377" t="s">
        <v>110</v>
      </c>
      <c r="B2377">
        <v>1</v>
      </c>
      <c r="E2377" t="s">
        <v>3424</v>
      </c>
      <c r="F2377" t="s">
        <v>3425</v>
      </c>
      <c r="G2377" t="s">
        <v>3426</v>
      </c>
      <c r="I2377" t="s">
        <v>3338</v>
      </c>
      <c r="J2377" t="s">
        <v>2232</v>
      </c>
      <c r="K2377" t="s">
        <v>2233</v>
      </c>
      <c r="L2377" t="s">
        <v>3342</v>
      </c>
      <c r="N2377" t="s">
        <v>3431</v>
      </c>
      <c r="O2377" t="s">
        <v>3432</v>
      </c>
      <c r="P2377">
        <v>40211340</v>
      </c>
    </row>
    <row r="2378" spans="1:16">
      <c r="A2378" t="s">
        <v>110</v>
      </c>
      <c r="B2378">
        <v>0</v>
      </c>
      <c r="G2378" t="s">
        <v>3338</v>
      </c>
      <c r="I2378" t="s">
        <v>3338</v>
      </c>
      <c r="N2378" t="s">
        <v>3433</v>
      </c>
      <c r="O2378" t="s">
        <v>3434</v>
      </c>
      <c r="P2378">
        <v>40211340</v>
      </c>
    </row>
    <row r="2379" spans="1:16">
      <c r="A2379" t="s">
        <v>110</v>
      </c>
      <c r="B2379">
        <v>1</v>
      </c>
      <c r="E2379" t="s">
        <v>3433</v>
      </c>
      <c r="F2379" t="s">
        <v>3434</v>
      </c>
      <c r="G2379" t="s">
        <v>3435</v>
      </c>
      <c r="I2379" t="s">
        <v>3338</v>
      </c>
      <c r="J2379" t="s">
        <v>2232</v>
      </c>
      <c r="K2379" t="s">
        <v>2233</v>
      </c>
      <c r="L2379" t="s">
        <v>3342</v>
      </c>
      <c r="N2379" t="s">
        <v>3436</v>
      </c>
      <c r="O2379" t="s">
        <v>3437</v>
      </c>
      <c r="P2379">
        <v>40211340</v>
      </c>
    </row>
    <row r="2380" spans="1:16">
      <c r="A2380" t="s">
        <v>110</v>
      </c>
      <c r="B2380">
        <v>1</v>
      </c>
      <c r="E2380" t="s">
        <v>3433</v>
      </c>
      <c r="F2380" t="s">
        <v>3434</v>
      </c>
      <c r="G2380" t="s">
        <v>3435</v>
      </c>
      <c r="I2380" t="s">
        <v>3338</v>
      </c>
      <c r="J2380" t="s">
        <v>2232</v>
      </c>
      <c r="K2380" t="s">
        <v>2233</v>
      </c>
      <c r="L2380" t="s">
        <v>3342</v>
      </c>
      <c r="N2380" t="s">
        <v>3438</v>
      </c>
      <c r="O2380" t="s">
        <v>3439</v>
      </c>
      <c r="P2380">
        <v>40211340</v>
      </c>
    </row>
    <row r="2381" spans="1:16">
      <c r="A2381" t="s">
        <v>110</v>
      </c>
      <c r="B2381">
        <v>1</v>
      </c>
      <c r="E2381" t="s">
        <v>3433</v>
      </c>
      <c r="F2381" t="s">
        <v>3434</v>
      </c>
      <c r="G2381" t="s">
        <v>3435</v>
      </c>
      <c r="I2381" t="s">
        <v>3338</v>
      </c>
      <c r="J2381" t="s">
        <v>2232</v>
      </c>
      <c r="K2381" t="s">
        <v>2233</v>
      </c>
      <c r="L2381" t="s">
        <v>3342</v>
      </c>
      <c r="N2381" t="s">
        <v>3440</v>
      </c>
      <c r="O2381" t="s">
        <v>3441</v>
      </c>
      <c r="P2381">
        <v>40211340</v>
      </c>
    </row>
    <row r="2382" spans="1:16">
      <c r="A2382" t="s">
        <v>110</v>
      </c>
      <c r="B2382">
        <v>1</v>
      </c>
      <c r="E2382" t="s">
        <v>3433</v>
      </c>
      <c r="F2382" t="s">
        <v>3434</v>
      </c>
      <c r="G2382" t="s">
        <v>3435</v>
      </c>
      <c r="I2382" t="s">
        <v>3338</v>
      </c>
      <c r="J2382" t="s">
        <v>2232</v>
      </c>
      <c r="K2382" t="s">
        <v>2233</v>
      </c>
      <c r="L2382" t="s">
        <v>3342</v>
      </c>
      <c r="N2382" t="s">
        <v>3442</v>
      </c>
      <c r="O2382" t="s">
        <v>3443</v>
      </c>
      <c r="P2382">
        <v>40211340</v>
      </c>
    </row>
    <row r="2383" spans="1:16">
      <c r="A2383" t="s">
        <v>110</v>
      </c>
      <c r="B2383">
        <v>1</v>
      </c>
      <c r="E2383" t="s">
        <v>3433</v>
      </c>
      <c r="F2383" t="s">
        <v>3434</v>
      </c>
      <c r="G2383" t="s">
        <v>3435</v>
      </c>
      <c r="I2383" t="s">
        <v>3338</v>
      </c>
      <c r="J2383" t="s">
        <v>2232</v>
      </c>
      <c r="K2383" t="s">
        <v>2233</v>
      </c>
      <c r="L2383" t="s">
        <v>3342</v>
      </c>
      <c r="N2383" t="s">
        <v>3444</v>
      </c>
      <c r="O2383" t="s">
        <v>3445</v>
      </c>
      <c r="P2383">
        <v>40211340</v>
      </c>
    </row>
    <row r="2384" spans="1:16">
      <c r="A2384" t="s">
        <v>110</v>
      </c>
      <c r="B2384">
        <v>1</v>
      </c>
      <c r="E2384" t="s">
        <v>3433</v>
      </c>
      <c r="F2384" t="s">
        <v>3434</v>
      </c>
      <c r="G2384" t="s">
        <v>3435</v>
      </c>
      <c r="I2384" t="s">
        <v>3338</v>
      </c>
      <c r="J2384" t="s">
        <v>2232</v>
      </c>
      <c r="K2384" t="s">
        <v>2233</v>
      </c>
      <c r="L2384" t="s">
        <v>3342</v>
      </c>
      <c r="N2384" t="s">
        <v>3446</v>
      </c>
      <c r="O2384" t="s">
        <v>3447</v>
      </c>
      <c r="P2384">
        <v>40211340</v>
      </c>
    </row>
    <row r="2385" spans="1:16">
      <c r="A2385" t="s">
        <v>110</v>
      </c>
      <c r="B2385">
        <v>0</v>
      </c>
      <c r="G2385" t="s">
        <v>3338</v>
      </c>
      <c r="I2385" t="s">
        <v>3338</v>
      </c>
      <c r="N2385" t="s">
        <v>3448</v>
      </c>
      <c r="O2385" t="s">
        <v>3449</v>
      </c>
      <c r="P2385">
        <v>40211340</v>
      </c>
    </row>
    <row r="2386" spans="1:16">
      <c r="A2386" t="s">
        <v>110</v>
      </c>
      <c r="B2386">
        <v>1</v>
      </c>
      <c r="E2386" t="s">
        <v>3448</v>
      </c>
      <c r="F2386" t="s">
        <v>3449</v>
      </c>
      <c r="G2386" t="s">
        <v>3450</v>
      </c>
      <c r="I2386" t="s">
        <v>3338</v>
      </c>
      <c r="J2386" t="s">
        <v>2421</v>
      </c>
      <c r="K2386" t="s">
        <v>3354</v>
      </c>
      <c r="L2386" t="s">
        <v>3451</v>
      </c>
      <c r="N2386" t="s">
        <v>3452</v>
      </c>
      <c r="O2386" t="s">
        <v>3453</v>
      </c>
      <c r="P2386">
        <v>40211340</v>
      </c>
    </row>
    <row r="2387" spans="1:16">
      <c r="A2387" t="s">
        <v>112</v>
      </c>
      <c r="B2387">
        <v>0</v>
      </c>
      <c r="G2387" t="s">
        <v>3338</v>
      </c>
      <c r="I2387" t="s">
        <v>3338</v>
      </c>
      <c r="N2387" t="s">
        <v>3339</v>
      </c>
      <c r="O2387" t="s">
        <v>3340</v>
      </c>
      <c r="P2387">
        <v>40349454</v>
      </c>
    </row>
    <row r="2388" spans="1:16">
      <c r="A2388" t="s">
        <v>112</v>
      </c>
      <c r="B2388">
        <v>1</v>
      </c>
      <c r="E2388" t="s">
        <v>3339</v>
      </c>
      <c r="F2388" t="s">
        <v>3340</v>
      </c>
      <c r="G2388" t="s">
        <v>3341</v>
      </c>
      <c r="I2388" t="s">
        <v>3338</v>
      </c>
      <c r="J2388" t="s">
        <v>2232</v>
      </c>
      <c r="K2388" t="s">
        <v>2233</v>
      </c>
      <c r="L2388" t="s">
        <v>3342</v>
      </c>
      <c r="N2388" t="s">
        <v>3343</v>
      </c>
      <c r="O2388" t="s">
        <v>3344</v>
      </c>
      <c r="P2388">
        <v>40349454</v>
      </c>
    </row>
    <row r="2389" spans="1:16">
      <c r="A2389" t="s">
        <v>112</v>
      </c>
      <c r="B2389">
        <v>1</v>
      </c>
      <c r="E2389" t="s">
        <v>3339</v>
      </c>
      <c r="F2389" t="s">
        <v>3340</v>
      </c>
      <c r="G2389" t="s">
        <v>3341</v>
      </c>
      <c r="I2389" t="s">
        <v>3338</v>
      </c>
      <c r="J2389" t="s">
        <v>2232</v>
      </c>
      <c r="K2389" t="s">
        <v>2233</v>
      </c>
      <c r="L2389" t="s">
        <v>3342</v>
      </c>
      <c r="N2389" t="s">
        <v>3345</v>
      </c>
      <c r="O2389" t="s">
        <v>3346</v>
      </c>
      <c r="P2389">
        <v>40349454</v>
      </c>
    </row>
    <row r="2390" spans="1:16">
      <c r="A2390" t="s">
        <v>112</v>
      </c>
      <c r="B2390">
        <v>0</v>
      </c>
      <c r="G2390" t="s">
        <v>3338</v>
      </c>
      <c r="I2390" t="s">
        <v>3338</v>
      </c>
      <c r="N2390" t="s">
        <v>3347</v>
      </c>
      <c r="O2390" t="s">
        <v>3344</v>
      </c>
      <c r="P2390">
        <v>40349454</v>
      </c>
    </row>
    <row r="2391" spans="1:16">
      <c r="A2391" t="s">
        <v>112</v>
      </c>
      <c r="B2391">
        <v>1</v>
      </c>
      <c r="E2391" t="s">
        <v>3347</v>
      </c>
      <c r="F2391" t="s">
        <v>3344</v>
      </c>
      <c r="G2391" t="s">
        <v>3348</v>
      </c>
      <c r="I2391" t="s">
        <v>3338</v>
      </c>
      <c r="J2391" t="s">
        <v>2232</v>
      </c>
      <c r="K2391" t="s">
        <v>2233</v>
      </c>
      <c r="L2391" t="s">
        <v>3342</v>
      </c>
      <c r="N2391" t="s">
        <v>3349</v>
      </c>
      <c r="O2391" t="s">
        <v>3350</v>
      </c>
      <c r="P2391">
        <v>40349454</v>
      </c>
    </row>
    <row r="2392" spans="1:16">
      <c r="A2392" t="s">
        <v>112</v>
      </c>
      <c r="B2392">
        <v>1</v>
      </c>
      <c r="E2392" t="s">
        <v>3347</v>
      </c>
      <c r="F2392" t="s">
        <v>3344</v>
      </c>
      <c r="G2392" t="s">
        <v>3348</v>
      </c>
      <c r="I2392" t="s">
        <v>3338</v>
      </c>
      <c r="L2392" t="s">
        <v>193</v>
      </c>
      <c r="N2392" t="s">
        <v>3351</v>
      </c>
      <c r="O2392" t="s">
        <v>3352</v>
      </c>
      <c r="P2392">
        <v>40349454</v>
      </c>
    </row>
    <row r="2393" spans="1:16">
      <c r="A2393" t="s">
        <v>112</v>
      </c>
      <c r="B2393">
        <v>2</v>
      </c>
      <c r="E2393" t="s">
        <v>3351</v>
      </c>
      <c r="F2393" t="s">
        <v>3352</v>
      </c>
      <c r="G2393" t="s">
        <v>3353</v>
      </c>
      <c r="I2393" t="s">
        <v>3338</v>
      </c>
      <c r="J2393" t="s">
        <v>2421</v>
      </c>
      <c r="K2393" t="s">
        <v>3354</v>
      </c>
      <c r="L2393" t="s">
        <v>3355</v>
      </c>
      <c r="N2393" t="s">
        <v>3356</v>
      </c>
      <c r="O2393" t="s">
        <v>3357</v>
      </c>
      <c r="P2393">
        <v>40349454</v>
      </c>
    </row>
    <row r="2394" spans="1:16">
      <c r="A2394" t="s">
        <v>112</v>
      </c>
      <c r="B2394">
        <v>2</v>
      </c>
      <c r="E2394" t="s">
        <v>3351</v>
      </c>
      <c r="F2394" t="s">
        <v>3352</v>
      </c>
      <c r="G2394" t="s">
        <v>3353</v>
      </c>
      <c r="I2394" t="s">
        <v>3338</v>
      </c>
      <c r="J2394" t="s">
        <v>2421</v>
      </c>
      <c r="K2394" t="s">
        <v>3354</v>
      </c>
      <c r="L2394" t="s">
        <v>3355</v>
      </c>
      <c r="N2394" t="s">
        <v>3358</v>
      </c>
      <c r="O2394" t="s">
        <v>3359</v>
      </c>
      <c r="P2394">
        <v>40349454</v>
      </c>
    </row>
    <row r="2395" spans="1:16">
      <c r="A2395" t="s">
        <v>112</v>
      </c>
      <c r="B2395">
        <v>2</v>
      </c>
      <c r="E2395" t="s">
        <v>3351</v>
      </c>
      <c r="F2395" t="s">
        <v>3352</v>
      </c>
      <c r="G2395" t="s">
        <v>3353</v>
      </c>
      <c r="I2395" t="s">
        <v>3338</v>
      </c>
      <c r="J2395" t="s">
        <v>2421</v>
      </c>
      <c r="K2395" t="s">
        <v>3354</v>
      </c>
      <c r="L2395" t="s">
        <v>3355</v>
      </c>
      <c r="N2395" t="s">
        <v>3360</v>
      </c>
      <c r="O2395" t="s">
        <v>3361</v>
      </c>
      <c r="P2395">
        <v>40349454</v>
      </c>
    </row>
    <row r="2396" spans="1:16">
      <c r="A2396" t="s">
        <v>112</v>
      </c>
      <c r="B2396">
        <v>1</v>
      </c>
      <c r="E2396" t="s">
        <v>3347</v>
      </c>
      <c r="F2396" t="s">
        <v>3344</v>
      </c>
      <c r="G2396" t="s">
        <v>3348</v>
      </c>
      <c r="I2396" t="s">
        <v>3338</v>
      </c>
      <c r="J2396" t="s">
        <v>2236</v>
      </c>
      <c r="K2396" t="s">
        <v>3362</v>
      </c>
      <c r="L2396" t="s">
        <v>3363</v>
      </c>
      <c r="N2396" t="s">
        <v>3364</v>
      </c>
      <c r="O2396" t="s">
        <v>3365</v>
      </c>
      <c r="P2396">
        <v>40349454</v>
      </c>
    </row>
    <row r="2397" spans="1:16">
      <c r="A2397" t="s">
        <v>112</v>
      </c>
      <c r="B2397">
        <v>1</v>
      </c>
      <c r="E2397" t="s">
        <v>3347</v>
      </c>
      <c r="F2397" t="s">
        <v>3344</v>
      </c>
      <c r="G2397" t="s">
        <v>3348</v>
      </c>
      <c r="I2397" t="s">
        <v>3338</v>
      </c>
      <c r="L2397" t="s">
        <v>193</v>
      </c>
      <c r="N2397" t="s">
        <v>3366</v>
      </c>
      <c r="O2397" t="s">
        <v>3367</v>
      </c>
      <c r="P2397">
        <v>40349454</v>
      </c>
    </row>
    <row r="2398" spans="1:16">
      <c r="A2398" t="s">
        <v>112</v>
      </c>
      <c r="B2398">
        <v>2</v>
      </c>
      <c r="E2398" t="s">
        <v>3366</v>
      </c>
      <c r="F2398" t="s">
        <v>3367</v>
      </c>
      <c r="G2398" t="s">
        <v>3368</v>
      </c>
      <c r="I2398" t="s">
        <v>3338</v>
      </c>
      <c r="J2398" t="s">
        <v>2421</v>
      </c>
      <c r="K2398" t="s">
        <v>3354</v>
      </c>
      <c r="L2398" t="s">
        <v>3369</v>
      </c>
      <c r="N2398" t="s">
        <v>3370</v>
      </c>
      <c r="O2398" t="s">
        <v>3359</v>
      </c>
      <c r="P2398">
        <v>40349454</v>
      </c>
    </row>
    <row r="2399" spans="1:16">
      <c r="A2399" t="s">
        <v>112</v>
      </c>
      <c r="B2399">
        <v>2</v>
      </c>
      <c r="E2399" t="s">
        <v>3366</v>
      </c>
      <c r="F2399" t="s">
        <v>3367</v>
      </c>
      <c r="G2399" t="s">
        <v>3368</v>
      </c>
      <c r="I2399" t="s">
        <v>3338</v>
      </c>
      <c r="J2399" t="s">
        <v>2421</v>
      </c>
      <c r="K2399" t="s">
        <v>3354</v>
      </c>
      <c r="L2399" t="s">
        <v>3369</v>
      </c>
      <c r="N2399" t="s">
        <v>3371</v>
      </c>
      <c r="O2399" t="s">
        <v>3372</v>
      </c>
      <c r="P2399">
        <v>40349454</v>
      </c>
    </row>
    <row r="2400" spans="1:16">
      <c r="A2400" t="s">
        <v>112</v>
      </c>
      <c r="B2400">
        <v>2</v>
      </c>
      <c r="E2400" t="s">
        <v>3366</v>
      </c>
      <c r="F2400" t="s">
        <v>3367</v>
      </c>
      <c r="G2400" t="s">
        <v>3368</v>
      </c>
      <c r="I2400" t="s">
        <v>3338</v>
      </c>
      <c r="J2400" t="s">
        <v>2421</v>
      </c>
      <c r="K2400" t="s">
        <v>3354</v>
      </c>
      <c r="L2400" t="s">
        <v>3369</v>
      </c>
      <c r="N2400" t="s">
        <v>3373</v>
      </c>
      <c r="O2400" t="s">
        <v>3374</v>
      </c>
      <c r="P2400">
        <v>40349454</v>
      </c>
    </row>
    <row r="2401" spans="1:16">
      <c r="A2401" t="s">
        <v>112</v>
      </c>
      <c r="B2401">
        <v>2</v>
      </c>
      <c r="E2401" t="s">
        <v>3366</v>
      </c>
      <c r="F2401" t="s">
        <v>3367</v>
      </c>
      <c r="G2401" t="s">
        <v>3368</v>
      </c>
      <c r="I2401" t="s">
        <v>3338</v>
      </c>
      <c r="J2401" t="s">
        <v>2236</v>
      </c>
      <c r="K2401" t="s">
        <v>3362</v>
      </c>
      <c r="L2401" t="s">
        <v>3363</v>
      </c>
      <c r="N2401" t="s">
        <v>3375</v>
      </c>
      <c r="O2401" t="s">
        <v>3376</v>
      </c>
      <c r="P2401">
        <v>40349454</v>
      </c>
    </row>
    <row r="2402" spans="1:16">
      <c r="A2402" t="s">
        <v>112</v>
      </c>
      <c r="B2402">
        <v>0</v>
      </c>
      <c r="G2402" t="s">
        <v>3338</v>
      </c>
      <c r="I2402" t="s">
        <v>3338</v>
      </c>
      <c r="N2402" t="s">
        <v>3377</v>
      </c>
      <c r="O2402" t="s">
        <v>3346</v>
      </c>
      <c r="P2402">
        <v>40349454</v>
      </c>
    </row>
    <row r="2403" spans="1:16">
      <c r="A2403" t="s">
        <v>112</v>
      </c>
      <c r="B2403">
        <v>1</v>
      </c>
      <c r="E2403" t="s">
        <v>3377</v>
      </c>
      <c r="F2403" t="s">
        <v>3346</v>
      </c>
      <c r="G2403" t="s">
        <v>3378</v>
      </c>
      <c r="I2403" t="s">
        <v>3338</v>
      </c>
      <c r="L2403" t="s">
        <v>193</v>
      </c>
      <c r="N2403" t="s">
        <v>3379</v>
      </c>
      <c r="O2403" t="s">
        <v>3380</v>
      </c>
      <c r="P2403">
        <v>40349454</v>
      </c>
    </row>
    <row r="2404" spans="1:16">
      <c r="A2404" t="s">
        <v>112</v>
      </c>
      <c r="B2404">
        <v>2</v>
      </c>
      <c r="E2404" t="s">
        <v>3379</v>
      </c>
      <c r="F2404" t="s">
        <v>3380</v>
      </c>
      <c r="G2404" t="s">
        <v>3381</v>
      </c>
      <c r="I2404" t="s">
        <v>3338</v>
      </c>
      <c r="J2404" t="s">
        <v>2421</v>
      </c>
      <c r="K2404" t="s">
        <v>3354</v>
      </c>
      <c r="L2404" t="s">
        <v>3369</v>
      </c>
      <c r="N2404" t="s">
        <v>3382</v>
      </c>
      <c r="O2404" t="s">
        <v>3352</v>
      </c>
      <c r="P2404">
        <v>40349454</v>
      </c>
    </row>
    <row r="2405" spans="1:16">
      <c r="A2405" t="s">
        <v>112</v>
      </c>
      <c r="B2405">
        <v>2</v>
      </c>
      <c r="E2405" t="s">
        <v>3379</v>
      </c>
      <c r="F2405" t="s">
        <v>3380</v>
      </c>
      <c r="G2405" t="s">
        <v>3381</v>
      </c>
      <c r="I2405" t="s">
        <v>3338</v>
      </c>
      <c r="L2405" t="s">
        <v>3383</v>
      </c>
      <c r="N2405" t="s">
        <v>3384</v>
      </c>
      <c r="O2405" t="s">
        <v>3385</v>
      </c>
      <c r="P2405">
        <v>40349454</v>
      </c>
    </row>
    <row r="2406" spans="1:16">
      <c r="A2406" t="s">
        <v>112</v>
      </c>
      <c r="B2406">
        <v>2</v>
      </c>
      <c r="E2406" t="s">
        <v>3379</v>
      </c>
      <c r="F2406" t="s">
        <v>3380</v>
      </c>
      <c r="G2406" t="s">
        <v>3381</v>
      </c>
      <c r="I2406" t="s">
        <v>3338</v>
      </c>
      <c r="J2406" t="s">
        <v>2232</v>
      </c>
      <c r="K2406" t="s">
        <v>2233</v>
      </c>
      <c r="L2406" t="s">
        <v>3342</v>
      </c>
      <c r="N2406" t="s">
        <v>3386</v>
      </c>
      <c r="O2406" t="s">
        <v>3350</v>
      </c>
      <c r="P2406">
        <v>40349454</v>
      </c>
    </row>
    <row r="2407" spans="1:16">
      <c r="A2407" t="s">
        <v>112</v>
      </c>
      <c r="B2407">
        <v>0</v>
      </c>
      <c r="G2407" t="s">
        <v>3338</v>
      </c>
      <c r="I2407" t="s">
        <v>3338</v>
      </c>
      <c r="N2407" t="s">
        <v>3395</v>
      </c>
      <c r="O2407" t="s">
        <v>3396</v>
      </c>
      <c r="P2407">
        <v>40349454</v>
      </c>
    </row>
    <row r="2408" spans="1:16">
      <c r="A2408" t="s">
        <v>112</v>
      </c>
      <c r="B2408">
        <v>1</v>
      </c>
      <c r="E2408" t="s">
        <v>3395</v>
      </c>
      <c r="F2408" t="s">
        <v>3396</v>
      </c>
      <c r="G2408" t="s">
        <v>3397</v>
      </c>
      <c r="I2408" t="s">
        <v>3338</v>
      </c>
      <c r="L2408" t="s">
        <v>3342</v>
      </c>
      <c r="N2408" t="s">
        <v>3398</v>
      </c>
      <c r="O2408" t="s">
        <v>3399</v>
      </c>
      <c r="P2408">
        <v>40349454</v>
      </c>
    </row>
    <row r="2409" spans="1:16">
      <c r="A2409" t="s">
        <v>112</v>
      </c>
      <c r="B2409">
        <v>1</v>
      </c>
      <c r="E2409" t="s">
        <v>3395</v>
      </c>
      <c r="F2409" t="s">
        <v>3396</v>
      </c>
      <c r="G2409" t="s">
        <v>3397</v>
      </c>
      <c r="I2409" t="s">
        <v>3338</v>
      </c>
      <c r="J2409" t="s">
        <v>2232</v>
      </c>
      <c r="K2409" t="s">
        <v>2233</v>
      </c>
      <c r="L2409" t="s">
        <v>3342</v>
      </c>
      <c r="N2409" t="s">
        <v>3400</v>
      </c>
      <c r="O2409" t="s">
        <v>3401</v>
      </c>
      <c r="P2409">
        <v>40349454</v>
      </c>
    </row>
    <row r="2410" spans="1:16">
      <c r="A2410" t="s">
        <v>112</v>
      </c>
      <c r="B2410">
        <v>1</v>
      </c>
      <c r="E2410" t="s">
        <v>3395</v>
      </c>
      <c r="F2410" t="s">
        <v>3396</v>
      </c>
      <c r="G2410" t="s">
        <v>3397</v>
      </c>
      <c r="I2410" t="s">
        <v>3338</v>
      </c>
      <c r="L2410" t="s">
        <v>3342</v>
      </c>
      <c r="N2410" t="s">
        <v>3402</v>
      </c>
      <c r="O2410" t="s">
        <v>3403</v>
      </c>
      <c r="P2410">
        <v>40349454</v>
      </c>
    </row>
    <row r="2411" spans="1:16">
      <c r="A2411" t="s">
        <v>112</v>
      </c>
      <c r="B2411">
        <v>1</v>
      </c>
      <c r="E2411" t="s">
        <v>3395</v>
      </c>
      <c r="F2411" t="s">
        <v>3396</v>
      </c>
      <c r="G2411" t="s">
        <v>3397</v>
      </c>
      <c r="I2411" t="s">
        <v>3338</v>
      </c>
      <c r="J2411" t="s">
        <v>2232</v>
      </c>
      <c r="K2411" t="s">
        <v>2233</v>
      </c>
      <c r="L2411" t="s">
        <v>3342</v>
      </c>
      <c r="N2411" t="s">
        <v>3404</v>
      </c>
      <c r="O2411" t="s">
        <v>3405</v>
      </c>
      <c r="P2411">
        <v>40349454</v>
      </c>
    </row>
    <row r="2412" spans="1:16">
      <c r="A2412" t="s">
        <v>112</v>
      </c>
      <c r="B2412">
        <v>0</v>
      </c>
      <c r="G2412" t="s">
        <v>3338</v>
      </c>
      <c r="I2412" t="s">
        <v>3338</v>
      </c>
      <c r="N2412" t="s">
        <v>3406</v>
      </c>
      <c r="O2412" t="s">
        <v>3407</v>
      </c>
      <c r="P2412">
        <v>40349454</v>
      </c>
    </row>
    <row r="2413" spans="1:16">
      <c r="A2413" t="s">
        <v>112</v>
      </c>
      <c r="B2413">
        <v>1</v>
      </c>
      <c r="E2413" t="s">
        <v>3406</v>
      </c>
      <c r="F2413" t="s">
        <v>3407</v>
      </c>
      <c r="G2413" t="s">
        <v>3408</v>
      </c>
      <c r="I2413" t="s">
        <v>3338</v>
      </c>
      <c r="J2413" t="s">
        <v>2421</v>
      </c>
      <c r="K2413" t="s">
        <v>3354</v>
      </c>
      <c r="L2413" t="s">
        <v>3369</v>
      </c>
      <c r="N2413" t="s">
        <v>3409</v>
      </c>
      <c r="O2413" t="s">
        <v>3410</v>
      </c>
      <c r="P2413">
        <v>40349454</v>
      </c>
    </row>
    <row r="2414" spans="1:16">
      <c r="A2414" t="s">
        <v>112</v>
      </c>
      <c r="B2414">
        <v>1</v>
      </c>
      <c r="E2414" t="s">
        <v>3406</v>
      </c>
      <c r="F2414" t="s">
        <v>3407</v>
      </c>
      <c r="G2414" t="s">
        <v>3408</v>
      </c>
      <c r="I2414" t="s">
        <v>3338</v>
      </c>
      <c r="L2414" t="s">
        <v>193</v>
      </c>
      <c r="N2414" t="s">
        <v>3411</v>
      </c>
      <c r="O2414" t="s">
        <v>3412</v>
      </c>
      <c r="P2414">
        <v>40349454</v>
      </c>
    </row>
    <row r="2415" spans="1:16">
      <c r="A2415" t="s">
        <v>112</v>
      </c>
      <c r="B2415">
        <v>2</v>
      </c>
      <c r="E2415" t="s">
        <v>3411</v>
      </c>
      <c r="F2415" t="s">
        <v>3412</v>
      </c>
      <c r="G2415" t="s">
        <v>3413</v>
      </c>
      <c r="I2415" t="s">
        <v>3338</v>
      </c>
      <c r="L2415" t="s">
        <v>3342</v>
      </c>
      <c r="N2415" t="s">
        <v>3414</v>
      </c>
      <c r="O2415" t="s">
        <v>3415</v>
      </c>
      <c r="P2415">
        <v>40349454</v>
      </c>
    </row>
    <row r="2416" spans="1:16">
      <c r="A2416" t="s">
        <v>112</v>
      </c>
      <c r="B2416">
        <v>2</v>
      </c>
      <c r="E2416" t="s">
        <v>3411</v>
      </c>
      <c r="F2416" t="s">
        <v>3412</v>
      </c>
      <c r="G2416" t="s">
        <v>3413</v>
      </c>
      <c r="I2416" t="s">
        <v>3338</v>
      </c>
      <c r="J2416" t="s">
        <v>2232</v>
      </c>
      <c r="K2416" t="s">
        <v>2233</v>
      </c>
      <c r="L2416" t="s">
        <v>3342</v>
      </c>
      <c r="N2416" t="s">
        <v>3416</v>
      </c>
      <c r="O2416" t="s">
        <v>3417</v>
      </c>
      <c r="P2416">
        <v>40349454</v>
      </c>
    </row>
    <row r="2417" spans="1:16">
      <c r="A2417" t="s">
        <v>112</v>
      </c>
      <c r="B2417">
        <v>2</v>
      </c>
      <c r="E2417" t="s">
        <v>3411</v>
      </c>
      <c r="F2417" t="s">
        <v>3412</v>
      </c>
      <c r="G2417" t="s">
        <v>3413</v>
      </c>
      <c r="I2417" t="s">
        <v>3338</v>
      </c>
      <c r="J2417" t="s">
        <v>2232</v>
      </c>
      <c r="K2417" t="s">
        <v>2233</v>
      </c>
      <c r="L2417" t="s">
        <v>3342</v>
      </c>
      <c r="N2417" t="s">
        <v>3418</v>
      </c>
      <c r="O2417" t="s">
        <v>3419</v>
      </c>
      <c r="P2417">
        <v>40349454</v>
      </c>
    </row>
    <row r="2418" spans="1:16">
      <c r="A2418" t="s">
        <v>112</v>
      </c>
      <c r="B2418">
        <v>2</v>
      </c>
      <c r="E2418" t="s">
        <v>3411</v>
      </c>
      <c r="F2418" t="s">
        <v>3412</v>
      </c>
      <c r="G2418" t="s">
        <v>3413</v>
      </c>
      <c r="I2418" t="s">
        <v>3338</v>
      </c>
      <c r="L2418" t="s">
        <v>3342</v>
      </c>
      <c r="N2418" t="s">
        <v>3420</v>
      </c>
      <c r="O2418" t="s">
        <v>3421</v>
      </c>
      <c r="P2418">
        <v>40349454</v>
      </c>
    </row>
    <row r="2419" spans="1:16">
      <c r="A2419" t="s">
        <v>112</v>
      </c>
      <c r="B2419">
        <v>2</v>
      </c>
      <c r="E2419" t="s">
        <v>3411</v>
      </c>
      <c r="F2419" t="s">
        <v>3412</v>
      </c>
      <c r="G2419" t="s">
        <v>3413</v>
      </c>
      <c r="I2419" t="s">
        <v>3338</v>
      </c>
      <c r="J2419" t="s">
        <v>2232</v>
      </c>
      <c r="K2419" t="s">
        <v>2233</v>
      </c>
      <c r="L2419" t="s">
        <v>3342</v>
      </c>
      <c r="N2419" t="s">
        <v>3422</v>
      </c>
      <c r="O2419" t="s">
        <v>3423</v>
      </c>
      <c r="P2419">
        <v>40349454</v>
      </c>
    </row>
    <row r="2420" spans="1:16">
      <c r="A2420" t="s">
        <v>112</v>
      </c>
      <c r="B2420">
        <v>0</v>
      </c>
      <c r="G2420" t="s">
        <v>3338</v>
      </c>
      <c r="I2420" t="s">
        <v>3338</v>
      </c>
      <c r="N2420" t="s">
        <v>3424</v>
      </c>
      <c r="O2420" t="s">
        <v>3425</v>
      </c>
      <c r="P2420">
        <v>40349454</v>
      </c>
    </row>
    <row r="2421" spans="1:16">
      <c r="A2421" t="s">
        <v>112</v>
      </c>
      <c r="B2421">
        <v>1</v>
      </c>
      <c r="E2421" t="s">
        <v>3424</v>
      </c>
      <c r="F2421" t="s">
        <v>3425</v>
      </c>
      <c r="G2421" t="s">
        <v>3426</v>
      </c>
      <c r="I2421" t="s">
        <v>3338</v>
      </c>
      <c r="J2421" t="s">
        <v>2421</v>
      </c>
      <c r="K2421" t="s">
        <v>3354</v>
      </c>
      <c r="L2421" t="s">
        <v>3369</v>
      </c>
      <c r="N2421" t="s">
        <v>3427</v>
      </c>
      <c r="O2421" t="s">
        <v>3428</v>
      </c>
      <c r="P2421">
        <v>40349454</v>
      </c>
    </row>
    <row r="2422" spans="1:16">
      <c r="A2422" t="s">
        <v>112</v>
      </c>
      <c r="B2422">
        <v>1</v>
      </c>
      <c r="E2422" t="s">
        <v>3424</v>
      </c>
      <c r="F2422" t="s">
        <v>3425</v>
      </c>
      <c r="G2422" t="s">
        <v>3426</v>
      </c>
      <c r="I2422" t="s">
        <v>3338</v>
      </c>
      <c r="J2422" t="s">
        <v>2421</v>
      </c>
      <c r="K2422" t="s">
        <v>3354</v>
      </c>
      <c r="L2422" t="s">
        <v>3369</v>
      </c>
      <c r="N2422" t="s">
        <v>3429</v>
      </c>
      <c r="O2422" t="s">
        <v>3430</v>
      </c>
      <c r="P2422">
        <v>40349454</v>
      </c>
    </row>
    <row r="2423" spans="1:16">
      <c r="A2423" t="s">
        <v>112</v>
      </c>
      <c r="B2423">
        <v>1</v>
      </c>
      <c r="E2423" t="s">
        <v>3424</v>
      </c>
      <c r="F2423" t="s">
        <v>3425</v>
      </c>
      <c r="G2423" t="s">
        <v>3426</v>
      </c>
      <c r="I2423" t="s">
        <v>3338</v>
      </c>
      <c r="J2423" t="s">
        <v>2232</v>
      </c>
      <c r="K2423" t="s">
        <v>2233</v>
      </c>
      <c r="L2423" t="s">
        <v>3342</v>
      </c>
      <c r="N2423" t="s">
        <v>3431</v>
      </c>
      <c r="O2423" t="s">
        <v>3432</v>
      </c>
      <c r="P2423">
        <v>40349454</v>
      </c>
    </row>
    <row r="2424" spans="1:16">
      <c r="A2424" t="s">
        <v>112</v>
      </c>
      <c r="B2424">
        <v>0</v>
      </c>
      <c r="G2424" t="s">
        <v>3338</v>
      </c>
      <c r="I2424" t="s">
        <v>3338</v>
      </c>
      <c r="N2424" t="s">
        <v>3433</v>
      </c>
      <c r="O2424" t="s">
        <v>3434</v>
      </c>
      <c r="P2424">
        <v>40349454</v>
      </c>
    </row>
    <row r="2425" spans="1:16">
      <c r="A2425" t="s">
        <v>112</v>
      </c>
      <c r="B2425">
        <v>1</v>
      </c>
      <c r="E2425" t="s">
        <v>3433</v>
      </c>
      <c r="F2425" t="s">
        <v>3434</v>
      </c>
      <c r="G2425" t="s">
        <v>3435</v>
      </c>
      <c r="I2425" t="s">
        <v>3338</v>
      </c>
      <c r="J2425" t="s">
        <v>2232</v>
      </c>
      <c r="K2425" t="s">
        <v>2233</v>
      </c>
      <c r="L2425" t="s">
        <v>3342</v>
      </c>
      <c r="N2425" t="s">
        <v>3436</v>
      </c>
      <c r="O2425" t="s">
        <v>3437</v>
      </c>
      <c r="P2425">
        <v>40349454</v>
      </c>
    </row>
    <row r="2426" spans="1:16">
      <c r="A2426" t="s">
        <v>112</v>
      </c>
      <c r="B2426">
        <v>1</v>
      </c>
      <c r="E2426" t="s">
        <v>3433</v>
      </c>
      <c r="F2426" t="s">
        <v>3434</v>
      </c>
      <c r="G2426" t="s">
        <v>3435</v>
      </c>
      <c r="I2426" t="s">
        <v>3338</v>
      </c>
      <c r="J2426" t="s">
        <v>2232</v>
      </c>
      <c r="K2426" t="s">
        <v>2233</v>
      </c>
      <c r="L2426" t="s">
        <v>3342</v>
      </c>
      <c r="N2426" t="s">
        <v>3438</v>
      </c>
      <c r="O2426" t="s">
        <v>3439</v>
      </c>
      <c r="P2426">
        <v>40349454</v>
      </c>
    </row>
    <row r="2427" spans="1:16">
      <c r="A2427" t="s">
        <v>112</v>
      </c>
      <c r="B2427">
        <v>1</v>
      </c>
      <c r="E2427" t="s">
        <v>3433</v>
      </c>
      <c r="F2427" t="s">
        <v>3434</v>
      </c>
      <c r="G2427" t="s">
        <v>3435</v>
      </c>
      <c r="I2427" t="s">
        <v>3338</v>
      </c>
      <c r="J2427" t="s">
        <v>2232</v>
      </c>
      <c r="K2427" t="s">
        <v>2233</v>
      </c>
      <c r="L2427" t="s">
        <v>3342</v>
      </c>
      <c r="N2427" t="s">
        <v>3440</v>
      </c>
      <c r="O2427" t="s">
        <v>3441</v>
      </c>
      <c r="P2427">
        <v>40349454</v>
      </c>
    </row>
    <row r="2428" spans="1:16">
      <c r="A2428" t="s">
        <v>112</v>
      </c>
      <c r="B2428">
        <v>1</v>
      </c>
      <c r="E2428" t="s">
        <v>3433</v>
      </c>
      <c r="F2428" t="s">
        <v>3434</v>
      </c>
      <c r="G2428" t="s">
        <v>3435</v>
      </c>
      <c r="I2428" t="s">
        <v>3338</v>
      </c>
      <c r="J2428" t="s">
        <v>2232</v>
      </c>
      <c r="K2428" t="s">
        <v>2233</v>
      </c>
      <c r="L2428" t="s">
        <v>3342</v>
      </c>
      <c r="N2428" t="s">
        <v>3442</v>
      </c>
      <c r="O2428" t="s">
        <v>3443</v>
      </c>
      <c r="P2428">
        <v>40349454</v>
      </c>
    </row>
    <row r="2429" spans="1:16">
      <c r="A2429" t="s">
        <v>112</v>
      </c>
      <c r="B2429">
        <v>1</v>
      </c>
      <c r="E2429" t="s">
        <v>3433</v>
      </c>
      <c r="F2429" t="s">
        <v>3434</v>
      </c>
      <c r="G2429" t="s">
        <v>3435</v>
      </c>
      <c r="I2429" t="s">
        <v>3338</v>
      </c>
      <c r="J2429" t="s">
        <v>2232</v>
      </c>
      <c r="K2429" t="s">
        <v>2233</v>
      </c>
      <c r="L2429" t="s">
        <v>3342</v>
      </c>
      <c r="N2429" t="s">
        <v>3444</v>
      </c>
      <c r="O2429" t="s">
        <v>3445</v>
      </c>
      <c r="P2429">
        <v>40349454</v>
      </c>
    </row>
    <row r="2430" spans="1:16">
      <c r="A2430" t="s">
        <v>112</v>
      </c>
      <c r="B2430">
        <v>1</v>
      </c>
      <c r="E2430" t="s">
        <v>3433</v>
      </c>
      <c r="F2430" t="s">
        <v>3434</v>
      </c>
      <c r="G2430" t="s">
        <v>3435</v>
      </c>
      <c r="I2430" t="s">
        <v>3338</v>
      </c>
      <c r="J2430" t="s">
        <v>2232</v>
      </c>
      <c r="K2430" t="s">
        <v>2233</v>
      </c>
      <c r="L2430" t="s">
        <v>3342</v>
      </c>
      <c r="N2430" t="s">
        <v>3446</v>
      </c>
      <c r="O2430" t="s">
        <v>3447</v>
      </c>
      <c r="P2430">
        <v>40349454</v>
      </c>
    </row>
    <row r="2431" spans="1:16">
      <c r="A2431" t="s">
        <v>112</v>
      </c>
      <c r="B2431">
        <v>0</v>
      </c>
      <c r="G2431" t="s">
        <v>3338</v>
      </c>
      <c r="I2431" t="s">
        <v>3338</v>
      </c>
      <c r="N2431" t="s">
        <v>3448</v>
      </c>
      <c r="O2431" t="s">
        <v>3449</v>
      </c>
      <c r="P2431">
        <v>40349454</v>
      </c>
    </row>
    <row r="2432" spans="1:16">
      <c r="A2432" t="s">
        <v>112</v>
      </c>
      <c r="B2432">
        <v>1</v>
      </c>
      <c r="E2432" t="s">
        <v>3448</v>
      </c>
      <c r="F2432" t="s">
        <v>3449</v>
      </c>
      <c r="G2432" t="s">
        <v>3450</v>
      </c>
      <c r="I2432" t="s">
        <v>3338</v>
      </c>
      <c r="J2432" t="s">
        <v>2421</v>
      </c>
      <c r="K2432" t="s">
        <v>3354</v>
      </c>
      <c r="L2432" t="s">
        <v>3451</v>
      </c>
      <c r="N2432" t="s">
        <v>3452</v>
      </c>
      <c r="O2432" t="s">
        <v>3453</v>
      </c>
      <c r="P2432">
        <v>40349454</v>
      </c>
    </row>
    <row r="2433" spans="1:16">
      <c r="A2433" t="s">
        <v>112</v>
      </c>
      <c r="B2433">
        <v>0</v>
      </c>
      <c r="G2433" t="s">
        <v>3456</v>
      </c>
      <c r="I2433" t="s">
        <v>3456</v>
      </c>
      <c r="M2433" t="s">
        <v>3463</v>
      </c>
      <c r="N2433" t="s">
        <v>3495</v>
      </c>
      <c r="O2433" t="s">
        <v>3496</v>
      </c>
      <c r="P2433">
        <v>40349454</v>
      </c>
    </row>
    <row r="2434" spans="1:16">
      <c r="A2434" t="s">
        <v>112</v>
      </c>
      <c r="B2434">
        <v>0</v>
      </c>
      <c r="G2434" t="s">
        <v>3456</v>
      </c>
      <c r="I2434" t="s">
        <v>3456</v>
      </c>
      <c r="M2434" t="s">
        <v>3463</v>
      </c>
      <c r="N2434" t="s">
        <v>3489</v>
      </c>
      <c r="O2434" t="s">
        <v>3490</v>
      </c>
      <c r="P2434">
        <v>40349454</v>
      </c>
    </row>
    <row r="2435" spans="1:16">
      <c r="A2435" t="s">
        <v>112</v>
      </c>
      <c r="B2435">
        <v>0</v>
      </c>
      <c r="G2435" t="s">
        <v>3456</v>
      </c>
      <c r="I2435" t="s">
        <v>3456</v>
      </c>
      <c r="M2435" t="s">
        <v>3463</v>
      </c>
      <c r="N2435" t="s">
        <v>3487</v>
      </c>
      <c r="O2435" t="s">
        <v>3488</v>
      </c>
      <c r="P2435">
        <v>40349454</v>
      </c>
    </row>
    <row r="2436" spans="1:16">
      <c r="A2436" t="s">
        <v>112</v>
      </c>
      <c r="B2436">
        <v>0</v>
      </c>
      <c r="G2436" t="s">
        <v>3456</v>
      </c>
      <c r="I2436" t="s">
        <v>3456</v>
      </c>
      <c r="M2436" t="s">
        <v>3463</v>
      </c>
      <c r="N2436" t="s">
        <v>3466</v>
      </c>
      <c r="O2436" t="s">
        <v>3467</v>
      </c>
      <c r="P2436">
        <v>40349454</v>
      </c>
    </row>
    <row r="2437" spans="1:16">
      <c r="A2437" t="s">
        <v>117</v>
      </c>
      <c r="B2437">
        <v>0</v>
      </c>
      <c r="G2437" t="s">
        <v>3338</v>
      </c>
      <c r="I2437" t="s">
        <v>3338</v>
      </c>
      <c r="N2437" t="s">
        <v>3339</v>
      </c>
      <c r="O2437" t="s">
        <v>3340</v>
      </c>
      <c r="P2437">
        <v>40941213</v>
      </c>
    </row>
    <row r="2438" spans="1:16">
      <c r="A2438" t="s">
        <v>117</v>
      </c>
      <c r="B2438">
        <v>1</v>
      </c>
      <c r="E2438" t="s">
        <v>3339</v>
      </c>
      <c r="F2438" t="s">
        <v>3340</v>
      </c>
      <c r="G2438" t="s">
        <v>3341</v>
      </c>
      <c r="I2438" t="s">
        <v>3338</v>
      </c>
      <c r="J2438" t="s">
        <v>2232</v>
      </c>
      <c r="K2438" t="s">
        <v>2233</v>
      </c>
      <c r="L2438" t="s">
        <v>3342</v>
      </c>
      <c r="N2438" t="s">
        <v>3343</v>
      </c>
      <c r="O2438" t="s">
        <v>3344</v>
      </c>
      <c r="P2438">
        <v>40941213</v>
      </c>
    </row>
    <row r="2439" spans="1:16">
      <c r="A2439" t="s">
        <v>117</v>
      </c>
      <c r="B2439">
        <v>1</v>
      </c>
      <c r="E2439" t="s">
        <v>3339</v>
      </c>
      <c r="F2439" t="s">
        <v>3340</v>
      </c>
      <c r="G2439" t="s">
        <v>3341</v>
      </c>
      <c r="I2439" t="s">
        <v>3338</v>
      </c>
      <c r="J2439" t="s">
        <v>2232</v>
      </c>
      <c r="K2439" t="s">
        <v>2233</v>
      </c>
      <c r="L2439" t="s">
        <v>3342</v>
      </c>
      <c r="N2439" t="s">
        <v>3345</v>
      </c>
      <c r="O2439" t="s">
        <v>3346</v>
      </c>
      <c r="P2439">
        <v>40941213</v>
      </c>
    </row>
    <row r="2440" spans="1:16">
      <c r="A2440" t="s">
        <v>117</v>
      </c>
      <c r="B2440">
        <v>0</v>
      </c>
      <c r="G2440" t="s">
        <v>3338</v>
      </c>
      <c r="I2440" t="s">
        <v>3338</v>
      </c>
      <c r="N2440" t="s">
        <v>3347</v>
      </c>
      <c r="O2440" t="s">
        <v>3344</v>
      </c>
      <c r="P2440">
        <v>40941213</v>
      </c>
    </row>
    <row r="2441" spans="1:16">
      <c r="A2441" t="s">
        <v>117</v>
      </c>
      <c r="B2441">
        <v>1</v>
      </c>
      <c r="E2441" t="s">
        <v>3347</v>
      </c>
      <c r="F2441" t="s">
        <v>3344</v>
      </c>
      <c r="G2441" t="s">
        <v>3348</v>
      </c>
      <c r="I2441" t="s">
        <v>3338</v>
      </c>
      <c r="J2441" t="s">
        <v>2232</v>
      </c>
      <c r="K2441" t="s">
        <v>2233</v>
      </c>
      <c r="L2441" t="s">
        <v>3342</v>
      </c>
      <c r="N2441" t="s">
        <v>3349</v>
      </c>
      <c r="O2441" t="s">
        <v>3350</v>
      </c>
      <c r="P2441">
        <v>40941213</v>
      </c>
    </row>
    <row r="2442" spans="1:16">
      <c r="A2442" t="s">
        <v>117</v>
      </c>
      <c r="B2442">
        <v>1</v>
      </c>
      <c r="E2442" t="s">
        <v>3347</v>
      </c>
      <c r="F2442" t="s">
        <v>3344</v>
      </c>
      <c r="G2442" t="s">
        <v>3348</v>
      </c>
      <c r="I2442" t="s">
        <v>3338</v>
      </c>
      <c r="L2442" t="s">
        <v>193</v>
      </c>
      <c r="N2442" t="s">
        <v>3351</v>
      </c>
      <c r="O2442" t="s">
        <v>3352</v>
      </c>
      <c r="P2442">
        <v>40941213</v>
      </c>
    </row>
    <row r="2443" spans="1:16">
      <c r="A2443" t="s">
        <v>117</v>
      </c>
      <c r="B2443">
        <v>2</v>
      </c>
      <c r="E2443" t="s">
        <v>3351</v>
      </c>
      <c r="F2443" t="s">
        <v>3352</v>
      </c>
      <c r="G2443" t="s">
        <v>3353</v>
      </c>
      <c r="I2443" t="s">
        <v>3338</v>
      </c>
      <c r="J2443" t="s">
        <v>2421</v>
      </c>
      <c r="K2443" t="s">
        <v>3354</v>
      </c>
      <c r="L2443" t="s">
        <v>3355</v>
      </c>
      <c r="N2443" t="s">
        <v>3356</v>
      </c>
      <c r="O2443" t="s">
        <v>3357</v>
      </c>
      <c r="P2443">
        <v>40941213</v>
      </c>
    </row>
    <row r="2444" spans="1:16">
      <c r="A2444" t="s">
        <v>117</v>
      </c>
      <c r="B2444">
        <v>2</v>
      </c>
      <c r="E2444" t="s">
        <v>3351</v>
      </c>
      <c r="F2444" t="s">
        <v>3352</v>
      </c>
      <c r="G2444" t="s">
        <v>3353</v>
      </c>
      <c r="I2444" t="s">
        <v>3338</v>
      </c>
      <c r="J2444" t="s">
        <v>2421</v>
      </c>
      <c r="K2444" t="s">
        <v>3354</v>
      </c>
      <c r="L2444" t="s">
        <v>3355</v>
      </c>
      <c r="N2444" t="s">
        <v>3358</v>
      </c>
      <c r="O2444" t="s">
        <v>3359</v>
      </c>
      <c r="P2444">
        <v>40941213</v>
      </c>
    </row>
    <row r="2445" spans="1:16">
      <c r="A2445" t="s">
        <v>117</v>
      </c>
      <c r="B2445">
        <v>2</v>
      </c>
      <c r="E2445" t="s">
        <v>3351</v>
      </c>
      <c r="F2445" t="s">
        <v>3352</v>
      </c>
      <c r="G2445" t="s">
        <v>3353</v>
      </c>
      <c r="I2445" t="s">
        <v>3338</v>
      </c>
      <c r="J2445" t="s">
        <v>2421</v>
      </c>
      <c r="K2445" t="s">
        <v>3354</v>
      </c>
      <c r="L2445" t="s">
        <v>3355</v>
      </c>
      <c r="N2445" t="s">
        <v>3360</v>
      </c>
      <c r="O2445" t="s">
        <v>3361</v>
      </c>
      <c r="P2445">
        <v>40941213</v>
      </c>
    </row>
    <row r="2446" spans="1:16">
      <c r="A2446" t="s">
        <v>117</v>
      </c>
      <c r="B2446">
        <v>1</v>
      </c>
      <c r="E2446" t="s">
        <v>3347</v>
      </c>
      <c r="F2446" t="s">
        <v>3344</v>
      </c>
      <c r="G2446" t="s">
        <v>3348</v>
      </c>
      <c r="I2446" t="s">
        <v>3338</v>
      </c>
      <c r="J2446" t="s">
        <v>2236</v>
      </c>
      <c r="K2446" t="s">
        <v>3362</v>
      </c>
      <c r="L2446" t="s">
        <v>3363</v>
      </c>
      <c r="N2446" t="s">
        <v>3364</v>
      </c>
      <c r="O2446" t="s">
        <v>3365</v>
      </c>
      <c r="P2446">
        <v>40941213</v>
      </c>
    </row>
    <row r="2447" spans="1:16">
      <c r="A2447" t="s">
        <v>117</v>
      </c>
      <c r="B2447">
        <v>1</v>
      </c>
      <c r="E2447" t="s">
        <v>3347</v>
      </c>
      <c r="F2447" t="s">
        <v>3344</v>
      </c>
      <c r="G2447" t="s">
        <v>3348</v>
      </c>
      <c r="I2447" t="s">
        <v>3338</v>
      </c>
      <c r="L2447" t="s">
        <v>193</v>
      </c>
      <c r="N2447" t="s">
        <v>3366</v>
      </c>
      <c r="O2447" t="s">
        <v>3367</v>
      </c>
      <c r="P2447">
        <v>40941213</v>
      </c>
    </row>
    <row r="2448" spans="1:16">
      <c r="A2448" t="s">
        <v>117</v>
      </c>
      <c r="B2448">
        <v>2</v>
      </c>
      <c r="E2448" t="s">
        <v>3366</v>
      </c>
      <c r="F2448" t="s">
        <v>3367</v>
      </c>
      <c r="G2448" t="s">
        <v>3368</v>
      </c>
      <c r="I2448" t="s">
        <v>3338</v>
      </c>
      <c r="J2448" t="s">
        <v>2421</v>
      </c>
      <c r="K2448" t="s">
        <v>3354</v>
      </c>
      <c r="L2448" t="s">
        <v>3369</v>
      </c>
      <c r="N2448" t="s">
        <v>3370</v>
      </c>
      <c r="O2448" t="s">
        <v>3359</v>
      </c>
      <c r="P2448">
        <v>40941213</v>
      </c>
    </row>
    <row r="2449" spans="1:16">
      <c r="A2449" t="s">
        <v>117</v>
      </c>
      <c r="B2449">
        <v>2</v>
      </c>
      <c r="E2449" t="s">
        <v>3366</v>
      </c>
      <c r="F2449" t="s">
        <v>3367</v>
      </c>
      <c r="G2449" t="s">
        <v>3368</v>
      </c>
      <c r="I2449" t="s">
        <v>3338</v>
      </c>
      <c r="J2449" t="s">
        <v>2421</v>
      </c>
      <c r="K2449" t="s">
        <v>3354</v>
      </c>
      <c r="L2449" t="s">
        <v>3369</v>
      </c>
      <c r="N2449" t="s">
        <v>3371</v>
      </c>
      <c r="O2449" t="s">
        <v>3372</v>
      </c>
      <c r="P2449">
        <v>40941213</v>
      </c>
    </row>
    <row r="2450" spans="1:16">
      <c r="A2450" t="s">
        <v>117</v>
      </c>
      <c r="B2450">
        <v>2</v>
      </c>
      <c r="E2450" t="s">
        <v>3366</v>
      </c>
      <c r="F2450" t="s">
        <v>3367</v>
      </c>
      <c r="G2450" t="s">
        <v>3368</v>
      </c>
      <c r="I2450" t="s">
        <v>3338</v>
      </c>
      <c r="J2450" t="s">
        <v>2421</v>
      </c>
      <c r="K2450" t="s">
        <v>3354</v>
      </c>
      <c r="L2450" t="s">
        <v>3369</v>
      </c>
      <c r="N2450" t="s">
        <v>3373</v>
      </c>
      <c r="O2450" t="s">
        <v>3374</v>
      </c>
      <c r="P2450">
        <v>40941213</v>
      </c>
    </row>
    <row r="2451" spans="1:16">
      <c r="A2451" t="s">
        <v>117</v>
      </c>
      <c r="B2451">
        <v>2</v>
      </c>
      <c r="E2451" t="s">
        <v>3366</v>
      </c>
      <c r="F2451" t="s">
        <v>3367</v>
      </c>
      <c r="G2451" t="s">
        <v>3368</v>
      </c>
      <c r="I2451" t="s">
        <v>3338</v>
      </c>
      <c r="J2451" t="s">
        <v>2236</v>
      </c>
      <c r="K2451" t="s">
        <v>3362</v>
      </c>
      <c r="L2451" t="s">
        <v>3363</v>
      </c>
      <c r="N2451" t="s">
        <v>3375</v>
      </c>
      <c r="O2451" t="s">
        <v>3376</v>
      </c>
      <c r="P2451">
        <v>40941213</v>
      </c>
    </row>
    <row r="2452" spans="1:16">
      <c r="A2452" t="s">
        <v>117</v>
      </c>
      <c r="B2452">
        <v>0</v>
      </c>
      <c r="G2452" t="s">
        <v>3338</v>
      </c>
      <c r="I2452" t="s">
        <v>3338</v>
      </c>
      <c r="N2452" t="s">
        <v>3377</v>
      </c>
      <c r="O2452" t="s">
        <v>3346</v>
      </c>
      <c r="P2452">
        <v>40941213</v>
      </c>
    </row>
    <row r="2453" spans="1:16">
      <c r="A2453" t="s">
        <v>117</v>
      </c>
      <c r="B2453">
        <v>1</v>
      </c>
      <c r="E2453" t="s">
        <v>3377</v>
      </c>
      <c r="F2453" t="s">
        <v>3346</v>
      </c>
      <c r="G2453" t="s">
        <v>3378</v>
      </c>
      <c r="I2453" t="s">
        <v>3338</v>
      </c>
      <c r="L2453" t="s">
        <v>193</v>
      </c>
      <c r="N2453" t="s">
        <v>3379</v>
      </c>
      <c r="O2453" t="s">
        <v>3380</v>
      </c>
      <c r="P2453">
        <v>40941213</v>
      </c>
    </row>
    <row r="2454" spans="1:16">
      <c r="A2454" t="s">
        <v>117</v>
      </c>
      <c r="B2454">
        <v>2</v>
      </c>
      <c r="E2454" t="s">
        <v>3379</v>
      </c>
      <c r="F2454" t="s">
        <v>3380</v>
      </c>
      <c r="G2454" t="s">
        <v>3381</v>
      </c>
      <c r="I2454" t="s">
        <v>3338</v>
      </c>
      <c r="J2454" t="s">
        <v>2421</v>
      </c>
      <c r="K2454" t="s">
        <v>3354</v>
      </c>
      <c r="L2454" t="s">
        <v>3369</v>
      </c>
      <c r="N2454" t="s">
        <v>3382</v>
      </c>
      <c r="O2454" t="s">
        <v>3352</v>
      </c>
      <c r="P2454">
        <v>40941213</v>
      </c>
    </row>
    <row r="2455" spans="1:16">
      <c r="A2455" t="s">
        <v>117</v>
      </c>
      <c r="B2455">
        <v>2</v>
      </c>
      <c r="E2455" t="s">
        <v>3379</v>
      </c>
      <c r="F2455" t="s">
        <v>3380</v>
      </c>
      <c r="G2455" t="s">
        <v>3381</v>
      </c>
      <c r="I2455" t="s">
        <v>3338</v>
      </c>
      <c r="L2455" t="s">
        <v>3383</v>
      </c>
      <c r="N2455" t="s">
        <v>3384</v>
      </c>
      <c r="O2455" t="s">
        <v>3385</v>
      </c>
      <c r="P2455">
        <v>40941213</v>
      </c>
    </row>
    <row r="2456" spans="1:16">
      <c r="A2456" t="s">
        <v>117</v>
      </c>
      <c r="B2456">
        <v>2</v>
      </c>
      <c r="E2456" t="s">
        <v>3379</v>
      </c>
      <c r="F2456" t="s">
        <v>3380</v>
      </c>
      <c r="G2456" t="s">
        <v>3381</v>
      </c>
      <c r="I2456" t="s">
        <v>3338</v>
      </c>
      <c r="J2456" t="s">
        <v>2232</v>
      </c>
      <c r="K2456" t="s">
        <v>2233</v>
      </c>
      <c r="L2456" t="s">
        <v>3342</v>
      </c>
      <c r="N2456" t="s">
        <v>3386</v>
      </c>
      <c r="O2456" t="s">
        <v>3350</v>
      </c>
      <c r="P2456">
        <v>40941213</v>
      </c>
    </row>
    <row r="2457" spans="1:16">
      <c r="A2457" t="s">
        <v>117</v>
      </c>
      <c r="B2457">
        <v>0</v>
      </c>
      <c r="G2457" t="s">
        <v>3338</v>
      </c>
      <c r="I2457" t="s">
        <v>3338</v>
      </c>
      <c r="N2457" t="s">
        <v>3395</v>
      </c>
      <c r="O2457" t="s">
        <v>3396</v>
      </c>
      <c r="P2457">
        <v>40941213</v>
      </c>
    </row>
    <row r="2458" spans="1:16">
      <c r="A2458" t="s">
        <v>117</v>
      </c>
      <c r="B2458">
        <v>1</v>
      </c>
      <c r="E2458" t="s">
        <v>3395</v>
      </c>
      <c r="F2458" t="s">
        <v>3396</v>
      </c>
      <c r="G2458" t="s">
        <v>3397</v>
      </c>
      <c r="I2458" t="s">
        <v>3338</v>
      </c>
      <c r="L2458" t="s">
        <v>3342</v>
      </c>
      <c r="N2458" t="s">
        <v>3398</v>
      </c>
      <c r="O2458" t="s">
        <v>3399</v>
      </c>
      <c r="P2458">
        <v>40941213</v>
      </c>
    </row>
    <row r="2459" spans="1:16">
      <c r="A2459" t="s">
        <v>117</v>
      </c>
      <c r="B2459">
        <v>1</v>
      </c>
      <c r="E2459" t="s">
        <v>3395</v>
      </c>
      <c r="F2459" t="s">
        <v>3396</v>
      </c>
      <c r="G2459" t="s">
        <v>3397</v>
      </c>
      <c r="I2459" t="s">
        <v>3338</v>
      </c>
      <c r="J2459" t="s">
        <v>2232</v>
      </c>
      <c r="K2459" t="s">
        <v>2233</v>
      </c>
      <c r="L2459" t="s">
        <v>3342</v>
      </c>
      <c r="N2459" t="s">
        <v>3400</v>
      </c>
      <c r="O2459" t="s">
        <v>3401</v>
      </c>
      <c r="P2459">
        <v>40941213</v>
      </c>
    </row>
    <row r="2460" spans="1:16">
      <c r="A2460" t="s">
        <v>117</v>
      </c>
      <c r="B2460">
        <v>1</v>
      </c>
      <c r="E2460" t="s">
        <v>3395</v>
      </c>
      <c r="F2460" t="s">
        <v>3396</v>
      </c>
      <c r="G2460" t="s">
        <v>3397</v>
      </c>
      <c r="I2460" t="s">
        <v>3338</v>
      </c>
      <c r="L2460" t="s">
        <v>3342</v>
      </c>
      <c r="N2460" t="s">
        <v>3402</v>
      </c>
      <c r="O2460" t="s">
        <v>3403</v>
      </c>
      <c r="P2460">
        <v>40941213</v>
      </c>
    </row>
    <row r="2461" spans="1:16">
      <c r="A2461" t="s">
        <v>117</v>
      </c>
      <c r="B2461">
        <v>1</v>
      </c>
      <c r="E2461" t="s">
        <v>3395</v>
      </c>
      <c r="F2461" t="s">
        <v>3396</v>
      </c>
      <c r="G2461" t="s">
        <v>3397</v>
      </c>
      <c r="I2461" t="s">
        <v>3338</v>
      </c>
      <c r="J2461" t="s">
        <v>2232</v>
      </c>
      <c r="K2461" t="s">
        <v>2233</v>
      </c>
      <c r="L2461" t="s">
        <v>3342</v>
      </c>
      <c r="N2461" t="s">
        <v>3404</v>
      </c>
      <c r="O2461" t="s">
        <v>3405</v>
      </c>
      <c r="P2461">
        <v>40941213</v>
      </c>
    </row>
    <row r="2462" spans="1:16">
      <c r="A2462" t="s">
        <v>117</v>
      </c>
      <c r="B2462">
        <v>0</v>
      </c>
      <c r="G2462" t="s">
        <v>3338</v>
      </c>
      <c r="I2462" t="s">
        <v>3338</v>
      </c>
      <c r="N2462" t="s">
        <v>3406</v>
      </c>
      <c r="O2462" t="s">
        <v>3407</v>
      </c>
      <c r="P2462">
        <v>40941213</v>
      </c>
    </row>
    <row r="2463" spans="1:16">
      <c r="A2463" t="s">
        <v>117</v>
      </c>
      <c r="B2463">
        <v>1</v>
      </c>
      <c r="E2463" t="s">
        <v>3406</v>
      </c>
      <c r="F2463" t="s">
        <v>3407</v>
      </c>
      <c r="G2463" t="s">
        <v>3408</v>
      </c>
      <c r="I2463" t="s">
        <v>3338</v>
      </c>
      <c r="J2463" t="s">
        <v>2421</v>
      </c>
      <c r="K2463" t="s">
        <v>3354</v>
      </c>
      <c r="L2463" t="s">
        <v>3369</v>
      </c>
      <c r="N2463" t="s">
        <v>3409</v>
      </c>
      <c r="O2463" t="s">
        <v>3410</v>
      </c>
      <c r="P2463">
        <v>40941213</v>
      </c>
    </row>
    <row r="2464" spans="1:16">
      <c r="A2464" t="s">
        <v>117</v>
      </c>
      <c r="B2464">
        <v>1</v>
      </c>
      <c r="E2464" t="s">
        <v>3406</v>
      </c>
      <c r="F2464" t="s">
        <v>3407</v>
      </c>
      <c r="G2464" t="s">
        <v>3408</v>
      </c>
      <c r="I2464" t="s">
        <v>3338</v>
      </c>
      <c r="L2464" t="s">
        <v>193</v>
      </c>
      <c r="N2464" t="s">
        <v>3411</v>
      </c>
      <c r="O2464" t="s">
        <v>3412</v>
      </c>
      <c r="P2464">
        <v>40941213</v>
      </c>
    </row>
    <row r="2465" spans="1:16">
      <c r="A2465" t="s">
        <v>117</v>
      </c>
      <c r="B2465">
        <v>2</v>
      </c>
      <c r="E2465" t="s">
        <v>3411</v>
      </c>
      <c r="F2465" t="s">
        <v>3412</v>
      </c>
      <c r="G2465" t="s">
        <v>3413</v>
      </c>
      <c r="I2465" t="s">
        <v>3338</v>
      </c>
      <c r="L2465" t="s">
        <v>3342</v>
      </c>
      <c r="N2465" t="s">
        <v>3414</v>
      </c>
      <c r="O2465" t="s">
        <v>3415</v>
      </c>
      <c r="P2465">
        <v>40941213</v>
      </c>
    </row>
    <row r="2466" spans="1:16">
      <c r="A2466" t="s">
        <v>117</v>
      </c>
      <c r="B2466">
        <v>2</v>
      </c>
      <c r="E2466" t="s">
        <v>3411</v>
      </c>
      <c r="F2466" t="s">
        <v>3412</v>
      </c>
      <c r="G2466" t="s">
        <v>3413</v>
      </c>
      <c r="I2466" t="s">
        <v>3338</v>
      </c>
      <c r="J2466" t="s">
        <v>2232</v>
      </c>
      <c r="K2466" t="s">
        <v>2233</v>
      </c>
      <c r="L2466" t="s">
        <v>3342</v>
      </c>
      <c r="N2466" t="s">
        <v>3416</v>
      </c>
      <c r="O2466" t="s">
        <v>3417</v>
      </c>
      <c r="P2466">
        <v>40941213</v>
      </c>
    </row>
    <row r="2467" spans="1:16">
      <c r="A2467" t="s">
        <v>117</v>
      </c>
      <c r="B2467">
        <v>2</v>
      </c>
      <c r="E2467" t="s">
        <v>3411</v>
      </c>
      <c r="F2467" t="s">
        <v>3412</v>
      </c>
      <c r="G2467" t="s">
        <v>3413</v>
      </c>
      <c r="I2467" t="s">
        <v>3338</v>
      </c>
      <c r="J2467" t="s">
        <v>2232</v>
      </c>
      <c r="K2467" t="s">
        <v>2233</v>
      </c>
      <c r="L2467" t="s">
        <v>3342</v>
      </c>
      <c r="N2467" t="s">
        <v>3418</v>
      </c>
      <c r="O2467" t="s">
        <v>3419</v>
      </c>
      <c r="P2467">
        <v>40941213</v>
      </c>
    </row>
    <row r="2468" spans="1:16">
      <c r="A2468" t="s">
        <v>117</v>
      </c>
      <c r="B2468">
        <v>2</v>
      </c>
      <c r="E2468" t="s">
        <v>3411</v>
      </c>
      <c r="F2468" t="s">
        <v>3412</v>
      </c>
      <c r="G2468" t="s">
        <v>3413</v>
      </c>
      <c r="I2468" t="s">
        <v>3338</v>
      </c>
      <c r="L2468" t="s">
        <v>3342</v>
      </c>
      <c r="N2468" t="s">
        <v>3420</v>
      </c>
      <c r="O2468" t="s">
        <v>3421</v>
      </c>
      <c r="P2468">
        <v>40941213</v>
      </c>
    </row>
    <row r="2469" spans="1:16">
      <c r="A2469" t="s">
        <v>117</v>
      </c>
      <c r="B2469">
        <v>2</v>
      </c>
      <c r="E2469" t="s">
        <v>3411</v>
      </c>
      <c r="F2469" t="s">
        <v>3412</v>
      </c>
      <c r="G2469" t="s">
        <v>3413</v>
      </c>
      <c r="I2469" t="s">
        <v>3338</v>
      </c>
      <c r="J2469" t="s">
        <v>2232</v>
      </c>
      <c r="K2469" t="s">
        <v>2233</v>
      </c>
      <c r="L2469" t="s">
        <v>3342</v>
      </c>
      <c r="N2469" t="s">
        <v>3422</v>
      </c>
      <c r="O2469" t="s">
        <v>3423</v>
      </c>
      <c r="P2469">
        <v>40941213</v>
      </c>
    </row>
    <row r="2470" spans="1:16">
      <c r="A2470" t="s">
        <v>117</v>
      </c>
      <c r="B2470">
        <v>0</v>
      </c>
      <c r="G2470" t="s">
        <v>3338</v>
      </c>
      <c r="I2470" t="s">
        <v>3338</v>
      </c>
      <c r="N2470" t="s">
        <v>3424</v>
      </c>
      <c r="O2470" t="s">
        <v>3425</v>
      </c>
      <c r="P2470">
        <v>40941213</v>
      </c>
    </row>
    <row r="2471" spans="1:16">
      <c r="A2471" t="s">
        <v>117</v>
      </c>
      <c r="B2471">
        <v>1</v>
      </c>
      <c r="E2471" t="s">
        <v>3424</v>
      </c>
      <c r="F2471" t="s">
        <v>3425</v>
      </c>
      <c r="G2471" t="s">
        <v>3426</v>
      </c>
      <c r="I2471" t="s">
        <v>3338</v>
      </c>
      <c r="J2471" t="s">
        <v>2421</v>
      </c>
      <c r="K2471" t="s">
        <v>3354</v>
      </c>
      <c r="L2471" t="s">
        <v>3369</v>
      </c>
      <c r="N2471" t="s">
        <v>3427</v>
      </c>
      <c r="O2471" t="s">
        <v>3428</v>
      </c>
      <c r="P2471">
        <v>40941213</v>
      </c>
    </row>
    <row r="2472" spans="1:16">
      <c r="A2472" t="s">
        <v>117</v>
      </c>
      <c r="B2472">
        <v>1</v>
      </c>
      <c r="E2472" t="s">
        <v>3424</v>
      </c>
      <c r="F2472" t="s">
        <v>3425</v>
      </c>
      <c r="G2472" t="s">
        <v>3426</v>
      </c>
      <c r="I2472" t="s">
        <v>3338</v>
      </c>
      <c r="J2472" t="s">
        <v>2421</v>
      </c>
      <c r="K2472" t="s">
        <v>3354</v>
      </c>
      <c r="L2472" t="s">
        <v>3369</v>
      </c>
      <c r="N2472" t="s">
        <v>3429</v>
      </c>
      <c r="O2472" t="s">
        <v>3430</v>
      </c>
      <c r="P2472">
        <v>40941213</v>
      </c>
    </row>
    <row r="2473" spans="1:16">
      <c r="A2473" t="s">
        <v>117</v>
      </c>
      <c r="B2473">
        <v>1</v>
      </c>
      <c r="E2473" t="s">
        <v>3424</v>
      </c>
      <c r="F2473" t="s">
        <v>3425</v>
      </c>
      <c r="G2473" t="s">
        <v>3426</v>
      </c>
      <c r="I2473" t="s">
        <v>3338</v>
      </c>
      <c r="J2473" t="s">
        <v>2232</v>
      </c>
      <c r="K2473" t="s">
        <v>2233</v>
      </c>
      <c r="L2473" t="s">
        <v>3342</v>
      </c>
      <c r="N2473" t="s">
        <v>3431</v>
      </c>
      <c r="O2473" t="s">
        <v>3432</v>
      </c>
      <c r="P2473">
        <v>40941213</v>
      </c>
    </row>
    <row r="2474" spans="1:16">
      <c r="A2474" t="s">
        <v>117</v>
      </c>
      <c r="B2474">
        <v>0</v>
      </c>
      <c r="G2474" t="s">
        <v>3338</v>
      </c>
      <c r="I2474" t="s">
        <v>3338</v>
      </c>
      <c r="N2474" t="s">
        <v>3433</v>
      </c>
      <c r="O2474" t="s">
        <v>3434</v>
      </c>
      <c r="P2474">
        <v>40941213</v>
      </c>
    </row>
    <row r="2475" spans="1:16">
      <c r="A2475" t="s">
        <v>117</v>
      </c>
      <c r="B2475">
        <v>1</v>
      </c>
      <c r="E2475" t="s">
        <v>3433</v>
      </c>
      <c r="F2475" t="s">
        <v>3434</v>
      </c>
      <c r="G2475" t="s">
        <v>3435</v>
      </c>
      <c r="I2475" t="s">
        <v>3338</v>
      </c>
      <c r="J2475" t="s">
        <v>2232</v>
      </c>
      <c r="K2475" t="s">
        <v>2233</v>
      </c>
      <c r="L2475" t="s">
        <v>3342</v>
      </c>
      <c r="N2475" t="s">
        <v>3436</v>
      </c>
      <c r="O2475" t="s">
        <v>3437</v>
      </c>
      <c r="P2475">
        <v>40941213</v>
      </c>
    </row>
    <row r="2476" spans="1:16">
      <c r="A2476" t="s">
        <v>117</v>
      </c>
      <c r="B2476">
        <v>1</v>
      </c>
      <c r="E2476" t="s">
        <v>3433</v>
      </c>
      <c r="F2476" t="s">
        <v>3434</v>
      </c>
      <c r="G2476" t="s">
        <v>3435</v>
      </c>
      <c r="I2476" t="s">
        <v>3338</v>
      </c>
      <c r="J2476" t="s">
        <v>2232</v>
      </c>
      <c r="K2476" t="s">
        <v>2233</v>
      </c>
      <c r="L2476" t="s">
        <v>3342</v>
      </c>
      <c r="N2476" t="s">
        <v>3438</v>
      </c>
      <c r="O2476" t="s">
        <v>3439</v>
      </c>
      <c r="P2476">
        <v>40941213</v>
      </c>
    </row>
    <row r="2477" spans="1:16">
      <c r="A2477" t="s">
        <v>117</v>
      </c>
      <c r="B2477">
        <v>1</v>
      </c>
      <c r="E2477" t="s">
        <v>3433</v>
      </c>
      <c r="F2477" t="s">
        <v>3434</v>
      </c>
      <c r="G2477" t="s">
        <v>3435</v>
      </c>
      <c r="I2477" t="s">
        <v>3338</v>
      </c>
      <c r="J2477" t="s">
        <v>2232</v>
      </c>
      <c r="K2477" t="s">
        <v>2233</v>
      </c>
      <c r="L2477" t="s">
        <v>3342</v>
      </c>
      <c r="N2477" t="s">
        <v>3440</v>
      </c>
      <c r="O2477" t="s">
        <v>3441</v>
      </c>
      <c r="P2477">
        <v>40941213</v>
      </c>
    </row>
    <row r="2478" spans="1:16">
      <c r="A2478" t="s">
        <v>117</v>
      </c>
      <c r="B2478">
        <v>1</v>
      </c>
      <c r="E2478" t="s">
        <v>3433</v>
      </c>
      <c r="F2478" t="s">
        <v>3434</v>
      </c>
      <c r="G2478" t="s">
        <v>3435</v>
      </c>
      <c r="I2478" t="s">
        <v>3338</v>
      </c>
      <c r="J2478" t="s">
        <v>2232</v>
      </c>
      <c r="K2478" t="s">
        <v>2233</v>
      </c>
      <c r="L2478" t="s">
        <v>3342</v>
      </c>
      <c r="N2478" t="s">
        <v>3442</v>
      </c>
      <c r="O2478" t="s">
        <v>3443</v>
      </c>
      <c r="P2478">
        <v>40941213</v>
      </c>
    </row>
    <row r="2479" spans="1:16">
      <c r="A2479" t="s">
        <v>117</v>
      </c>
      <c r="B2479">
        <v>1</v>
      </c>
      <c r="E2479" t="s">
        <v>3433</v>
      </c>
      <c r="F2479" t="s">
        <v>3434</v>
      </c>
      <c r="G2479" t="s">
        <v>3435</v>
      </c>
      <c r="I2479" t="s">
        <v>3338</v>
      </c>
      <c r="J2479" t="s">
        <v>2232</v>
      </c>
      <c r="K2479" t="s">
        <v>2233</v>
      </c>
      <c r="L2479" t="s">
        <v>3342</v>
      </c>
      <c r="N2479" t="s">
        <v>3444</v>
      </c>
      <c r="O2479" t="s">
        <v>3445</v>
      </c>
      <c r="P2479">
        <v>40941213</v>
      </c>
    </row>
    <row r="2480" spans="1:16">
      <c r="A2480" t="s">
        <v>117</v>
      </c>
      <c r="B2480">
        <v>1</v>
      </c>
      <c r="E2480" t="s">
        <v>3433</v>
      </c>
      <c r="F2480" t="s">
        <v>3434</v>
      </c>
      <c r="G2480" t="s">
        <v>3435</v>
      </c>
      <c r="I2480" t="s">
        <v>3338</v>
      </c>
      <c r="J2480" t="s">
        <v>2232</v>
      </c>
      <c r="K2480" t="s">
        <v>2233</v>
      </c>
      <c r="L2480" t="s">
        <v>3342</v>
      </c>
      <c r="N2480" t="s">
        <v>3446</v>
      </c>
      <c r="O2480" t="s">
        <v>3447</v>
      </c>
      <c r="P2480">
        <v>40941213</v>
      </c>
    </row>
    <row r="2481" spans="1:16">
      <c r="A2481" t="s">
        <v>117</v>
      </c>
      <c r="B2481">
        <v>0</v>
      </c>
      <c r="G2481" t="s">
        <v>3338</v>
      </c>
      <c r="I2481" t="s">
        <v>3338</v>
      </c>
      <c r="N2481" t="s">
        <v>3448</v>
      </c>
      <c r="O2481" t="s">
        <v>3449</v>
      </c>
      <c r="P2481">
        <v>40941213</v>
      </c>
    </row>
    <row r="2482" spans="1:16">
      <c r="A2482" t="s">
        <v>117</v>
      </c>
      <c r="B2482">
        <v>1</v>
      </c>
      <c r="E2482" t="s">
        <v>3448</v>
      </c>
      <c r="F2482" t="s">
        <v>3449</v>
      </c>
      <c r="G2482" t="s">
        <v>3450</v>
      </c>
      <c r="I2482" t="s">
        <v>3338</v>
      </c>
      <c r="J2482" t="s">
        <v>2421</v>
      </c>
      <c r="K2482" t="s">
        <v>3354</v>
      </c>
      <c r="L2482" t="s">
        <v>3451</v>
      </c>
      <c r="N2482" t="s">
        <v>3452</v>
      </c>
      <c r="O2482" t="s">
        <v>3453</v>
      </c>
      <c r="P2482">
        <v>40941213</v>
      </c>
    </row>
    <row r="2483" spans="1:16">
      <c r="A2483" t="s">
        <v>119</v>
      </c>
      <c r="B2483">
        <v>0</v>
      </c>
      <c r="G2483" t="s">
        <v>3338</v>
      </c>
      <c r="I2483" t="s">
        <v>3338</v>
      </c>
      <c r="N2483" t="s">
        <v>3339</v>
      </c>
      <c r="O2483" t="s">
        <v>3340</v>
      </c>
      <c r="P2483">
        <v>40943677</v>
      </c>
    </row>
    <row r="2484" spans="1:16">
      <c r="A2484" t="s">
        <v>119</v>
      </c>
      <c r="B2484">
        <v>1</v>
      </c>
      <c r="E2484" t="s">
        <v>3339</v>
      </c>
      <c r="F2484" t="s">
        <v>3340</v>
      </c>
      <c r="G2484" t="s">
        <v>3341</v>
      </c>
      <c r="I2484" t="s">
        <v>3338</v>
      </c>
      <c r="J2484" t="s">
        <v>2232</v>
      </c>
      <c r="K2484" t="s">
        <v>2233</v>
      </c>
      <c r="L2484" t="s">
        <v>3342</v>
      </c>
      <c r="N2484" t="s">
        <v>3343</v>
      </c>
      <c r="O2484" t="s">
        <v>3344</v>
      </c>
      <c r="P2484">
        <v>40943677</v>
      </c>
    </row>
    <row r="2485" spans="1:16">
      <c r="A2485" t="s">
        <v>119</v>
      </c>
      <c r="B2485">
        <v>1</v>
      </c>
      <c r="E2485" t="s">
        <v>3339</v>
      </c>
      <c r="F2485" t="s">
        <v>3340</v>
      </c>
      <c r="G2485" t="s">
        <v>3341</v>
      </c>
      <c r="I2485" t="s">
        <v>3338</v>
      </c>
      <c r="J2485" t="s">
        <v>2232</v>
      </c>
      <c r="K2485" t="s">
        <v>2233</v>
      </c>
      <c r="L2485" t="s">
        <v>3342</v>
      </c>
      <c r="N2485" t="s">
        <v>3345</v>
      </c>
      <c r="O2485" t="s">
        <v>3346</v>
      </c>
      <c r="P2485">
        <v>40943677</v>
      </c>
    </row>
    <row r="2486" spans="1:16">
      <c r="A2486" t="s">
        <v>119</v>
      </c>
      <c r="B2486">
        <v>0</v>
      </c>
      <c r="G2486" t="s">
        <v>3338</v>
      </c>
      <c r="I2486" t="s">
        <v>3338</v>
      </c>
      <c r="N2486" t="s">
        <v>3347</v>
      </c>
      <c r="O2486" t="s">
        <v>3344</v>
      </c>
      <c r="P2486">
        <v>40943677</v>
      </c>
    </row>
    <row r="2487" spans="1:16">
      <c r="A2487" t="s">
        <v>119</v>
      </c>
      <c r="B2487">
        <v>1</v>
      </c>
      <c r="E2487" t="s">
        <v>3347</v>
      </c>
      <c r="F2487" t="s">
        <v>3344</v>
      </c>
      <c r="G2487" t="s">
        <v>3348</v>
      </c>
      <c r="I2487" t="s">
        <v>3338</v>
      </c>
      <c r="J2487" t="s">
        <v>2232</v>
      </c>
      <c r="K2487" t="s">
        <v>2233</v>
      </c>
      <c r="L2487" t="s">
        <v>3342</v>
      </c>
      <c r="N2487" t="s">
        <v>3349</v>
      </c>
      <c r="O2487" t="s">
        <v>3350</v>
      </c>
      <c r="P2487">
        <v>40943677</v>
      </c>
    </row>
    <row r="2488" spans="1:16">
      <c r="A2488" t="s">
        <v>119</v>
      </c>
      <c r="B2488">
        <v>1</v>
      </c>
      <c r="E2488" t="s">
        <v>3347</v>
      </c>
      <c r="F2488" t="s">
        <v>3344</v>
      </c>
      <c r="G2488" t="s">
        <v>3348</v>
      </c>
      <c r="I2488" t="s">
        <v>3338</v>
      </c>
      <c r="L2488" t="s">
        <v>193</v>
      </c>
      <c r="N2488" t="s">
        <v>3351</v>
      </c>
      <c r="O2488" t="s">
        <v>3352</v>
      </c>
      <c r="P2488">
        <v>40943677</v>
      </c>
    </row>
    <row r="2489" spans="1:16">
      <c r="A2489" t="s">
        <v>119</v>
      </c>
      <c r="B2489">
        <v>2</v>
      </c>
      <c r="E2489" t="s">
        <v>3351</v>
      </c>
      <c r="F2489" t="s">
        <v>3352</v>
      </c>
      <c r="G2489" t="s">
        <v>3353</v>
      </c>
      <c r="I2489" t="s">
        <v>3338</v>
      </c>
      <c r="J2489" t="s">
        <v>2421</v>
      </c>
      <c r="K2489" t="s">
        <v>3354</v>
      </c>
      <c r="L2489" t="s">
        <v>3355</v>
      </c>
      <c r="N2489" t="s">
        <v>3356</v>
      </c>
      <c r="O2489" t="s">
        <v>3357</v>
      </c>
      <c r="P2489">
        <v>40943677</v>
      </c>
    </row>
    <row r="2490" spans="1:16">
      <c r="A2490" t="s">
        <v>119</v>
      </c>
      <c r="B2490">
        <v>2</v>
      </c>
      <c r="E2490" t="s">
        <v>3351</v>
      </c>
      <c r="F2490" t="s">
        <v>3352</v>
      </c>
      <c r="G2490" t="s">
        <v>3353</v>
      </c>
      <c r="I2490" t="s">
        <v>3338</v>
      </c>
      <c r="J2490" t="s">
        <v>2421</v>
      </c>
      <c r="K2490" t="s">
        <v>3354</v>
      </c>
      <c r="L2490" t="s">
        <v>3355</v>
      </c>
      <c r="N2490" t="s">
        <v>3358</v>
      </c>
      <c r="O2490" t="s">
        <v>3359</v>
      </c>
      <c r="P2490">
        <v>40943677</v>
      </c>
    </row>
    <row r="2491" spans="1:16">
      <c r="A2491" t="s">
        <v>119</v>
      </c>
      <c r="B2491">
        <v>2</v>
      </c>
      <c r="E2491" t="s">
        <v>3351</v>
      </c>
      <c r="F2491" t="s">
        <v>3352</v>
      </c>
      <c r="G2491" t="s">
        <v>3353</v>
      </c>
      <c r="I2491" t="s">
        <v>3338</v>
      </c>
      <c r="J2491" t="s">
        <v>2421</v>
      </c>
      <c r="K2491" t="s">
        <v>3354</v>
      </c>
      <c r="L2491" t="s">
        <v>3355</v>
      </c>
      <c r="N2491" t="s">
        <v>3360</v>
      </c>
      <c r="O2491" t="s">
        <v>3361</v>
      </c>
      <c r="P2491">
        <v>40943677</v>
      </c>
    </row>
    <row r="2492" spans="1:16">
      <c r="A2492" t="s">
        <v>119</v>
      </c>
      <c r="B2492">
        <v>1</v>
      </c>
      <c r="E2492" t="s">
        <v>3347</v>
      </c>
      <c r="F2492" t="s">
        <v>3344</v>
      </c>
      <c r="G2492" t="s">
        <v>3348</v>
      </c>
      <c r="I2492" t="s">
        <v>3338</v>
      </c>
      <c r="J2492" t="s">
        <v>2236</v>
      </c>
      <c r="K2492" t="s">
        <v>3362</v>
      </c>
      <c r="L2492" t="s">
        <v>3363</v>
      </c>
      <c r="N2492" t="s">
        <v>3364</v>
      </c>
      <c r="O2492" t="s">
        <v>3365</v>
      </c>
      <c r="P2492">
        <v>40943677</v>
      </c>
    </row>
    <row r="2493" spans="1:16">
      <c r="A2493" t="s">
        <v>119</v>
      </c>
      <c r="B2493">
        <v>1</v>
      </c>
      <c r="E2493" t="s">
        <v>3347</v>
      </c>
      <c r="F2493" t="s">
        <v>3344</v>
      </c>
      <c r="G2493" t="s">
        <v>3348</v>
      </c>
      <c r="I2493" t="s">
        <v>3338</v>
      </c>
      <c r="L2493" t="s">
        <v>193</v>
      </c>
      <c r="N2493" t="s">
        <v>3366</v>
      </c>
      <c r="O2493" t="s">
        <v>3367</v>
      </c>
      <c r="P2493">
        <v>40943677</v>
      </c>
    </row>
    <row r="2494" spans="1:16">
      <c r="A2494" t="s">
        <v>119</v>
      </c>
      <c r="B2494">
        <v>2</v>
      </c>
      <c r="E2494" t="s">
        <v>3366</v>
      </c>
      <c r="F2494" t="s">
        <v>3367</v>
      </c>
      <c r="G2494" t="s">
        <v>3368</v>
      </c>
      <c r="I2494" t="s">
        <v>3338</v>
      </c>
      <c r="J2494" t="s">
        <v>2421</v>
      </c>
      <c r="K2494" t="s">
        <v>3354</v>
      </c>
      <c r="L2494" t="s">
        <v>3369</v>
      </c>
      <c r="N2494" t="s">
        <v>3370</v>
      </c>
      <c r="O2494" t="s">
        <v>3359</v>
      </c>
      <c r="P2494">
        <v>40943677</v>
      </c>
    </row>
    <row r="2495" spans="1:16">
      <c r="A2495" t="s">
        <v>119</v>
      </c>
      <c r="B2495">
        <v>2</v>
      </c>
      <c r="E2495" t="s">
        <v>3366</v>
      </c>
      <c r="F2495" t="s">
        <v>3367</v>
      </c>
      <c r="G2495" t="s">
        <v>3368</v>
      </c>
      <c r="I2495" t="s">
        <v>3338</v>
      </c>
      <c r="J2495" t="s">
        <v>2421</v>
      </c>
      <c r="K2495" t="s">
        <v>3354</v>
      </c>
      <c r="L2495" t="s">
        <v>3369</v>
      </c>
      <c r="N2495" t="s">
        <v>3371</v>
      </c>
      <c r="O2495" t="s">
        <v>3372</v>
      </c>
      <c r="P2495">
        <v>40943677</v>
      </c>
    </row>
    <row r="2496" spans="1:16">
      <c r="A2496" t="s">
        <v>119</v>
      </c>
      <c r="B2496">
        <v>2</v>
      </c>
      <c r="E2496" t="s">
        <v>3366</v>
      </c>
      <c r="F2496" t="s">
        <v>3367</v>
      </c>
      <c r="G2496" t="s">
        <v>3368</v>
      </c>
      <c r="I2496" t="s">
        <v>3338</v>
      </c>
      <c r="J2496" t="s">
        <v>2421</v>
      </c>
      <c r="K2496" t="s">
        <v>3354</v>
      </c>
      <c r="L2496" t="s">
        <v>3369</v>
      </c>
      <c r="N2496" t="s">
        <v>3373</v>
      </c>
      <c r="O2496" t="s">
        <v>3374</v>
      </c>
      <c r="P2496">
        <v>40943677</v>
      </c>
    </row>
    <row r="2497" spans="1:16">
      <c r="A2497" t="s">
        <v>119</v>
      </c>
      <c r="B2497">
        <v>2</v>
      </c>
      <c r="E2497" t="s">
        <v>3366</v>
      </c>
      <c r="F2497" t="s">
        <v>3367</v>
      </c>
      <c r="G2497" t="s">
        <v>3368</v>
      </c>
      <c r="I2497" t="s">
        <v>3338</v>
      </c>
      <c r="J2497" t="s">
        <v>2236</v>
      </c>
      <c r="K2497" t="s">
        <v>3362</v>
      </c>
      <c r="L2497" t="s">
        <v>3363</v>
      </c>
      <c r="N2497" t="s">
        <v>3375</v>
      </c>
      <c r="O2497" t="s">
        <v>3376</v>
      </c>
      <c r="P2497">
        <v>40943677</v>
      </c>
    </row>
    <row r="2498" spans="1:16">
      <c r="A2498" t="s">
        <v>119</v>
      </c>
      <c r="B2498">
        <v>0</v>
      </c>
      <c r="G2498" t="s">
        <v>3338</v>
      </c>
      <c r="I2498" t="s">
        <v>3338</v>
      </c>
      <c r="N2498" t="s">
        <v>3377</v>
      </c>
      <c r="O2498" t="s">
        <v>3346</v>
      </c>
      <c r="P2498">
        <v>40943677</v>
      </c>
    </row>
    <row r="2499" spans="1:16">
      <c r="A2499" t="s">
        <v>119</v>
      </c>
      <c r="B2499">
        <v>1</v>
      </c>
      <c r="E2499" t="s">
        <v>3377</v>
      </c>
      <c r="F2499" t="s">
        <v>3346</v>
      </c>
      <c r="G2499" t="s">
        <v>3378</v>
      </c>
      <c r="I2499" t="s">
        <v>3338</v>
      </c>
      <c r="L2499" t="s">
        <v>193</v>
      </c>
      <c r="N2499" t="s">
        <v>3379</v>
      </c>
      <c r="O2499" t="s">
        <v>3380</v>
      </c>
      <c r="P2499">
        <v>40943677</v>
      </c>
    </row>
    <row r="2500" spans="1:16">
      <c r="A2500" t="s">
        <v>119</v>
      </c>
      <c r="B2500">
        <v>2</v>
      </c>
      <c r="E2500" t="s">
        <v>3379</v>
      </c>
      <c r="F2500" t="s">
        <v>3380</v>
      </c>
      <c r="G2500" t="s">
        <v>3381</v>
      </c>
      <c r="I2500" t="s">
        <v>3338</v>
      </c>
      <c r="J2500" t="s">
        <v>2421</v>
      </c>
      <c r="K2500" t="s">
        <v>3354</v>
      </c>
      <c r="L2500" t="s">
        <v>3369</v>
      </c>
      <c r="N2500" t="s">
        <v>3382</v>
      </c>
      <c r="O2500" t="s">
        <v>3352</v>
      </c>
      <c r="P2500">
        <v>40943677</v>
      </c>
    </row>
    <row r="2501" spans="1:16">
      <c r="A2501" t="s">
        <v>119</v>
      </c>
      <c r="B2501">
        <v>2</v>
      </c>
      <c r="E2501" t="s">
        <v>3379</v>
      </c>
      <c r="F2501" t="s">
        <v>3380</v>
      </c>
      <c r="G2501" t="s">
        <v>3381</v>
      </c>
      <c r="I2501" t="s">
        <v>3338</v>
      </c>
      <c r="J2501" t="s">
        <v>2236</v>
      </c>
      <c r="K2501" t="s">
        <v>3362</v>
      </c>
      <c r="L2501" t="s">
        <v>3383</v>
      </c>
      <c r="N2501" t="s">
        <v>3384</v>
      </c>
      <c r="O2501" t="s">
        <v>3385</v>
      </c>
      <c r="P2501">
        <v>40943677</v>
      </c>
    </row>
    <row r="2502" spans="1:16">
      <c r="A2502" t="s">
        <v>119</v>
      </c>
      <c r="B2502">
        <v>2</v>
      </c>
      <c r="E2502" t="s">
        <v>3379</v>
      </c>
      <c r="F2502" t="s">
        <v>3380</v>
      </c>
      <c r="G2502" t="s">
        <v>3381</v>
      </c>
      <c r="I2502" t="s">
        <v>3338</v>
      </c>
      <c r="J2502" t="s">
        <v>2232</v>
      </c>
      <c r="K2502" t="s">
        <v>2233</v>
      </c>
      <c r="L2502" t="s">
        <v>3342</v>
      </c>
      <c r="N2502" t="s">
        <v>3386</v>
      </c>
      <c r="O2502" t="s">
        <v>3350</v>
      </c>
      <c r="P2502">
        <v>40943677</v>
      </c>
    </row>
    <row r="2503" spans="1:16">
      <c r="A2503" t="s">
        <v>119</v>
      </c>
      <c r="B2503">
        <v>1</v>
      </c>
      <c r="E2503" t="s">
        <v>3377</v>
      </c>
      <c r="F2503" t="s">
        <v>3346</v>
      </c>
      <c r="G2503" t="s">
        <v>3378</v>
      </c>
      <c r="I2503" t="s">
        <v>3338</v>
      </c>
      <c r="L2503" t="s">
        <v>193</v>
      </c>
      <c r="N2503" t="s">
        <v>3387</v>
      </c>
      <c r="O2503" t="s">
        <v>3388</v>
      </c>
      <c r="P2503">
        <v>40943677</v>
      </c>
    </row>
    <row r="2504" spans="1:16">
      <c r="A2504" t="s">
        <v>119</v>
      </c>
      <c r="B2504">
        <v>2</v>
      </c>
      <c r="E2504" t="s">
        <v>3387</v>
      </c>
      <c r="F2504" t="s">
        <v>3388</v>
      </c>
      <c r="G2504" t="s">
        <v>3389</v>
      </c>
      <c r="I2504" t="s">
        <v>3338</v>
      </c>
      <c r="L2504" t="s">
        <v>3369</v>
      </c>
      <c r="N2504" t="s">
        <v>3390</v>
      </c>
      <c r="O2504" t="s">
        <v>3352</v>
      </c>
      <c r="P2504">
        <v>40943677</v>
      </c>
    </row>
    <row r="2505" spans="1:16">
      <c r="A2505" t="s">
        <v>119</v>
      </c>
      <c r="B2505">
        <v>2</v>
      </c>
      <c r="E2505" t="s">
        <v>3387</v>
      </c>
      <c r="F2505" t="s">
        <v>3388</v>
      </c>
      <c r="G2505" t="s">
        <v>3389</v>
      </c>
      <c r="I2505" t="s">
        <v>3338</v>
      </c>
      <c r="L2505" t="s">
        <v>3342</v>
      </c>
      <c r="N2505" t="s">
        <v>3391</v>
      </c>
      <c r="O2505" t="s">
        <v>3392</v>
      </c>
      <c r="P2505">
        <v>40943677</v>
      </c>
    </row>
    <row r="2506" spans="1:16">
      <c r="A2506" t="s">
        <v>119</v>
      </c>
      <c r="B2506">
        <v>2</v>
      </c>
      <c r="E2506" t="s">
        <v>3387</v>
      </c>
      <c r="F2506" t="s">
        <v>3388</v>
      </c>
      <c r="G2506" t="s">
        <v>3389</v>
      </c>
      <c r="I2506" t="s">
        <v>3338</v>
      </c>
      <c r="L2506" t="s">
        <v>3383</v>
      </c>
      <c r="N2506" t="s">
        <v>3393</v>
      </c>
      <c r="O2506" t="s">
        <v>3385</v>
      </c>
      <c r="P2506">
        <v>40943677</v>
      </c>
    </row>
    <row r="2507" spans="1:16">
      <c r="A2507" t="s">
        <v>119</v>
      </c>
      <c r="B2507">
        <v>2</v>
      </c>
      <c r="E2507" t="s">
        <v>3387</v>
      </c>
      <c r="F2507" t="s">
        <v>3388</v>
      </c>
      <c r="G2507" t="s">
        <v>3389</v>
      </c>
      <c r="I2507" t="s">
        <v>3338</v>
      </c>
      <c r="L2507" t="s">
        <v>3342</v>
      </c>
      <c r="N2507" t="s">
        <v>3394</v>
      </c>
      <c r="O2507" t="s">
        <v>3350</v>
      </c>
      <c r="P2507">
        <v>40943677</v>
      </c>
    </row>
    <row r="2508" spans="1:16">
      <c r="A2508" t="s">
        <v>119</v>
      </c>
      <c r="B2508">
        <v>0</v>
      </c>
      <c r="G2508" t="s">
        <v>3338</v>
      </c>
      <c r="I2508" t="s">
        <v>3338</v>
      </c>
      <c r="N2508" t="s">
        <v>3395</v>
      </c>
      <c r="O2508" t="s">
        <v>3396</v>
      </c>
      <c r="P2508">
        <v>40943677</v>
      </c>
    </row>
    <row r="2509" spans="1:16">
      <c r="A2509" t="s">
        <v>119</v>
      </c>
      <c r="B2509">
        <v>1</v>
      </c>
      <c r="E2509" t="s">
        <v>3395</v>
      </c>
      <c r="F2509" t="s">
        <v>3396</v>
      </c>
      <c r="G2509" t="s">
        <v>3397</v>
      </c>
      <c r="I2509" t="s">
        <v>3338</v>
      </c>
      <c r="L2509" t="s">
        <v>3342</v>
      </c>
      <c r="N2509" t="s">
        <v>3398</v>
      </c>
      <c r="O2509" t="s">
        <v>3399</v>
      </c>
      <c r="P2509">
        <v>40943677</v>
      </c>
    </row>
    <row r="2510" spans="1:16">
      <c r="A2510" t="s">
        <v>119</v>
      </c>
      <c r="B2510">
        <v>1</v>
      </c>
      <c r="E2510" t="s">
        <v>3395</v>
      </c>
      <c r="F2510" t="s">
        <v>3396</v>
      </c>
      <c r="G2510" t="s">
        <v>3397</v>
      </c>
      <c r="I2510" t="s">
        <v>3338</v>
      </c>
      <c r="J2510" t="s">
        <v>2232</v>
      </c>
      <c r="K2510" t="s">
        <v>2233</v>
      </c>
      <c r="L2510" t="s">
        <v>3342</v>
      </c>
      <c r="N2510" t="s">
        <v>3400</v>
      </c>
      <c r="O2510" t="s">
        <v>3401</v>
      </c>
      <c r="P2510">
        <v>40943677</v>
      </c>
    </row>
    <row r="2511" spans="1:16">
      <c r="A2511" t="s">
        <v>119</v>
      </c>
      <c r="B2511">
        <v>1</v>
      </c>
      <c r="E2511" t="s">
        <v>3395</v>
      </c>
      <c r="F2511" t="s">
        <v>3396</v>
      </c>
      <c r="G2511" t="s">
        <v>3397</v>
      </c>
      <c r="I2511" t="s">
        <v>3338</v>
      </c>
      <c r="J2511" t="s">
        <v>2232</v>
      </c>
      <c r="K2511" t="s">
        <v>2233</v>
      </c>
      <c r="L2511" t="s">
        <v>3342</v>
      </c>
      <c r="N2511" t="s">
        <v>3402</v>
      </c>
      <c r="O2511" t="s">
        <v>3403</v>
      </c>
      <c r="P2511">
        <v>40943677</v>
      </c>
    </row>
    <row r="2512" spans="1:16">
      <c r="A2512" t="s">
        <v>119</v>
      </c>
      <c r="B2512">
        <v>1</v>
      </c>
      <c r="E2512" t="s">
        <v>3395</v>
      </c>
      <c r="F2512" t="s">
        <v>3396</v>
      </c>
      <c r="G2512" t="s">
        <v>3397</v>
      </c>
      <c r="I2512" t="s">
        <v>3338</v>
      </c>
      <c r="J2512" t="s">
        <v>2232</v>
      </c>
      <c r="K2512" t="s">
        <v>2233</v>
      </c>
      <c r="L2512" t="s">
        <v>3342</v>
      </c>
      <c r="N2512" t="s">
        <v>3404</v>
      </c>
      <c r="O2512" t="s">
        <v>3405</v>
      </c>
      <c r="P2512">
        <v>40943677</v>
      </c>
    </row>
    <row r="2513" spans="1:16">
      <c r="A2513" t="s">
        <v>119</v>
      </c>
      <c r="B2513">
        <v>0</v>
      </c>
      <c r="G2513" t="s">
        <v>3338</v>
      </c>
      <c r="I2513" t="s">
        <v>3338</v>
      </c>
      <c r="N2513" t="s">
        <v>3406</v>
      </c>
      <c r="O2513" t="s">
        <v>3407</v>
      </c>
      <c r="P2513">
        <v>40943677</v>
      </c>
    </row>
    <row r="2514" spans="1:16">
      <c r="A2514" t="s">
        <v>119</v>
      </c>
      <c r="B2514">
        <v>1</v>
      </c>
      <c r="E2514" t="s">
        <v>3406</v>
      </c>
      <c r="F2514" t="s">
        <v>3407</v>
      </c>
      <c r="G2514" t="s">
        <v>3408</v>
      </c>
      <c r="I2514" t="s">
        <v>3338</v>
      </c>
      <c r="J2514" t="s">
        <v>2421</v>
      </c>
      <c r="K2514" t="s">
        <v>3354</v>
      </c>
      <c r="L2514" t="s">
        <v>3369</v>
      </c>
      <c r="N2514" t="s">
        <v>3409</v>
      </c>
      <c r="O2514" t="s">
        <v>3410</v>
      </c>
      <c r="P2514">
        <v>40943677</v>
      </c>
    </row>
    <row r="2515" spans="1:16">
      <c r="A2515" t="s">
        <v>119</v>
      </c>
      <c r="B2515">
        <v>1</v>
      </c>
      <c r="E2515" t="s">
        <v>3406</v>
      </c>
      <c r="F2515" t="s">
        <v>3407</v>
      </c>
      <c r="G2515" t="s">
        <v>3408</v>
      </c>
      <c r="I2515" t="s">
        <v>3338</v>
      </c>
      <c r="L2515" t="s">
        <v>193</v>
      </c>
      <c r="N2515" t="s">
        <v>3411</v>
      </c>
      <c r="O2515" t="s">
        <v>3412</v>
      </c>
      <c r="P2515">
        <v>40943677</v>
      </c>
    </row>
    <row r="2516" spans="1:16">
      <c r="A2516" t="s">
        <v>119</v>
      </c>
      <c r="B2516">
        <v>2</v>
      </c>
      <c r="E2516" t="s">
        <v>3411</v>
      </c>
      <c r="F2516" t="s">
        <v>3412</v>
      </c>
      <c r="G2516" t="s">
        <v>3413</v>
      </c>
      <c r="I2516" t="s">
        <v>3338</v>
      </c>
      <c r="J2516" t="s">
        <v>2232</v>
      </c>
      <c r="K2516" t="s">
        <v>2233</v>
      </c>
      <c r="L2516" t="s">
        <v>3342</v>
      </c>
      <c r="N2516" t="s">
        <v>3414</v>
      </c>
      <c r="O2516" t="s">
        <v>3415</v>
      </c>
      <c r="P2516">
        <v>40943677</v>
      </c>
    </row>
    <row r="2517" spans="1:16">
      <c r="A2517" t="s">
        <v>119</v>
      </c>
      <c r="B2517">
        <v>2</v>
      </c>
      <c r="E2517" t="s">
        <v>3411</v>
      </c>
      <c r="F2517" t="s">
        <v>3412</v>
      </c>
      <c r="G2517" t="s">
        <v>3413</v>
      </c>
      <c r="I2517" t="s">
        <v>3338</v>
      </c>
      <c r="J2517" t="s">
        <v>2232</v>
      </c>
      <c r="K2517" t="s">
        <v>2233</v>
      </c>
      <c r="L2517" t="s">
        <v>3342</v>
      </c>
      <c r="N2517" t="s">
        <v>3416</v>
      </c>
      <c r="O2517" t="s">
        <v>3417</v>
      </c>
      <c r="P2517">
        <v>40943677</v>
      </c>
    </row>
    <row r="2518" spans="1:16">
      <c r="A2518" t="s">
        <v>119</v>
      </c>
      <c r="B2518">
        <v>2</v>
      </c>
      <c r="E2518" t="s">
        <v>3411</v>
      </c>
      <c r="F2518" t="s">
        <v>3412</v>
      </c>
      <c r="G2518" t="s">
        <v>3413</v>
      </c>
      <c r="I2518" t="s">
        <v>3338</v>
      </c>
      <c r="J2518" t="s">
        <v>2232</v>
      </c>
      <c r="K2518" t="s">
        <v>2233</v>
      </c>
      <c r="L2518" t="s">
        <v>3342</v>
      </c>
      <c r="N2518" t="s">
        <v>3418</v>
      </c>
      <c r="O2518" t="s">
        <v>3419</v>
      </c>
      <c r="P2518">
        <v>40943677</v>
      </c>
    </row>
    <row r="2519" spans="1:16">
      <c r="A2519" t="s">
        <v>119</v>
      </c>
      <c r="B2519">
        <v>2</v>
      </c>
      <c r="E2519" t="s">
        <v>3411</v>
      </c>
      <c r="F2519" t="s">
        <v>3412</v>
      </c>
      <c r="G2519" t="s">
        <v>3413</v>
      </c>
      <c r="I2519" t="s">
        <v>3338</v>
      </c>
      <c r="J2519" t="s">
        <v>2232</v>
      </c>
      <c r="K2519" t="s">
        <v>2233</v>
      </c>
      <c r="L2519" t="s">
        <v>3342</v>
      </c>
      <c r="N2519" t="s">
        <v>3420</v>
      </c>
      <c r="O2519" t="s">
        <v>3421</v>
      </c>
      <c r="P2519">
        <v>40943677</v>
      </c>
    </row>
    <row r="2520" spans="1:16">
      <c r="A2520" t="s">
        <v>119</v>
      </c>
      <c r="B2520">
        <v>2</v>
      </c>
      <c r="E2520" t="s">
        <v>3411</v>
      </c>
      <c r="F2520" t="s">
        <v>3412</v>
      </c>
      <c r="G2520" t="s">
        <v>3413</v>
      </c>
      <c r="I2520" t="s">
        <v>3338</v>
      </c>
      <c r="J2520" t="s">
        <v>2232</v>
      </c>
      <c r="K2520" t="s">
        <v>2233</v>
      </c>
      <c r="L2520" t="s">
        <v>3342</v>
      </c>
      <c r="N2520" t="s">
        <v>3422</v>
      </c>
      <c r="O2520" t="s">
        <v>3423</v>
      </c>
      <c r="P2520">
        <v>40943677</v>
      </c>
    </row>
    <row r="2521" spans="1:16">
      <c r="A2521" t="s">
        <v>119</v>
      </c>
      <c r="B2521">
        <v>0</v>
      </c>
      <c r="G2521" t="s">
        <v>3338</v>
      </c>
      <c r="I2521" t="s">
        <v>3338</v>
      </c>
      <c r="N2521" t="s">
        <v>3424</v>
      </c>
      <c r="O2521" t="s">
        <v>3425</v>
      </c>
      <c r="P2521">
        <v>40943677</v>
      </c>
    </row>
    <row r="2522" spans="1:16">
      <c r="A2522" t="s">
        <v>119</v>
      </c>
      <c r="B2522">
        <v>1</v>
      </c>
      <c r="E2522" t="s">
        <v>3424</v>
      </c>
      <c r="F2522" t="s">
        <v>3425</v>
      </c>
      <c r="G2522" t="s">
        <v>3426</v>
      </c>
      <c r="I2522" t="s">
        <v>3338</v>
      </c>
      <c r="J2522" t="s">
        <v>2421</v>
      </c>
      <c r="K2522" t="s">
        <v>3354</v>
      </c>
      <c r="L2522" t="s">
        <v>3369</v>
      </c>
      <c r="N2522" t="s">
        <v>3427</v>
      </c>
      <c r="O2522" t="s">
        <v>3428</v>
      </c>
      <c r="P2522">
        <v>40943677</v>
      </c>
    </row>
    <row r="2523" spans="1:16">
      <c r="A2523" t="s">
        <v>119</v>
      </c>
      <c r="B2523">
        <v>1</v>
      </c>
      <c r="E2523" t="s">
        <v>3424</v>
      </c>
      <c r="F2523" t="s">
        <v>3425</v>
      </c>
      <c r="G2523" t="s">
        <v>3426</v>
      </c>
      <c r="I2523" t="s">
        <v>3338</v>
      </c>
      <c r="J2523" t="s">
        <v>2421</v>
      </c>
      <c r="K2523" t="s">
        <v>3354</v>
      </c>
      <c r="L2523" t="s">
        <v>3369</v>
      </c>
      <c r="N2523" t="s">
        <v>3429</v>
      </c>
      <c r="O2523" t="s">
        <v>3430</v>
      </c>
      <c r="P2523">
        <v>40943677</v>
      </c>
    </row>
    <row r="2524" spans="1:16">
      <c r="A2524" t="s">
        <v>119</v>
      </c>
      <c r="B2524">
        <v>1</v>
      </c>
      <c r="E2524" t="s">
        <v>3424</v>
      </c>
      <c r="F2524" t="s">
        <v>3425</v>
      </c>
      <c r="G2524" t="s">
        <v>3426</v>
      </c>
      <c r="I2524" t="s">
        <v>3338</v>
      </c>
      <c r="J2524" t="s">
        <v>2232</v>
      </c>
      <c r="K2524" t="s">
        <v>2233</v>
      </c>
      <c r="L2524" t="s">
        <v>3342</v>
      </c>
      <c r="N2524" t="s">
        <v>3431</v>
      </c>
      <c r="O2524" t="s">
        <v>3432</v>
      </c>
      <c r="P2524">
        <v>40943677</v>
      </c>
    </row>
    <row r="2525" spans="1:16">
      <c r="A2525" t="s">
        <v>119</v>
      </c>
      <c r="B2525">
        <v>0</v>
      </c>
      <c r="G2525" t="s">
        <v>3338</v>
      </c>
      <c r="I2525" t="s">
        <v>3338</v>
      </c>
      <c r="N2525" t="s">
        <v>3433</v>
      </c>
      <c r="O2525" t="s">
        <v>3434</v>
      </c>
      <c r="P2525">
        <v>40943677</v>
      </c>
    </row>
    <row r="2526" spans="1:16">
      <c r="A2526" t="s">
        <v>119</v>
      </c>
      <c r="B2526">
        <v>1</v>
      </c>
      <c r="E2526" t="s">
        <v>3433</v>
      </c>
      <c r="F2526" t="s">
        <v>3434</v>
      </c>
      <c r="G2526" t="s">
        <v>3435</v>
      </c>
      <c r="I2526" t="s">
        <v>3338</v>
      </c>
      <c r="J2526" t="s">
        <v>2232</v>
      </c>
      <c r="K2526" t="s">
        <v>2233</v>
      </c>
      <c r="L2526" t="s">
        <v>3342</v>
      </c>
      <c r="N2526" t="s">
        <v>3436</v>
      </c>
      <c r="O2526" t="s">
        <v>3437</v>
      </c>
      <c r="P2526">
        <v>40943677</v>
      </c>
    </row>
    <row r="2527" spans="1:16">
      <c r="A2527" t="s">
        <v>119</v>
      </c>
      <c r="B2527">
        <v>1</v>
      </c>
      <c r="E2527" t="s">
        <v>3433</v>
      </c>
      <c r="F2527" t="s">
        <v>3434</v>
      </c>
      <c r="G2527" t="s">
        <v>3435</v>
      </c>
      <c r="I2527" t="s">
        <v>3338</v>
      </c>
      <c r="J2527" t="s">
        <v>2232</v>
      </c>
      <c r="K2527" t="s">
        <v>2233</v>
      </c>
      <c r="L2527" t="s">
        <v>3342</v>
      </c>
      <c r="N2527" t="s">
        <v>3438</v>
      </c>
      <c r="O2527" t="s">
        <v>3439</v>
      </c>
      <c r="P2527">
        <v>40943677</v>
      </c>
    </row>
    <row r="2528" spans="1:16">
      <c r="A2528" t="s">
        <v>119</v>
      </c>
      <c r="B2528">
        <v>1</v>
      </c>
      <c r="E2528" t="s">
        <v>3433</v>
      </c>
      <c r="F2528" t="s">
        <v>3434</v>
      </c>
      <c r="G2528" t="s">
        <v>3435</v>
      </c>
      <c r="I2528" t="s">
        <v>3338</v>
      </c>
      <c r="J2528" t="s">
        <v>2232</v>
      </c>
      <c r="K2528" t="s">
        <v>2233</v>
      </c>
      <c r="L2528" t="s">
        <v>3342</v>
      </c>
      <c r="N2528" t="s">
        <v>3440</v>
      </c>
      <c r="O2528" t="s">
        <v>3441</v>
      </c>
      <c r="P2528">
        <v>40943677</v>
      </c>
    </row>
    <row r="2529" spans="1:16">
      <c r="A2529" t="s">
        <v>119</v>
      </c>
      <c r="B2529">
        <v>1</v>
      </c>
      <c r="E2529" t="s">
        <v>3433</v>
      </c>
      <c r="F2529" t="s">
        <v>3434</v>
      </c>
      <c r="G2529" t="s">
        <v>3435</v>
      </c>
      <c r="I2529" t="s">
        <v>3338</v>
      </c>
      <c r="J2529" t="s">
        <v>2232</v>
      </c>
      <c r="K2529" t="s">
        <v>2233</v>
      </c>
      <c r="L2529" t="s">
        <v>3342</v>
      </c>
      <c r="N2529" t="s">
        <v>3442</v>
      </c>
      <c r="O2529" t="s">
        <v>3443</v>
      </c>
      <c r="P2529">
        <v>40943677</v>
      </c>
    </row>
    <row r="2530" spans="1:16">
      <c r="A2530" t="s">
        <v>119</v>
      </c>
      <c r="B2530">
        <v>1</v>
      </c>
      <c r="E2530" t="s">
        <v>3433</v>
      </c>
      <c r="F2530" t="s">
        <v>3434</v>
      </c>
      <c r="G2530" t="s">
        <v>3435</v>
      </c>
      <c r="I2530" t="s">
        <v>3338</v>
      </c>
      <c r="J2530" t="s">
        <v>2232</v>
      </c>
      <c r="K2530" t="s">
        <v>2233</v>
      </c>
      <c r="L2530" t="s">
        <v>3342</v>
      </c>
      <c r="N2530" t="s">
        <v>3444</v>
      </c>
      <c r="O2530" t="s">
        <v>3445</v>
      </c>
      <c r="P2530">
        <v>40943677</v>
      </c>
    </row>
    <row r="2531" spans="1:16">
      <c r="A2531" t="s">
        <v>119</v>
      </c>
      <c r="B2531">
        <v>1</v>
      </c>
      <c r="E2531" t="s">
        <v>3433</v>
      </c>
      <c r="F2531" t="s">
        <v>3434</v>
      </c>
      <c r="G2531" t="s">
        <v>3435</v>
      </c>
      <c r="I2531" t="s">
        <v>3338</v>
      </c>
      <c r="J2531" t="s">
        <v>2232</v>
      </c>
      <c r="K2531" t="s">
        <v>2233</v>
      </c>
      <c r="L2531" t="s">
        <v>3342</v>
      </c>
      <c r="N2531" t="s">
        <v>3446</v>
      </c>
      <c r="O2531" t="s">
        <v>3447</v>
      </c>
      <c r="P2531">
        <v>40943677</v>
      </c>
    </row>
    <row r="2532" spans="1:16">
      <c r="A2532" t="s">
        <v>119</v>
      </c>
      <c r="B2532">
        <v>0</v>
      </c>
      <c r="G2532" t="s">
        <v>3338</v>
      </c>
      <c r="I2532" t="s">
        <v>3338</v>
      </c>
      <c r="N2532" t="s">
        <v>3448</v>
      </c>
      <c r="O2532" t="s">
        <v>3449</v>
      </c>
      <c r="P2532">
        <v>40943677</v>
      </c>
    </row>
    <row r="2533" spans="1:16">
      <c r="A2533" t="s">
        <v>119</v>
      </c>
      <c r="B2533">
        <v>1</v>
      </c>
      <c r="E2533" t="s">
        <v>3448</v>
      </c>
      <c r="F2533" t="s">
        <v>3449</v>
      </c>
      <c r="G2533" t="s">
        <v>3450</v>
      </c>
      <c r="I2533" t="s">
        <v>3338</v>
      </c>
      <c r="J2533" t="s">
        <v>2421</v>
      </c>
      <c r="K2533" t="s">
        <v>3354</v>
      </c>
      <c r="L2533" t="s">
        <v>3451</v>
      </c>
      <c r="N2533" t="s">
        <v>3452</v>
      </c>
      <c r="O2533" t="s">
        <v>3453</v>
      </c>
      <c r="P2533">
        <v>40943677</v>
      </c>
    </row>
    <row r="2534" spans="1:16">
      <c r="A2534" t="s">
        <v>119</v>
      </c>
      <c r="B2534">
        <v>0</v>
      </c>
      <c r="G2534" t="s">
        <v>3456</v>
      </c>
      <c r="I2534" t="s">
        <v>3456</v>
      </c>
      <c r="M2534" t="s">
        <v>3463</v>
      </c>
      <c r="N2534" t="s">
        <v>3464</v>
      </c>
      <c r="O2534" t="s">
        <v>3465</v>
      </c>
      <c r="P2534">
        <v>40943677</v>
      </c>
    </row>
    <row r="2535" spans="1:16">
      <c r="A2535" t="s">
        <v>121</v>
      </c>
      <c r="B2535">
        <v>0</v>
      </c>
      <c r="G2535" t="s">
        <v>3338</v>
      </c>
      <c r="I2535" t="s">
        <v>3338</v>
      </c>
      <c r="N2535" t="s">
        <v>3339</v>
      </c>
      <c r="O2535" t="s">
        <v>3340</v>
      </c>
      <c r="P2535">
        <v>40951140</v>
      </c>
    </row>
    <row r="2536" spans="1:16">
      <c r="A2536" t="s">
        <v>121</v>
      </c>
      <c r="B2536">
        <v>1</v>
      </c>
      <c r="E2536" t="s">
        <v>3339</v>
      </c>
      <c r="F2536" t="s">
        <v>3340</v>
      </c>
      <c r="G2536" t="s">
        <v>3341</v>
      </c>
      <c r="I2536" t="s">
        <v>3338</v>
      </c>
      <c r="J2536" t="s">
        <v>2232</v>
      </c>
      <c r="K2536" t="s">
        <v>2233</v>
      </c>
      <c r="L2536" t="s">
        <v>3342</v>
      </c>
      <c r="N2536" t="s">
        <v>3343</v>
      </c>
      <c r="O2536" t="s">
        <v>3344</v>
      </c>
      <c r="P2536">
        <v>40951140</v>
      </c>
    </row>
    <row r="2537" spans="1:16">
      <c r="A2537" t="s">
        <v>121</v>
      </c>
      <c r="B2537">
        <v>1</v>
      </c>
      <c r="E2537" t="s">
        <v>3339</v>
      </c>
      <c r="F2537" t="s">
        <v>3340</v>
      </c>
      <c r="G2537" t="s">
        <v>3341</v>
      </c>
      <c r="I2537" t="s">
        <v>3338</v>
      </c>
      <c r="J2537" t="s">
        <v>2232</v>
      </c>
      <c r="K2537" t="s">
        <v>2233</v>
      </c>
      <c r="L2537" t="s">
        <v>3342</v>
      </c>
      <c r="N2537" t="s">
        <v>3345</v>
      </c>
      <c r="O2537" t="s">
        <v>3346</v>
      </c>
      <c r="P2537">
        <v>40951140</v>
      </c>
    </row>
    <row r="2538" spans="1:16">
      <c r="A2538" t="s">
        <v>121</v>
      </c>
      <c r="B2538">
        <v>0</v>
      </c>
      <c r="G2538" t="s">
        <v>3338</v>
      </c>
      <c r="I2538" t="s">
        <v>3338</v>
      </c>
      <c r="N2538" t="s">
        <v>3347</v>
      </c>
      <c r="O2538" t="s">
        <v>3344</v>
      </c>
      <c r="P2538">
        <v>40951140</v>
      </c>
    </row>
    <row r="2539" spans="1:16">
      <c r="A2539" t="s">
        <v>121</v>
      </c>
      <c r="B2539">
        <v>1</v>
      </c>
      <c r="E2539" t="s">
        <v>3347</v>
      </c>
      <c r="F2539" t="s">
        <v>3344</v>
      </c>
      <c r="G2539" t="s">
        <v>3348</v>
      </c>
      <c r="I2539" t="s">
        <v>3338</v>
      </c>
      <c r="J2539" t="s">
        <v>2232</v>
      </c>
      <c r="K2539" t="s">
        <v>2233</v>
      </c>
      <c r="L2539" t="s">
        <v>3342</v>
      </c>
      <c r="N2539" t="s">
        <v>3349</v>
      </c>
      <c r="O2539" t="s">
        <v>3350</v>
      </c>
      <c r="P2539">
        <v>40951140</v>
      </c>
    </row>
    <row r="2540" spans="1:16">
      <c r="A2540" t="s">
        <v>121</v>
      </c>
      <c r="B2540">
        <v>1</v>
      </c>
      <c r="E2540" t="s">
        <v>3347</v>
      </c>
      <c r="F2540" t="s">
        <v>3344</v>
      </c>
      <c r="G2540" t="s">
        <v>3348</v>
      </c>
      <c r="I2540" t="s">
        <v>3338</v>
      </c>
      <c r="L2540" t="s">
        <v>193</v>
      </c>
      <c r="N2540" t="s">
        <v>3351</v>
      </c>
      <c r="O2540" t="s">
        <v>3352</v>
      </c>
      <c r="P2540">
        <v>40951140</v>
      </c>
    </row>
    <row r="2541" spans="1:16">
      <c r="A2541" t="s">
        <v>121</v>
      </c>
      <c r="B2541">
        <v>2</v>
      </c>
      <c r="E2541" t="s">
        <v>3351</v>
      </c>
      <c r="F2541" t="s">
        <v>3352</v>
      </c>
      <c r="G2541" t="s">
        <v>3353</v>
      </c>
      <c r="I2541" t="s">
        <v>3338</v>
      </c>
      <c r="J2541" t="s">
        <v>2421</v>
      </c>
      <c r="K2541" t="s">
        <v>3354</v>
      </c>
      <c r="L2541" t="s">
        <v>3355</v>
      </c>
      <c r="N2541" t="s">
        <v>3356</v>
      </c>
      <c r="O2541" t="s">
        <v>3357</v>
      </c>
      <c r="P2541">
        <v>40951140</v>
      </c>
    </row>
    <row r="2542" spans="1:16">
      <c r="A2542" t="s">
        <v>121</v>
      </c>
      <c r="B2542">
        <v>2</v>
      </c>
      <c r="E2542" t="s">
        <v>3351</v>
      </c>
      <c r="F2542" t="s">
        <v>3352</v>
      </c>
      <c r="G2542" t="s">
        <v>3353</v>
      </c>
      <c r="I2542" t="s">
        <v>3338</v>
      </c>
      <c r="J2542" t="s">
        <v>2421</v>
      </c>
      <c r="K2542" t="s">
        <v>3354</v>
      </c>
      <c r="L2542" t="s">
        <v>3355</v>
      </c>
      <c r="N2542" t="s">
        <v>3358</v>
      </c>
      <c r="O2542" t="s">
        <v>3359</v>
      </c>
      <c r="P2542">
        <v>40951140</v>
      </c>
    </row>
    <row r="2543" spans="1:16">
      <c r="A2543" t="s">
        <v>121</v>
      </c>
      <c r="B2543">
        <v>2</v>
      </c>
      <c r="E2543" t="s">
        <v>3351</v>
      </c>
      <c r="F2543" t="s">
        <v>3352</v>
      </c>
      <c r="G2543" t="s">
        <v>3353</v>
      </c>
      <c r="I2543" t="s">
        <v>3338</v>
      </c>
      <c r="J2543" t="s">
        <v>2421</v>
      </c>
      <c r="K2543" t="s">
        <v>3354</v>
      </c>
      <c r="L2543" t="s">
        <v>3355</v>
      </c>
      <c r="N2543" t="s">
        <v>3360</v>
      </c>
      <c r="O2543" t="s">
        <v>3361</v>
      </c>
      <c r="P2543">
        <v>40951140</v>
      </c>
    </row>
    <row r="2544" spans="1:16">
      <c r="A2544" t="s">
        <v>121</v>
      </c>
      <c r="B2544">
        <v>1</v>
      </c>
      <c r="E2544" t="s">
        <v>3347</v>
      </c>
      <c r="F2544" t="s">
        <v>3344</v>
      </c>
      <c r="G2544" t="s">
        <v>3348</v>
      </c>
      <c r="I2544" t="s">
        <v>3338</v>
      </c>
      <c r="J2544" t="s">
        <v>2236</v>
      </c>
      <c r="K2544" t="s">
        <v>3362</v>
      </c>
      <c r="L2544" t="s">
        <v>3363</v>
      </c>
      <c r="N2544" t="s">
        <v>3364</v>
      </c>
      <c r="O2544" t="s">
        <v>3365</v>
      </c>
      <c r="P2544">
        <v>40951140</v>
      </c>
    </row>
    <row r="2545" spans="1:16">
      <c r="A2545" t="s">
        <v>121</v>
      </c>
      <c r="B2545">
        <v>1</v>
      </c>
      <c r="E2545" t="s">
        <v>3347</v>
      </c>
      <c r="F2545" t="s">
        <v>3344</v>
      </c>
      <c r="G2545" t="s">
        <v>3348</v>
      </c>
      <c r="I2545" t="s">
        <v>3338</v>
      </c>
      <c r="L2545" t="s">
        <v>193</v>
      </c>
      <c r="N2545" t="s">
        <v>3366</v>
      </c>
      <c r="O2545" t="s">
        <v>3367</v>
      </c>
      <c r="P2545">
        <v>40951140</v>
      </c>
    </row>
    <row r="2546" spans="1:16">
      <c r="A2546" t="s">
        <v>121</v>
      </c>
      <c r="B2546">
        <v>2</v>
      </c>
      <c r="E2546" t="s">
        <v>3366</v>
      </c>
      <c r="F2546" t="s">
        <v>3367</v>
      </c>
      <c r="G2546" t="s">
        <v>3368</v>
      </c>
      <c r="I2546" t="s">
        <v>3338</v>
      </c>
      <c r="J2546" t="s">
        <v>2421</v>
      </c>
      <c r="K2546" t="s">
        <v>3354</v>
      </c>
      <c r="L2546" t="s">
        <v>3369</v>
      </c>
      <c r="N2546" t="s">
        <v>3370</v>
      </c>
      <c r="O2546" t="s">
        <v>3359</v>
      </c>
      <c r="P2546">
        <v>40951140</v>
      </c>
    </row>
    <row r="2547" spans="1:16">
      <c r="A2547" t="s">
        <v>121</v>
      </c>
      <c r="B2547">
        <v>2</v>
      </c>
      <c r="E2547" t="s">
        <v>3366</v>
      </c>
      <c r="F2547" t="s">
        <v>3367</v>
      </c>
      <c r="G2547" t="s">
        <v>3368</v>
      </c>
      <c r="I2547" t="s">
        <v>3338</v>
      </c>
      <c r="J2547" t="s">
        <v>2421</v>
      </c>
      <c r="K2547" t="s">
        <v>3354</v>
      </c>
      <c r="L2547" t="s">
        <v>3369</v>
      </c>
      <c r="N2547" t="s">
        <v>3371</v>
      </c>
      <c r="O2547" t="s">
        <v>3372</v>
      </c>
      <c r="P2547">
        <v>40951140</v>
      </c>
    </row>
    <row r="2548" spans="1:16">
      <c r="A2548" t="s">
        <v>121</v>
      </c>
      <c r="B2548">
        <v>2</v>
      </c>
      <c r="E2548" t="s">
        <v>3366</v>
      </c>
      <c r="F2548" t="s">
        <v>3367</v>
      </c>
      <c r="G2548" t="s">
        <v>3368</v>
      </c>
      <c r="I2548" t="s">
        <v>3338</v>
      </c>
      <c r="J2548" t="s">
        <v>2421</v>
      </c>
      <c r="K2548" t="s">
        <v>3354</v>
      </c>
      <c r="L2548" t="s">
        <v>3369</v>
      </c>
      <c r="N2548" t="s">
        <v>3373</v>
      </c>
      <c r="O2548" t="s">
        <v>3374</v>
      </c>
      <c r="P2548">
        <v>40951140</v>
      </c>
    </row>
    <row r="2549" spans="1:16">
      <c r="A2549" t="s">
        <v>121</v>
      </c>
      <c r="B2549">
        <v>2</v>
      </c>
      <c r="E2549" t="s">
        <v>3366</v>
      </c>
      <c r="F2549" t="s">
        <v>3367</v>
      </c>
      <c r="G2549" t="s">
        <v>3368</v>
      </c>
      <c r="I2549" t="s">
        <v>3338</v>
      </c>
      <c r="J2549" t="s">
        <v>2236</v>
      </c>
      <c r="K2549" t="s">
        <v>3362</v>
      </c>
      <c r="L2549" t="s">
        <v>3363</v>
      </c>
      <c r="N2549" t="s">
        <v>3375</v>
      </c>
      <c r="O2549" t="s">
        <v>3376</v>
      </c>
      <c r="P2549">
        <v>40951140</v>
      </c>
    </row>
    <row r="2550" spans="1:16">
      <c r="A2550" t="s">
        <v>121</v>
      </c>
      <c r="B2550">
        <v>0</v>
      </c>
      <c r="G2550" t="s">
        <v>3338</v>
      </c>
      <c r="I2550" t="s">
        <v>3338</v>
      </c>
      <c r="N2550" t="s">
        <v>3377</v>
      </c>
      <c r="O2550" t="s">
        <v>3346</v>
      </c>
      <c r="P2550">
        <v>40951140</v>
      </c>
    </row>
    <row r="2551" spans="1:16">
      <c r="A2551" t="s">
        <v>121</v>
      </c>
      <c r="B2551">
        <v>1</v>
      </c>
      <c r="E2551" t="s">
        <v>3377</v>
      </c>
      <c r="F2551" t="s">
        <v>3346</v>
      </c>
      <c r="G2551" t="s">
        <v>3378</v>
      </c>
      <c r="I2551" t="s">
        <v>3338</v>
      </c>
      <c r="L2551" t="s">
        <v>193</v>
      </c>
      <c r="N2551" t="s">
        <v>3379</v>
      </c>
      <c r="O2551" t="s">
        <v>3380</v>
      </c>
      <c r="P2551">
        <v>40951140</v>
      </c>
    </row>
    <row r="2552" spans="1:16">
      <c r="A2552" t="s">
        <v>121</v>
      </c>
      <c r="B2552">
        <v>2</v>
      </c>
      <c r="E2552" t="s">
        <v>3379</v>
      </c>
      <c r="F2552" t="s">
        <v>3380</v>
      </c>
      <c r="G2552" t="s">
        <v>3381</v>
      </c>
      <c r="I2552" t="s">
        <v>3338</v>
      </c>
      <c r="J2552" t="s">
        <v>2421</v>
      </c>
      <c r="K2552" t="s">
        <v>3354</v>
      </c>
      <c r="L2552" t="s">
        <v>3369</v>
      </c>
      <c r="N2552" t="s">
        <v>3382</v>
      </c>
      <c r="O2552" t="s">
        <v>3352</v>
      </c>
      <c r="P2552">
        <v>40951140</v>
      </c>
    </row>
    <row r="2553" spans="1:16">
      <c r="A2553" t="s">
        <v>121</v>
      </c>
      <c r="B2553">
        <v>2</v>
      </c>
      <c r="E2553" t="s">
        <v>3379</v>
      </c>
      <c r="F2553" t="s">
        <v>3380</v>
      </c>
      <c r="G2553" t="s">
        <v>3381</v>
      </c>
      <c r="I2553" t="s">
        <v>3338</v>
      </c>
      <c r="L2553" t="s">
        <v>3383</v>
      </c>
      <c r="N2553" t="s">
        <v>3384</v>
      </c>
      <c r="O2553" t="s">
        <v>3385</v>
      </c>
      <c r="P2553">
        <v>40951140</v>
      </c>
    </row>
    <row r="2554" spans="1:16">
      <c r="A2554" t="s">
        <v>121</v>
      </c>
      <c r="B2554">
        <v>2</v>
      </c>
      <c r="E2554" t="s">
        <v>3379</v>
      </c>
      <c r="F2554" t="s">
        <v>3380</v>
      </c>
      <c r="G2554" t="s">
        <v>3381</v>
      </c>
      <c r="I2554" t="s">
        <v>3338</v>
      </c>
      <c r="J2554" t="s">
        <v>2232</v>
      </c>
      <c r="K2554" t="s">
        <v>2233</v>
      </c>
      <c r="L2554" t="s">
        <v>3342</v>
      </c>
      <c r="N2554" t="s">
        <v>3386</v>
      </c>
      <c r="O2554" t="s">
        <v>3350</v>
      </c>
      <c r="P2554">
        <v>40951140</v>
      </c>
    </row>
    <row r="2555" spans="1:16">
      <c r="A2555" t="s">
        <v>121</v>
      </c>
      <c r="B2555">
        <v>1</v>
      </c>
      <c r="E2555" t="s">
        <v>3377</v>
      </c>
      <c r="F2555" t="s">
        <v>3346</v>
      </c>
      <c r="G2555" t="s">
        <v>3378</v>
      </c>
      <c r="I2555" t="s">
        <v>3338</v>
      </c>
      <c r="L2555" t="s">
        <v>193</v>
      </c>
      <c r="N2555" t="s">
        <v>3387</v>
      </c>
      <c r="O2555" t="s">
        <v>3388</v>
      </c>
      <c r="P2555">
        <v>40951140</v>
      </c>
    </row>
    <row r="2556" spans="1:16">
      <c r="A2556" t="s">
        <v>121</v>
      </c>
      <c r="B2556">
        <v>2</v>
      </c>
      <c r="E2556" t="s">
        <v>3387</v>
      </c>
      <c r="F2556" t="s">
        <v>3388</v>
      </c>
      <c r="G2556" t="s">
        <v>3389</v>
      </c>
      <c r="I2556" t="s">
        <v>3338</v>
      </c>
      <c r="L2556" t="s">
        <v>3369</v>
      </c>
      <c r="N2556" t="s">
        <v>3390</v>
      </c>
      <c r="O2556" t="s">
        <v>3352</v>
      </c>
      <c r="P2556">
        <v>40951140</v>
      </c>
    </row>
    <row r="2557" spans="1:16">
      <c r="A2557" t="s">
        <v>121</v>
      </c>
      <c r="B2557">
        <v>2</v>
      </c>
      <c r="E2557" t="s">
        <v>3387</v>
      </c>
      <c r="F2557" t="s">
        <v>3388</v>
      </c>
      <c r="G2557" t="s">
        <v>3389</v>
      </c>
      <c r="I2557" t="s">
        <v>3338</v>
      </c>
      <c r="L2557" t="s">
        <v>3342</v>
      </c>
      <c r="N2557" t="s">
        <v>3391</v>
      </c>
      <c r="O2557" t="s">
        <v>3392</v>
      </c>
      <c r="P2557">
        <v>40951140</v>
      </c>
    </row>
    <row r="2558" spans="1:16">
      <c r="A2558" t="s">
        <v>121</v>
      </c>
      <c r="B2558">
        <v>2</v>
      </c>
      <c r="E2558" t="s">
        <v>3387</v>
      </c>
      <c r="F2558" t="s">
        <v>3388</v>
      </c>
      <c r="G2558" t="s">
        <v>3389</v>
      </c>
      <c r="I2558" t="s">
        <v>3338</v>
      </c>
      <c r="L2558" t="s">
        <v>3383</v>
      </c>
      <c r="N2558" t="s">
        <v>3393</v>
      </c>
      <c r="O2558" t="s">
        <v>3385</v>
      </c>
      <c r="P2558">
        <v>40951140</v>
      </c>
    </row>
    <row r="2559" spans="1:16">
      <c r="A2559" t="s">
        <v>121</v>
      </c>
      <c r="B2559">
        <v>2</v>
      </c>
      <c r="E2559" t="s">
        <v>3387</v>
      </c>
      <c r="F2559" t="s">
        <v>3388</v>
      </c>
      <c r="G2559" t="s">
        <v>3389</v>
      </c>
      <c r="I2559" t="s">
        <v>3338</v>
      </c>
      <c r="L2559" t="s">
        <v>3342</v>
      </c>
      <c r="N2559" t="s">
        <v>3394</v>
      </c>
      <c r="O2559" t="s">
        <v>3350</v>
      </c>
      <c r="P2559">
        <v>40951140</v>
      </c>
    </row>
    <row r="2560" spans="1:16">
      <c r="A2560" t="s">
        <v>121</v>
      </c>
      <c r="B2560">
        <v>0</v>
      </c>
      <c r="G2560" t="s">
        <v>3338</v>
      </c>
      <c r="I2560" t="s">
        <v>3338</v>
      </c>
      <c r="N2560" t="s">
        <v>3395</v>
      </c>
      <c r="O2560" t="s">
        <v>3396</v>
      </c>
      <c r="P2560">
        <v>40951140</v>
      </c>
    </row>
    <row r="2561" spans="1:16">
      <c r="A2561" t="s">
        <v>121</v>
      </c>
      <c r="B2561">
        <v>1</v>
      </c>
      <c r="E2561" t="s">
        <v>3395</v>
      </c>
      <c r="F2561" t="s">
        <v>3396</v>
      </c>
      <c r="G2561" t="s">
        <v>3397</v>
      </c>
      <c r="I2561" t="s">
        <v>3338</v>
      </c>
      <c r="L2561" t="s">
        <v>3342</v>
      </c>
      <c r="N2561" t="s">
        <v>3398</v>
      </c>
      <c r="O2561" t="s">
        <v>3399</v>
      </c>
      <c r="P2561">
        <v>40951140</v>
      </c>
    </row>
    <row r="2562" spans="1:16">
      <c r="A2562" t="s">
        <v>121</v>
      </c>
      <c r="B2562">
        <v>1</v>
      </c>
      <c r="E2562" t="s">
        <v>3395</v>
      </c>
      <c r="F2562" t="s">
        <v>3396</v>
      </c>
      <c r="G2562" t="s">
        <v>3397</v>
      </c>
      <c r="I2562" t="s">
        <v>3338</v>
      </c>
      <c r="J2562" t="s">
        <v>2232</v>
      </c>
      <c r="K2562" t="s">
        <v>2233</v>
      </c>
      <c r="L2562" t="s">
        <v>3342</v>
      </c>
      <c r="N2562" t="s">
        <v>3400</v>
      </c>
      <c r="O2562" t="s">
        <v>3401</v>
      </c>
      <c r="P2562">
        <v>40951140</v>
      </c>
    </row>
    <row r="2563" spans="1:16">
      <c r="A2563" t="s">
        <v>121</v>
      </c>
      <c r="B2563">
        <v>1</v>
      </c>
      <c r="E2563" t="s">
        <v>3395</v>
      </c>
      <c r="F2563" t="s">
        <v>3396</v>
      </c>
      <c r="G2563" t="s">
        <v>3397</v>
      </c>
      <c r="I2563" t="s">
        <v>3338</v>
      </c>
      <c r="L2563" t="s">
        <v>3342</v>
      </c>
      <c r="N2563" t="s">
        <v>3402</v>
      </c>
      <c r="O2563" t="s">
        <v>3403</v>
      </c>
      <c r="P2563">
        <v>40951140</v>
      </c>
    </row>
    <row r="2564" spans="1:16">
      <c r="A2564" t="s">
        <v>121</v>
      </c>
      <c r="B2564">
        <v>1</v>
      </c>
      <c r="E2564" t="s">
        <v>3395</v>
      </c>
      <c r="F2564" t="s">
        <v>3396</v>
      </c>
      <c r="G2564" t="s">
        <v>3397</v>
      </c>
      <c r="I2564" t="s">
        <v>3338</v>
      </c>
      <c r="J2564" t="s">
        <v>2232</v>
      </c>
      <c r="K2564" t="s">
        <v>2233</v>
      </c>
      <c r="L2564" t="s">
        <v>3342</v>
      </c>
      <c r="N2564" t="s">
        <v>3404</v>
      </c>
      <c r="O2564" t="s">
        <v>3405</v>
      </c>
      <c r="P2564">
        <v>40951140</v>
      </c>
    </row>
    <row r="2565" spans="1:16">
      <c r="A2565" t="s">
        <v>121</v>
      </c>
      <c r="B2565">
        <v>0</v>
      </c>
      <c r="G2565" t="s">
        <v>3338</v>
      </c>
      <c r="I2565" t="s">
        <v>3338</v>
      </c>
      <c r="N2565" t="s">
        <v>3406</v>
      </c>
      <c r="O2565" t="s">
        <v>3407</v>
      </c>
      <c r="P2565">
        <v>40951140</v>
      </c>
    </row>
    <row r="2566" spans="1:16">
      <c r="A2566" t="s">
        <v>121</v>
      </c>
      <c r="B2566">
        <v>1</v>
      </c>
      <c r="E2566" t="s">
        <v>3406</v>
      </c>
      <c r="F2566" t="s">
        <v>3407</v>
      </c>
      <c r="G2566" t="s">
        <v>3408</v>
      </c>
      <c r="I2566" t="s">
        <v>3338</v>
      </c>
      <c r="J2566" t="s">
        <v>2421</v>
      </c>
      <c r="K2566" t="s">
        <v>3354</v>
      </c>
      <c r="L2566" t="s">
        <v>3369</v>
      </c>
      <c r="N2566" t="s">
        <v>3409</v>
      </c>
      <c r="O2566" t="s">
        <v>3410</v>
      </c>
      <c r="P2566">
        <v>40951140</v>
      </c>
    </row>
    <row r="2567" spans="1:16">
      <c r="A2567" t="s">
        <v>121</v>
      </c>
      <c r="B2567">
        <v>1</v>
      </c>
      <c r="E2567" t="s">
        <v>3406</v>
      </c>
      <c r="F2567" t="s">
        <v>3407</v>
      </c>
      <c r="G2567" t="s">
        <v>3408</v>
      </c>
      <c r="I2567" t="s">
        <v>3338</v>
      </c>
      <c r="L2567" t="s">
        <v>193</v>
      </c>
      <c r="N2567" t="s">
        <v>3411</v>
      </c>
      <c r="O2567" t="s">
        <v>3412</v>
      </c>
      <c r="P2567">
        <v>40951140</v>
      </c>
    </row>
    <row r="2568" spans="1:16">
      <c r="A2568" t="s">
        <v>121</v>
      </c>
      <c r="B2568">
        <v>2</v>
      </c>
      <c r="E2568" t="s">
        <v>3411</v>
      </c>
      <c r="F2568" t="s">
        <v>3412</v>
      </c>
      <c r="G2568" t="s">
        <v>3413</v>
      </c>
      <c r="I2568" t="s">
        <v>3338</v>
      </c>
      <c r="L2568" t="s">
        <v>3342</v>
      </c>
      <c r="N2568" t="s">
        <v>3414</v>
      </c>
      <c r="O2568" t="s">
        <v>3415</v>
      </c>
      <c r="P2568">
        <v>40951140</v>
      </c>
    </row>
    <row r="2569" spans="1:16">
      <c r="A2569" t="s">
        <v>121</v>
      </c>
      <c r="B2569">
        <v>2</v>
      </c>
      <c r="E2569" t="s">
        <v>3411</v>
      </c>
      <c r="F2569" t="s">
        <v>3412</v>
      </c>
      <c r="G2569" t="s">
        <v>3413</v>
      </c>
      <c r="I2569" t="s">
        <v>3338</v>
      </c>
      <c r="J2569" t="s">
        <v>2232</v>
      </c>
      <c r="K2569" t="s">
        <v>2233</v>
      </c>
      <c r="L2569" t="s">
        <v>3342</v>
      </c>
      <c r="N2569" t="s">
        <v>3416</v>
      </c>
      <c r="O2569" t="s">
        <v>3417</v>
      </c>
      <c r="P2569">
        <v>40951140</v>
      </c>
    </row>
    <row r="2570" spans="1:16">
      <c r="A2570" t="s">
        <v>121</v>
      </c>
      <c r="B2570">
        <v>2</v>
      </c>
      <c r="E2570" t="s">
        <v>3411</v>
      </c>
      <c r="F2570" t="s">
        <v>3412</v>
      </c>
      <c r="G2570" t="s">
        <v>3413</v>
      </c>
      <c r="I2570" t="s">
        <v>3338</v>
      </c>
      <c r="J2570" t="s">
        <v>2232</v>
      </c>
      <c r="K2570" t="s">
        <v>2233</v>
      </c>
      <c r="L2570" t="s">
        <v>3342</v>
      </c>
      <c r="N2570" t="s">
        <v>3418</v>
      </c>
      <c r="O2570" t="s">
        <v>3419</v>
      </c>
      <c r="P2570">
        <v>40951140</v>
      </c>
    </row>
    <row r="2571" spans="1:16">
      <c r="A2571" t="s">
        <v>121</v>
      </c>
      <c r="B2571">
        <v>2</v>
      </c>
      <c r="E2571" t="s">
        <v>3411</v>
      </c>
      <c r="F2571" t="s">
        <v>3412</v>
      </c>
      <c r="G2571" t="s">
        <v>3413</v>
      </c>
      <c r="I2571" t="s">
        <v>3338</v>
      </c>
      <c r="L2571" t="s">
        <v>3342</v>
      </c>
      <c r="N2571" t="s">
        <v>3420</v>
      </c>
      <c r="O2571" t="s">
        <v>3421</v>
      </c>
      <c r="P2571">
        <v>40951140</v>
      </c>
    </row>
    <row r="2572" spans="1:16">
      <c r="A2572" t="s">
        <v>121</v>
      </c>
      <c r="B2572">
        <v>2</v>
      </c>
      <c r="E2572" t="s">
        <v>3411</v>
      </c>
      <c r="F2572" t="s">
        <v>3412</v>
      </c>
      <c r="G2572" t="s">
        <v>3413</v>
      </c>
      <c r="I2572" t="s">
        <v>3338</v>
      </c>
      <c r="J2572" t="s">
        <v>2232</v>
      </c>
      <c r="K2572" t="s">
        <v>2233</v>
      </c>
      <c r="L2572" t="s">
        <v>3342</v>
      </c>
      <c r="N2572" t="s">
        <v>3422</v>
      </c>
      <c r="O2572" t="s">
        <v>3423</v>
      </c>
      <c r="P2572">
        <v>40951140</v>
      </c>
    </row>
    <row r="2573" spans="1:16">
      <c r="A2573" t="s">
        <v>121</v>
      </c>
      <c r="B2573">
        <v>0</v>
      </c>
      <c r="G2573" t="s">
        <v>3338</v>
      </c>
      <c r="I2573" t="s">
        <v>3338</v>
      </c>
      <c r="N2573" t="s">
        <v>3424</v>
      </c>
      <c r="O2573" t="s">
        <v>3425</v>
      </c>
      <c r="P2573">
        <v>40951140</v>
      </c>
    </row>
    <row r="2574" spans="1:16">
      <c r="A2574" t="s">
        <v>121</v>
      </c>
      <c r="B2574">
        <v>1</v>
      </c>
      <c r="E2574" t="s">
        <v>3424</v>
      </c>
      <c r="F2574" t="s">
        <v>3425</v>
      </c>
      <c r="G2574" t="s">
        <v>3426</v>
      </c>
      <c r="I2574" t="s">
        <v>3338</v>
      </c>
      <c r="J2574" t="s">
        <v>2421</v>
      </c>
      <c r="K2574" t="s">
        <v>3354</v>
      </c>
      <c r="L2574" t="s">
        <v>3369</v>
      </c>
      <c r="N2574" t="s">
        <v>3427</v>
      </c>
      <c r="O2574" t="s">
        <v>3428</v>
      </c>
      <c r="P2574">
        <v>40951140</v>
      </c>
    </row>
    <row r="2575" spans="1:16">
      <c r="A2575" t="s">
        <v>121</v>
      </c>
      <c r="B2575">
        <v>1</v>
      </c>
      <c r="E2575" t="s">
        <v>3424</v>
      </c>
      <c r="F2575" t="s">
        <v>3425</v>
      </c>
      <c r="G2575" t="s">
        <v>3426</v>
      </c>
      <c r="I2575" t="s">
        <v>3338</v>
      </c>
      <c r="J2575" t="s">
        <v>2421</v>
      </c>
      <c r="K2575" t="s">
        <v>3354</v>
      </c>
      <c r="L2575" t="s">
        <v>3369</v>
      </c>
      <c r="N2575" t="s">
        <v>3429</v>
      </c>
      <c r="O2575" t="s">
        <v>3430</v>
      </c>
      <c r="P2575">
        <v>40951140</v>
      </c>
    </row>
    <row r="2576" spans="1:16">
      <c r="A2576" t="s">
        <v>121</v>
      </c>
      <c r="B2576">
        <v>1</v>
      </c>
      <c r="E2576" t="s">
        <v>3424</v>
      </c>
      <c r="F2576" t="s">
        <v>3425</v>
      </c>
      <c r="G2576" t="s">
        <v>3426</v>
      </c>
      <c r="I2576" t="s">
        <v>3338</v>
      </c>
      <c r="J2576" t="s">
        <v>2232</v>
      </c>
      <c r="K2576" t="s">
        <v>2233</v>
      </c>
      <c r="L2576" t="s">
        <v>3342</v>
      </c>
      <c r="N2576" t="s">
        <v>3431</v>
      </c>
      <c r="O2576" t="s">
        <v>3432</v>
      </c>
      <c r="P2576">
        <v>40951140</v>
      </c>
    </row>
    <row r="2577" spans="1:16">
      <c r="A2577" t="s">
        <v>121</v>
      </c>
      <c r="B2577">
        <v>0</v>
      </c>
      <c r="G2577" t="s">
        <v>3338</v>
      </c>
      <c r="I2577" t="s">
        <v>3338</v>
      </c>
      <c r="N2577" t="s">
        <v>3433</v>
      </c>
      <c r="O2577" t="s">
        <v>3434</v>
      </c>
      <c r="P2577">
        <v>40951140</v>
      </c>
    </row>
    <row r="2578" spans="1:16">
      <c r="A2578" t="s">
        <v>121</v>
      </c>
      <c r="B2578">
        <v>1</v>
      </c>
      <c r="E2578" t="s">
        <v>3433</v>
      </c>
      <c r="F2578" t="s">
        <v>3434</v>
      </c>
      <c r="G2578" t="s">
        <v>3435</v>
      </c>
      <c r="I2578" t="s">
        <v>3338</v>
      </c>
      <c r="J2578" t="s">
        <v>2232</v>
      </c>
      <c r="K2578" t="s">
        <v>2233</v>
      </c>
      <c r="L2578" t="s">
        <v>3342</v>
      </c>
      <c r="N2578" t="s">
        <v>3436</v>
      </c>
      <c r="O2578" t="s">
        <v>3437</v>
      </c>
      <c r="P2578">
        <v>40951140</v>
      </c>
    </row>
    <row r="2579" spans="1:16">
      <c r="A2579" t="s">
        <v>121</v>
      </c>
      <c r="B2579">
        <v>1</v>
      </c>
      <c r="E2579" t="s">
        <v>3433</v>
      </c>
      <c r="F2579" t="s">
        <v>3434</v>
      </c>
      <c r="G2579" t="s">
        <v>3435</v>
      </c>
      <c r="I2579" t="s">
        <v>3338</v>
      </c>
      <c r="J2579" t="s">
        <v>2232</v>
      </c>
      <c r="K2579" t="s">
        <v>2233</v>
      </c>
      <c r="L2579" t="s">
        <v>3342</v>
      </c>
      <c r="N2579" t="s">
        <v>3438</v>
      </c>
      <c r="O2579" t="s">
        <v>3439</v>
      </c>
      <c r="P2579">
        <v>40951140</v>
      </c>
    </row>
    <row r="2580" spans="1:16">
      <c r="A2580" t="s">
        <v>121</v>
      </c>
      <c r="B2580">
        <v>1</v>
      </c>
      <c r="E2580" t="s">
        <v>3433</v>
      </c>
      <c r="F2580" t="s">
        <v>3434</v>
      </c>
      <c r="G2580" t="s">
        <v>3435</v>
      </c>
      <c r="I2580" t="s">
        <v>3338</v>
      </c>
      <c r="J2580" t="s">
        <v>2232</v>
      </c>
      <c r="K2580" t="s">
        <v>2233</v>
      </c>
      <c r="L2580" t="s">
        <v>3342</v>
      </c>
      <c r="N2580" t="s">
        <v>3440</v>
      </c>
      <c r="O2580" t="s">
        <v>3441</v>
      </c>
      <c r="P2580">
        <v>40951140</v>
      </c>
    </row>
    <row r="2581" spans="1:16">
      <c r="A2581" t="s">
        <v>121</v>
      </c>
      <c r="B2581">
        <v>1</v>
      </c>
      <c r="E2581" t="s">
        <v>3433</v>
      </c>
      <c r="F2581" t="s">
        <v>3434</v>
      </c>
      <c r="G2581" t="s">
        <v>3435</v>
      </c>
      <c r="I2581" t="s">
        <v>3338</v>
      </c>
      <c r="J2581" t="s">
        <v>2232</v>
      </c>
      <c r="K2581" t="s">
        <v>2233</v>
      </c>
      <c r="L2581" t="s">
        <v>3342</v>
      </c>
      <c r="N2581" t="s">
        <v>3442</v>
      </c>
      <c r="O2581" t="s">
        <v>3443</v>
      </c>
      <c r="P2581">
        <v>40951140</v>
      </c>
    </row>
    <row r="2582" spans="1:16">
      <c r="A2582" t="s">
        <v>121</v>
      </c>
      <c r="B2582">
        <v>1</v>
      </c>
      <c r="E2582" t="s">
        <v>3433</v>
      </c>
      <c r="F2582" t="s">
        <v>3434</v>
      </c>
      <c r="G2582" t="s">
        <v>3435</v>
      </c>
      <c r="I2582" t="s">
        <v>3338</v>
      </c>
      <c r="J2582" t="s">
        <v>2232</v>
      </c>
      <c r="K2582" t="s">
        <v>2233</v>
      </c>
      <c r="L2582" t="s">
        <v>3342</v>
      </c>
      <c r="N2582" t="s">
        <v>3444</v>
      </c>
      <c r="O2582" t="s">
        <v>3445</v>
      </c>
      <c r="P2582">
        <v>40951140</v>
      </c>
    </row>
    <row r="2583" spans="1:16">
      <c r="A2583" t="s">
        <v>121</v>
      </c>
      <c r="B2583">
        <v>1</v>
      </c>
      <c r="E2583" t="s">
        <v>3433</v>
      </c>
      <c r="F2583" t="s">
        <v>3434</v>
      </c>
      <c r="G2583" t="s">
        <v>3435</v>
      </c>
      <c r="I2583" t="s">
        <v>3338</v>
      </c>
      <c r="J2583" t="s">
        <v>2232</v>
      </c>
      <c r="K2583" t="s">
        <v>2233</v>
      </c>
      <c r="L2583" t="s">
        <v>3342</v>
      </c>
      <c r="N2583" t="s">
        <v>3446</v>
      </c>
      <c r="O2583" t="s">
        <v>3447</v>
      </c>
      <c r="P2583">
        <v>40951140</v>
      </c>
    </row>
    <row r="2584" spans="1:16">
      <c r="A2584" t="s">
        <v>121</v>
      </c>
      <c r="B2584">
        <v>0</v>
      </c>
      <c r="G2584" t="s">
        <v>3338</v>
      </c>
      <c r="I2584" t="s">
        <v>3338</v>
      </c>
      <c r="N2584" t="s">
        <v>3448</v>
      </c>
      <c r="O2584" t="s">
        <v>3449</v>
      </c>
      <c r="P2584">
        <v>40951140</v>
      </c>
    </row>
    <row r="2585" spans="1:16">
      <c r="A2585" t="s">
        <v>121</v>
      </c>
      <c r="B2585">
        <v>1</v>
      </c>
      <c r="E2585" t="s">
        <v>3448</v>
      </c>
      <c r="F2585" t="s">
        <v>3449</v>
      </c>
      <c r="G2585" t="s">
        <v>3450</v>
      </c>
      <c r="I2585" t="s">
        <v>3338</v>
      </c>
      <c r="J2585" t="s">
        <v>2421</v>
      </c>
      <c r="K2585" t="s">
        <v>3354</v>
      </c>
      <c r="L2585" t="s">
        <v>3451</v>
      </c>
      <c r="N2585" t="s">
        <v>3452</v>
      </c>
      <c r="O2585" t="s">
        <v>3453</v>
      </c>
      <c r="P2585">
        <v>40951140</v>
      </c>
    </row>
    <row r="2586" spans="1:16">
      <c r="A2586" t="s">
        <v>123</v>
      </c>
      <c r="B2586">
        <v>0</v>
      </c>
      <c r="G2586" t="s">
        <v>3338</v>
      </c>
      <c r="I2586" t="s">
        <v>3338</v>
      </c>
      <c r="N2586" t="s">
        <v>3339</v>
      </c>
      <c r="O2586" t="s">
        <v>3340</v>
      </c>
      <c r="P2586">
        <v>41289569</v>
      </c>
    </row>
    <row r="2587" spans="1:16">
      <c r="A2587" t="s">
        <v>123</v>
      </c>
      <c r="B2587">
        <v>1</v>
      </c>
      <c r="E2587" t="s">
        <v>3339</v>
      </c>
      <c r="F2587" t="s">
        <v>3340</v>
      </c>
      <c r="G2587" t="s">
        <v>3341</v>
      </c>
      <c r="I2587" t="s">
        <v>3338</v>
      </c>
      <c r="J2587" t="s">
        <v>2232</v>
      </c>
      <c r="K2587" t="s">
        <v>2233</v>
      </c>
      <c r="L2587" t="s">
        <v>3342</v>
      </c>
      <c r="N2587" t="s">
        <v>3343</v>
      </c>
      <c r="O2587" t="s">
        <v>3344</v>
      </c>
      <c r="P2587">
        <v>41289569</v>
      </c>
    </row>
    <row r="2588" spans="1:16">
      <c r="A2588" t="s">
        <v>123</v>
      </c>
      <c r="B2588">
        <v>1</v>
      </c>
      <c r="E2588" t="s">
        <v>3339</v>
      </c>
      <c r="F2588" t="s">
        <v>3340</v>
      </c>
      <c r="G2588" t="s">
        <v>3341</v>
      </c>
      <c r="I2588" t="s">
        <v>3338</v>
      </c>
      <c r="J2588" t="s">
        <v>2232</v>
      </c>
      <c r="K2588" t="s">
        <v>2233</v>
      </c>
      <c r="L2588" t="s">
        <v>3342</v>
      </c>
      <c r="N2588" t="s">
        <v>3345</v>
      </c>
      <c r="O2588" t="s">
        <v>3346</v>
      </c>
      <c r="P2588">
        <v>41289569</v>
      </c>
    </row>
    <row r="2589" spans="1:16">
      <c r="A2589" t="s">
        <v>123</v>
      </c>
      <c r="B2589">
        <v>0</v>
      </c>
      <c r="G2589" t="s">
        <v>3338</v>
      </c>
      <c r="I2589" t="s">
        <v>3338</v>
      </c>
      <c r="N2589" t="s">
        <v>3347</v>
      </c>
      <c r="O2589" t="s">
        <v>3344</v>
      </c>
      <c r="P2589">
        <v>41289569</v>
      </c>
    </row>
    <row r="2590" spans="1:16">
      <c r="A2590" t="s">
        <v>123</v>
      </c>
      <c r="B2590">
        <v>1</v>
      </c>
      <c r="E2590" t="s">
        <v>3347</v>
      </c>
      <c r="F2590" t="s">
        <v>3344</v>
      </c>
      <c r="G2590" t="s">
        <v>3348</v>
      </c>
      <c r="I2590" t="s">
        <v>3338</v>
      </c>
      <c r="J2590" t="s">
        <v>2487</v>
      </c>
      <c r="K2590" t="s">
        <v>3497</v>
      </c>
      <c r="L2590" t="s">
        <v>3342</v>
      </c>
      <c r="N2590" t="s">
        <v>3349</v>
      </c>
      <c r="O2590" t="s">
        <v>3350</v>
      </c>
      <c r="P2590">
        <v>41289569</v>
      </c>
    </row>
    <row r="2591" spans="1:16">
      <c r="A2591" t="s">
        <v>123</v>
      </c>
      <c r="B2591">
        <v>1</v>
      </c>
      <c r="E2591" t="s">
        <v>3347</v>
      </c>
      <c r="F2591" t="s">
        <v>3344</v>
      </c>
      <c r="G2591" t="s">
        <v>3348</v>
      </c>
      <c r="I2591" t="s">
        <v>3338</v>
      </c>
      <c r="L2591" t="s">
        <v>193</v>
      </c>
      <c r="N2591" t="s">
        <v>3351</v>
      </c>
      <c r="O2591" t="s">
        <v>3352</v>
      </c>
      <c r="P2591">
        <v>41289569</v>
      </c>
    </row>
    <row r="2592" spans="1:16">
      <c r="A2592" t="s">
        <v>123</v>
      </c>
      <c r="B2592">
        <v>2</v>
      </c>
      <c r="E2592" t="s">
        <v>3351</v>
      </c>
      <c r="F2592" t="s">
        <v>3352</v>
      </c>
      <c r="G2592" t="s">
        <v>3353</v>
      </c>
      <c r="I2592" t="s">
        <v>3338</v>
      </c>
      <c r="J2592" t="s">
        <v>2421</v>
      </c>
      <c r="K2592" t="s">
        <v>3354</v>
      </c>
      <c r="L2592" t="s">
        <v>3355</v>
      </c>
      <c r="N2592" t="s">
        <v>3356</v>
      </c>
      <c r="O2592" t="s">
        <v>3357</v>
      </c>
      <c r="P2592">
        <v>41289569</v>
      </c>
    </row>
    <row r="2593" spans="1:16">
      <c r="A2593" t="s">
        <v>123</v>
      </c>
      <c r="B2593">
        <v>2</v>
      </c>
      <c r="E2593" t="s">
        <v>3351</v>
      </c>
      <c r="F2593" t="s">
        <v>3352</v>
      </c>
      <c r="G2593" t="s">
        <v>3353</v>
      </c>
      <c r="I2593" t="s">
        <v>3338</v>
      </c>
      <c r="J2593" t="s">
        <v>2421</v>
      </c>
      <c r="K2593" t="s">
        <v>3354</v>
      </c>
      <c r="L2593" t="s">
        <v>3355</v>
      </c>
      <c r="N2593" t="s">
        <v>3358</v>
      </c>
      <c r="O2593" t="s">
        <v>3359</v>
      </c>
      <c r="P2593">
        <v>41289569</v>
      </c>
    </row>
    <row r="2594" spans="1:16">
      <c r="A2594" t="s">
        <v>123</v>
      </c>
      <c r="B2594">
        <v>2</v>
      </c>
      <c r="E2594" t="s">
        <v>3351</v>
      </c>
      <c r="F2594" t="s">
        <v>3352</v>
      </c>
      <c r="G2594" t="s">
        <v>3353</v>
      </c>
      <c r="I2594" t="s">
        <v>3338</v>
      </c>
      <c r="J2594" t="s">
        <v>2421</v>
      </c>
      <c r="K2594" t="s">
        <v>3354</v>
      </c>
      <c r="L2594" t="s">
        <v>3355</v>
      </c>
      <c r="N2594" t="s">
        <v>3360</v>
      </c>
      <c r="O2594" t="s">
        <v>3361</v>
      </c>
      <c r="P2594">
        <v>41289569</v>
      </c>
    </row>
    <row r="2595" spans="1:16">
      <c r="A2595" t="s">
        <v>123</v>
      </c>
      <c r="B2595">
        <v>1</v>
      </c>
      <c r="E2595" t="s">
        <v>3347</v>
      </c>
      <c r="F2595" t="s">
        <v>3344</v>
      </c>
      <c r="G2595" t="s">
        <v>3348</v>
      </c>
      <c r="I2595" t="s">
        <v>3338</v>
      </c>
      <c r="J2595" t="s">
        <v>2236</v>
      </c>
      <c r="K2595" t="s">
        <v>3362</v>
      </c>
      <c r="L2595" t="s">
        <v>3363</v>
      </c>
      <c r="N2595" t="s">
        <v>3364</v>
      </c>
      <c r="O2595" t="s">
        <v>3365</v>
      </c>
      <c r="P2595">
        <v>41289569</v>
      </c>
    </row>
    <row r="2596" spans="1:16">
      <c r="A2596" t="s">
        <v>123</v>
      </c>
      <c r="B2596">
        <v>1</v>
      </c>
      <c r="E2596" t="s">
        <v>3347</v>
      </c>
      <c r="F2596" t="s">
        <v>3344</v>
      </c>
      <c r="G2596" t="s">
        <v>3348</v>
      </c>
      <c r="I2596" t="s">
        <v>3338</v>
      </c>
      <c r="L2596" t="s">
        <v>193</v>
      </c>
      <c r="N2596" t="s">
        <v>3366</v>
      </c>
      <c r="O2596" t="s">
        <v>3367</v>
      </c>
      <c r="P2596">
        <v>41289569</v>
      </c>
    </row>
    <row r="2597" spans="1:16">
      <c r="A2597" t="s">
        <v>123</v>
      </c>
      <c r="B2597">
        <v>2</v>
      </c>
      <c r="E2597" t="s">
        <v>3366</v>
      </c>
      <c r="F2597" t="s">
        <v>3367</v>
      </c>
      <c r="G2597" t="s">
        <v>3368</v>
      </c>
      <c r="I2597" t="s">
        <v>3338</v>
      </c>
      <c r="J2597" t="s">
        <v>2421</v>
      </c>
      <c r="K2597" t="s">
        <v>3354</v>
      </c>
      <c r="L2597" t="s">
        <v>3369</v>
      </c>
      <c r="N2597" t="s">
        <v>3370</v>
      </c>
      <c r="O2597" t="s">
        <v>3359</v>
      </c>
      <c r="P2597">
        <v>41289569</v>
      </c>
    </row>
    <row r="2598" spans="1:16">
      <c r="A2598" t="s">
        <v>123</v>
      </c>
      <c r="B2598">
        <v>2</v>
      </c>
      <c r="E2598" t="s">
        <v>3366</v>
      </c>
      <c r="F2598" t="s">
        <v>3367</v>
      </c>
      <c r="G2598" t="s">
        <v>3368</v>
      </c>
      <c r="I2598" t="s">
        <v>3338</v>
      </c>
      <c r="J2598" t="s">
        <v>2421</v>
      </c>
      <c r="K2598" t="s">
        <v>3354</v>
      </c>
      <c r="L2598" t="s">
        <v>3369</v>
      </c>
      <c r="N2598" t="s">
        <v>3371</v>
      </c>
      <c r="O2598" t="s">
        <v>3372</v>
      </c>
      <c r="P2598">
        <v>41289569</v>
      </c>
    </row>
    <row r="2599" spans="1:16">
      <c r="A2599" t="s">
        <v>123</v>
      </c>
      <c r="B2599">
        <v>2</v>
      </c>
      <c r="E2599" t="s">
        <v>3366</v>
      </c>
      <c r="F2599" t="s">
        <v>3367</v>
      </c>
      <c r="G2599" t="s">
        <v>3368</v>
      </c>
      <c r="I2599" t="s">
        <v>3338</v>
      </c>
      <c r="J2599" t="s">
        <v>2421</v>
      </c>
      <c r="K2599" t="s">
        <v>3354</v>
      </c>
      <c r="L2599" t="s">
        <v>3369</v>
      </c>
      <c r="N2599" t="s">
        <v>3373</v>
      </c>
      <c r="O2599" t="s">
        <v>3374</v>
      </c>
      <c r="P2599">
        <v>41289569</v>
      </c>
    </row>
    <row r="2600" spans="1:16">
      <c r="A2600" t="s">
        <v>123</v>
      </c>
      <c r="B2600">
        <v>2</v>
      </c>
      <c r="E2600" t="s">
        <v>3366</v>
      </c>
      <c r="F2600" t="s">
        <v>3367</v>
      </c>
      <c r="G2600" t="s">
        <v>3368</v>
      </c>
      <c r="I2600" t="s">
        <v>3338</v>
      </c>
      <c r="J2600" t="s">
        <v>2236</v>
      </c>
      <c r="K2600" t="s">
        <v>3362</v>
      </c>
      <c r="L2600" t="s">
        <v>3363</v>
      </c>
      <c r="N2600" t="s">
        <v>3375</v>
      </c>
      <c r="O2600" t="s">
        <v>3376</v>
      </c>
      <c r="P2600">
        <v>41289569</v>
      </c>
    </row>
    <row r="2601" spans="1:16">
      <c r="A2601" t="s">
        <v>123</v>
      </c>
      <c r="B2601">
        <v>0</v>
      </c>
      <c r="G2601" t="s">
        <v>3338</v>
      </c>
      <c r="I2601" t="s">
        <v>3338</v>
      </c>
      <c r="N2601" t="s">
        <v>3377</v>
      </c>
      <c r="O2601" t="s">
        <v>3346</v>
      </c>
      <c r="P2601">
        <v>41289569</v>
      </c>
    </row>
    <row r="2602" spans="1:16">
      <c r="A2602" t="s">
        <v>123</v>
      </c>
      <c r="B2602">
        <v>1</v>
      </c>
      <c r="E2602" t="s">
        <v>3377</v>
      </c>
      <c r="F2602" t="s">
        <v>3346</v>
      </c>
      <c r="G2602" t="s">
        <v>3378</v>
      </c>
      <c r="I2602" t="s">
        <v>3338</v>
      </c>
      <c r="L2602" t="s">
        <v>193</v>
      </c>
      <c r="N2602" t="s">
        <v>3379</v>
      </c>
      <c r="O2602" t="s">
        <v>3380</v>
      </c>
      <c r="P2602">
        <v>41289569</v>
      </c>
    </row>
    <row r="2603" spans="1:16">
      <c r="A2603" t="s">
        <v>123</v>
      </c>
      <c r="B2603">
        <v>2</v>
      </c>
      <c r="E2603" t="s">
        <v>3379</v>
      </c>
      <c r="F2603" t="s">
        <v>3380</v>
      </c>
      <c r="G2603" t="s">
        <v>3381</v>
      </c>
      <c r="I2603" t="s">
        <v>3338</v>
      </c>
      <c r="J2603" t="s">
        <v>2421</v>
      </c>
      <c r="K2603" t="s">
        <v>3354</v>
      </c>
      <c r="L2603" t="s">
        <v>3369</v>
      </c>
      <c r="N2603" t="s">
        <v>3382</v>
      </c>
      <c r="O2603" t="s">
        <v>3352</v>
      </c>
      <c r="P2603">
        <v>41289569</v>
      </c>
    </row>
    <row r="2604" spans="1:16">
      <c r="A2604" t="s">
        <v>123</v>
      </c>
      <c r="B2604">
        <v>2</v>
      </c>
      <c r="E2604" t="s">
        <v>3379</v>
      </c>
      <c r="F2604" t="s">
        <v>3380</v>
      </c>
      <c r="G2604" t="s">
        <v>3381</v>
      </c>
      <c r="I2604" t="s">
        <v>3338</v>
      </c>
      <c r="L2604" t="s">
        <v>3383</v>
      </c>
      <c r="N2604" t="s">
        <v>3384</v>
      </c>
      <c r="O2604" t="s">
        <v>3385</v>
      </c>
      <c r="P2604">
        <v>41289569</v>
      </c>
    </row>
    <row r="2605" spans="1:16">
      <c r="A2605" t="s">
        <v>123</v>
      </c>
      <c r="B2605">
        <v>2</v>
      </c>
      <c r="E2605" t="s">
        <v>3379</v>
      </c>
      <c r="F2605" t="s">
        <v>3380</v>
      </c>
      <c r="G2605" t="s">
        <v>3381</v>
      </c>
      <c r="I2605" t="s">
        <v>3338</v>
      </c>
      <c r="J2605" t="s">
        <v>2232</v>
      </c>
      <c r="K2605" t="s">
        <v>2233</v>
      </c>
      <c r="L2605" t="s">
        <v>3342</v>
      </c>
      <c r="N2605" t="s">
        <v>3386</v>
      </c>
      <c r="O2605" t="s">
        <v>3350</v>
      </c>
      <c r="P2605">
        <v>41289569</v>
      </c>
    </row>
    <row r="2606" spans="1:16">
      <c r="A2606" t="s">
        <v>123</v>
      </c>
      <c r="B2606">
        <v>0</v>
      </c>
      <c r="G2606" t="s">
        <v>3338</v>
      </c>
      <c r="I2606" t="s">
        <v>3338</v>
      </c>
      <c r="N2606" t="s">
        <v>3395</v>
      </c>
      <c r="O2606" t="s">
        <v>3396</v>
      </c>
      <c r="P2606">
        <v>41289569</v>
      </c>
    </row>
    <row r="2607" spans="1:16">
      <c r="A2607" t="s">
        <v>123</v>
      </c>
      <c r="B2607">
        <v>1</v>
      </c>
      <c r="E2607" t="s">
        <v>3395</v>
      </c>
      <c r="F2607" t="s">
        <v>3396</v>
      </c>
      <c r="G2607" t="s">
        <v>3397</v>
      </c>
      <c r="I2607" t="s">
        <v>3338</v>
      </c>
      <c r="L2607" t="s">
        <v>3342</v>
      </c>
      <c r="N2607" t="s">
        <v>3398</v>
      </c>
      <c r="O2607" t="s">
        <v>3399</v>
      </c>
      <c r="P2607">
        <v>41289569</v>
      </c>
    </row>
    <row r="2608" spans="1:16">
      <c r="A2608" t="s">
        <v>123</v>
      </c>
      <c r="B2608">
        <v>1</v>
      </c>
      <c r="E2608" t="s">
        <v>3395</v>
      </c>
      <c r="F2608" t="s">
        <v>3396</v>
      </c>
      <c r="G2608" t="s">
        <v>3397</v>
      </c>
      <c r="I2608" t="s">
        <v>3338</v>
      </c>
      <c r="J2608" t="s">
        <v>2232</v>
      </c>
      <c r="K2608" t="s">
        <v>2233</v>
      </c>
      <c r="L2608" t="s">
        <v>3342</v>
      </c>
      <c r="N2608" t="s">
        <v>3400</v>
      </c>
      <c r="O2608" t="s">
        <v>3401</v>
      </c>
      <c r="P2608">
        <v>41289569</v>
      </c>
    </row>
    <row r="2609" spans="1:16">
      <c r="A2609" t="s">
        <v>123</v>
      </c>
      <c r="B2609">
        <v>1</v>
      </c>
      <c r="E2609" t="s">
        <v>3395</v>
      </c>
      <c r="F2609" t="s">
        <v>3396</v>
      </c>
      <c r="G2609" t="s">
        <v>3397</v>
      </c>
      <c r="I2609" t="s">
        <v>3338</v>
      </c>
      <c r="L2609" t="s">
        <v>3342</v>
      </c>
      <c r="N2609" t="s">
        <v>3402</v>
      </c>
      <c r="O2609" t="s">
        <v>3403</v>
      </c>
      <c r="P2609">
        <v>41289569</v>
      </c>
    </row>
    <row r="2610" spans="1:16">
      <c r="A2610" t="s">
        <v>123</v>
      </c>
      <c r="B2610">
        <v>1</v>
      </c>
      <c r="E2610" t="s">
        <v>3395</v>
      </c>
      <c r="F2610" t="s">
        <v>3396</v>
      </c>
      <c r="G2610" t="s">
        <v>3397</v>
      </c>
      <c r="I2610" t="s">
        <v>3338</v>
      </c>
      <c r="J2610" t="s">
        <v>2232</v>
      </c>
      <c r="K2610" t="s">
        <v>2233</v>
      </c>
      <c r="L2610" t="s">
        <v>3342</v>
      </c>
      <c r="N2610" t="s">
        <v>3404</v>
      </c>
      <c r="O2610" t="s">
        <v>3405</v>
      </c>
      <c r="P2610">
        <v>41289569</v>
      </c>
    </row>
    <row r="2611" spans="1:16">
      <c r="A2611" t="s">
        <v>123</v>
      </c>
      <c r="B2611">
        <v>0</v>
      </c>
      <c r="G2611" t="s">
        <v>3338</v>
      </c>
      <c r="I2611" t="s">
        <v>3338</v>
      </c>
      <c r="N2611" t="s">
        <v>3406</v>
      </c>
      <c r="O2611" t="s">
        <v>3407</v>
      </c>
      <c r="P2611">
        <v>41289569</v>
      </c>
    </row>
    <row r="2612" spans="1:16">
      <c r="A2612" t="s">
        <v>123</v>
      </c>
      <c r="B2612">
        <v>1</v>
      </c>
      <c r="E2612" t="s">
        <v>3406</v>
      </c>
      <c r="F2612" t="s">
        <v>3407</v>
      </c>
      <c r="G2612" t="s">
        <v>3408</v>
      </c>
      <c r="I2612" t="s">
        <v>3338</v>
      </c>
      <c r="J2612" t="s">
        <v>2421</v>
      </c>
      <c r="K2612" t="s">
        <v>3354</v>
      </c>
      <c r="L2612" t="s">
        <v>3369</v>
      </c>
      <c r="N2612" t="s">
        <v>3409</v>
      </c>
      <c r="O2612" t="s">
        <v>3410</v>
      </c>
      <c r="P2612">
        <v>41289569</v>
      </c>
    </row>
    <row r="2613" spans="1:16">
      <c r="A2613" t="s">
        <v>123</v>
      </c>
      <c r="B2613">
        <v>1</v>
      </c>
      <c r="E2613" t="s">
        <v>3406</v>
      </c>
      <c r="F2613" t="s">
        <v>3407</v>
      </c>
      <c r="G2613" t="s">
        <v>3408</v>
      </c>
      <c r="I2613" t="s">
        <v>3338</v>
      </c>
      <c r="L2613" t="s">
        <v>193</v>
      </c>
      <c r="N2613" t="s">
        <v>3411</v>
      </c>
      <c r="O2613" t="s">
        <v>3412</v>
      </c>
      <c r="P2613">
        <v>41289569</v>
      </c>
    </row>
    <row r="2614" spans="1:16">
      <c r="A2614" t="s">
        <v>123</v>
      </c>
      <c r="B2614">
        <v>2</v>
      </c>
      <c r="E2614" t="s">
        <v>3411</v>
      </c>
      <c r="F2614" t="s">
        <v>3412</v>
      </c>
      <c r="G2614" t="s">
        <v>3413</v>
      </c>
      <c r="I2614" t="s">
        <v>3338</v>
      </c>
      <c r="L2614" t="s">
        <v>3342</v>
      </c>
      <c r="N2614" t="s">
        <v>3414</v>
      </c>
      <c r="O2614" t="s">
        <v>3415</v>
      </c>
      <c r="P2614">
        <v>41289569</v>
      </c>
    </row>
    <row r="2615" spans="1:16">
      <c r="A2615" t="s">
        <v>123</v>
      </c>
      <c r="B2615">
        <v>2</v>
      </c>
      <c r="E2615" t="s">
        <v>3411</v>
      </c>
      <c r="F2615" t="s">
        <v>3412</v>
      </c>
      <c r="G2615" t="s">
        <v>3413</v>
      </c>
      <c r="I2615" t="s">
        <v>3338</v>
      </c>
      <c r="J2615" t="s">
        <v>2232</v>
      </c>
      <c r="K2615" t="s">
        <v>2233</v>
      </c>
      <c r="L2615" t="s">
        <v>3342</v>
      </c>
      <c r="N2615" t="s">
        <v>3416</v>
      </c>
      <c r="O2615" t="s">
        <v>3417</v>
      </c>
      <c r="P2615">
        <v>41289569</v>
      </c>
    </row>
    <row r="2616" spans="1:16">
      <c r="A2616" t="s">
        <v>123</v>
      </c>
      <c r="B2616">
        <v>2</v>
      </c>
      <c r="E2616" t="s">
        <v>3411</v>
      </c>
      <c r="F2616" t="s">
        <v>3412</v>
      </c>
      <c r="G2616" t="s">
        <v>3413</v>
      </c>
      <c r="I2616" t="s">
        <v>3338</v>
      </c>
      <c r="J2616" t="s">
        <v>2232</v>
      </c>
      <c r="K2616" t="s">
        <v>2233</v>
      </c>
      <c r="L2616" t="s">
        <v>3342</v>
      </c>
      <c r="N2616" t="s">
        <v>3418</v>
      </c>
      <c r="O2616" t="s">
        <v>3419</v>
      </c>
      <c r="P2616">
        <v>41289569</v>
      </c>
    </row>
    <row r="2617" spans="1:16">
      <c r="A2617" t="s">
        <v>123</v>
      </c>
      <c r="B2617">
        <v>2</v>
      </c>
      <c r="E2617" t="s">
        <v>3411</v>
      </c>
      <c r="F2617" t="s">
        <v>3412</v>
      </c>
      <c r="G2617" t="s">
        <v>3413</v>
      </c>
      <c r="I2617" t="s">
        <v>3338</v>
      </c>
      <c r="L2617" t="s">
        <v>3342</v>
      </c>
      <c r="N2617" t="s">
        <v>3420</v>
      </c>
      <c r="O2617" t="s">
        <v>3421</v>
      </c>
      <c r="P2617">
        <v>41289569</v>
      </c>
    </row>
    <row r="2618" spans="1:16">
      <c r="A2618" t="s">
        <v>123</v>
      </c>
      <c r="B2618">
        <v>2</v>
      </c>
      <c r="E2618" t="s">
        <v>3411</v>
      </c>
      <c r="F2618" t="s">
        <v>3412</v>
      </c>
      <c r="G2618" t="s">
        <v>3413</v>
      </c>
      <c r="I2618" t="s">
        <v>3338</v>
      </c>
      <c r="J2618" t="s">
        <v>2232</v>
      </c>
      <c r="K2618" t="s">
        <v>2233</v>
      </c>
      <c r="L2618" t="s">
        <v>3342</v>
      </c>
      <c r="N2618" t="s">
        <v>3422</v>
      </c>
      <c r="O2618" t="s">
        <v>3423</v>
      </c>
      <c r="P2618">
        <v>41289569</v>
      </c>
    </row>
    <row r="2619" spans="1:16">
      <c r="A2619" t="s">
        <v>123</v>
      </c>
      <c r="B2619">
        <v>0</v>
      </c>
      <c r="G2619" t="s">
        <v>3338</v>
      </c>
      <c r="I2619" t="s">
        <v>3338</v>
      </c>
      <c r="N2619" t="s">
        <v>3424</v>
      </c>
      <c r="O2619" t="s">
        <v>3425</v>
      </c>
      <c r="P2619">
        <v>41289569</v>
      </c>
    </row>
    <row r="2620" spans="1:16">
      <c r="A2620" t="s">
        <v>123</v>
      </c>
      <c r="B2620">
        <v>1</v>
      </c>
      <c r="E2620" t="s">
        <v>3424</v>
      </c>
      <c r="F2620" t="s">
        <v>3425</v>
      </c>
      <c r="G2620" t="s">
        <v>3426</v>
      </c>
      <c r="I2620" t="s">
        <v>3338</v>
      </c>
      <c r="J2620" t="s">
        <v>2421</v>
      </c>
      <c r="K2620" t="s">
        <v>3354</v>
      </c>
      <c r="L2620" t="s">
        <v>3369</v>
      </c>
      <c r="N2620" t="s">
        <v>3427</v>
      </c>
      <c r="O2620" t="s">
        <v>3428</v>
      </c>
      <c r="P2620">
        <v>41289569</v>
      </c>
    </row>
    <row r="2621" spans="1:16">
      <c r="A2621" t="s">
        <v>123</v>
      </c>
      <c r="B2621">
        <v>1</v>
      </c>
      <c r="E2621" t="s">
        <v>3424</v>
      </c>
      <c r="F2621" t="s">
        <v>3425</v>
      </c>
      <c r="G2621" t="s">
        <v>3426</v>
      </c>
      <c r="I2621" t="s">
        <v>3338</v>
      </c>
      <c r="J2621" t="s">
        <v>2421</v>
      </c>
      <c r="K2621" t="s">
        <v>3354</v>
      </c>
      <c r="L2621" t="s">
        <v>3369</v>
      </c>
      <c r="N2621" t="s">
        <v>3429</v>
      </c>
      <c r="O2621" t="s">
        <v>3430</v>
      </c>
      <c r="P2621">
        <v>41289569</v>
      </c>
    </row>
    <row r="2622" spans="1:16">
      <c r="A2622" t="s">
        <v>123</v>
      </c>
      <c r="B2622">
        <v>1</v>
      </c>
      <c r="E2622" t="s">
        <v>3424</v>
      </c>
      <c r="F2622" t="s">
        <v>3425</v>
      </c>
      <c r="G2622" t="s">
        <v>3426</v>
      </c>
      <c r="I2622" t="s">
        <v>3338</v>
      </c>
      <c r="J2622" t="s">
        <v>2232</v>
      </c>
      <c r="K2622" t="s">
        <v>2233</v>
      </c>
      <c r="L2622" t="s">
        <v>3342</v>
      </c>
      <c r="N2622" t="s">
        <v>3431</v>
      </c>
      <c r="O2622" t="s">
        <v>3432</v>
      </c>
      <c r="P2622">
        <v>41289569</v>
      </c>
    </row>
    <row r="2623" spans="1:16">
      <c r="A2623" t="s">
        <v>123</v>
      </c>
      <c r="B2623">
        <v>0</v>
      </c>
      <c r="G2623" t="s">
        <v>3338</v>
      </c>
      <c r="I2623" t="s">
        <v>3338</v>
      </c>
      <c r="N2623" t="s">
        <v>3433</v>
      </c>
      <c r="O2623" t="s">
        <v>3434</v>
      </c>
      <c r="P2623">
        <v>41289569</v>
      </c>
    </row>
    <row r="2624" spans="1:16">
      <c r="A2624" t="s">
        <v>123</v>
      </c>
      <c r="B2624">
        <v>1</v>
      </c>
      <c r="E2624" t="s">
        <v>3433</v>
      </c>
      <c r="F2624" t="s">
        <v>3434</v>
      </c>
      <c r="G2624" t="s">
        <v>3435</v>
      </c>
      <c r="I2624" t="s">
        <v>3338</v>
      </c>
      <c r="J2624" t="s">
        <v>2232</v>
      </c>
      <c r="K2624" t="s">
        <v>2233</v>
      </c>
      <c r="L2624" t="s">
        <v>3342</v>
      </c>
      <c r="N2624" t="s">
        <v>3436</v>
      </c>
      <c r="O2624" t="s">
        <v>3437</v>
      </c>
      <c r="P2624">
        <v>41289569</v>
      </c>
    </row>
    <row r="2625" spans="1:16">
      <c r="A2625" t="s">
        <v>123</v>
      </c>
      <c r="B2625">
        <v>1</v>
      </c>
      <c r="E2625" t="s">
        <v>3433</v>
      </c>
      <c r="F2625" t="s">
        <v>3434</v>
      </c>
      <c r="G2625" t="s">
        <v>3435</v>
      </c>
      <c r="I2625" t="s">
        <v>3338</v>
      </c>
      <c r="J2625" t="s">
        <v>2232</v>
      </c>
      <c r="K2625" t="s">
        <v>2233</v>
      </c>
      <c r="L2625" t="s">
        <v>3342</v>
      </c>
      <c r="N2625" t="s">
        <v>3438</v>
      </c>
      <c r="O2625" t="s">
        <v>3439</v>
      </c>
      <c r="P2625">
        <v>41289569</v>
      </c>
    </row>
    <row r="2626" spans="1:16">
      <c r="A2626" t="s">
        <v>123</v>
      </c>
      <c r="B2626">
        <v>1</v>
      </c>
      <c r="E2626" t="s">
        <v>3433</v>
      </c>
      <c r="F2626" t="s">
        <v>3434</v>
      </c>
      <c r="G2626" t="s">
        <v>3435</v>
      </c>
      <c r="I2626" t="s">
        <v>3338</v>
      </c>
      <c r="J2626" t="s">
        <v>2232</v>
      </c>
      <c r="K2626" t="s">
        <v>2233</v>
      </c>
      <c r="L2626" t="s">
        <v>3342</v>
      </c>
      <c r="N2626" t="s">
        <v>3440</v>
      </c>
      <c r="O2626" t="s">
        <v>3441</v>
      </c>
      <c r="P2626">
        <v>41289569</v>
      </c>
    </row>
    <row r="2627" spans="1:16">
      <c r="A2627" t="s">
        <v>123</v>
      </c>
      <c r="B2627">
        <v>1</v>
      </c>
      <c r="E2627" t="s">
        <v>3433</v>
      </c>
      <c r="F2627" t="s">
        <v>3434</v>
      </c>
      <c r="G2627" t="s">
        <v>3435</v>
      </c>
      <c r="I2627" t="s">
        <v>3338</v>
      </c>
      <c r="J2627" t="s">
        <v>2232</v>
      </c>
      <c r="K2627" t="s">
        <v>2233</v>
      </c>
      <c r="L2627" t="s">
        <v>3342</v>
      </c>
      <c r="N2627" t="s">
        <v>3442</v>
      </c>
      <c r="O2627" t="s">
        <v>3443</v>
      </c>
      <c r="P2627">
        <v>41289569</v>
      </c>
    </row>
    <row r="2628" spans="1:16">
      <c r="A2628" t="s">
        <v>123</v>
      </c>
      <c r="B2628">
        <v>1</v>
      </c>
      <c r="E2628" t="s">
        <v>3433</v>
      </c>
      <c r="F2628" t="s">
        <v>3434</v>
      </c>
      <c r="G2628" t="s">
        <v>3435</v>
      </c>
      <c r="I2628" t="s">
        <v>3338</v>
      </c>
      <c r="J2628" t="s">
        <v>2232</v>
      </c>
      <c r="K2628" t="s">
        <v>2233</v>
      </c>
      <c r="L2628" t="s">
        <v>3342</v>
      </c>
      <c r="N2628" t="s">
        <v>3444</v>
      </c>
      <c r="O2628" t="s">
        <v>3445</v>
      </c>
      <c r="P2628">
        <v>41289569</v>
      </c>
    </row>
    <row r="2629" spans="1:16">
      <c r="A2629" t="s">
        <v>123</v>
      </c>
      <c r="B2629">
        <v>1</v>
      </c>
      <c r="E2629" t="s">
        <v>3433</v>
      </c>
      <c r="F2629" t="s">
        <v>3434</v>
      </c>
      <c r="G2629" t="s">
        <v>3435</v>
      </c>
      <c r="I2629" t="s">
        <v>3338</v>
      </c>
      <c r="J2629" t="s">
        <v>2232</v>
      </c>
      <c r="K2629" t="s">
        <v>2233</v>
      </c>
      <c r="L2629" t="s">
        <v>3342</v>
      </c>
      <c r="N2629" t="s">
        <v>3446</v>
      </c>
      <c r="O2629" t="s">
        <v>3447</v>
      </c>
      <c r="P2629">
        <v>41289569</v>
      </c>
    </row>
    <row r="2630" spans="1:16">
      <c r="A2630" t="s">
        <v>123</v>
      </c>
      <c r="B2630">
        <v>0</v>
      </c>
      <c r="G2630" t="s">
        <v>3338</v>
      </c>
      <c r="I2630" t="s">
        <v>3338</v>
      </c>
      <c r="N2630" t="s">
        <v>3448</v>
      </c>
      <c r="O2630" t="s">
        <v>3449</v>
      </c>
      <c r="P2630">
        <v>41289569</v>
      </c>
    </row>
    <row r="2631" spans="1:16">
      <c r="A2631" t="s">
        <v>123</v>
      </c>
      <c r="B2631">
        <v>1</v>
      </c>
      <c r="E2631" t="s">
        <v>3448</v>
      </c>
      <c r="F2631" t="s">
        <v>3449</v>
      </c>
      <c r="G2631" t="s">
        <v>3450</v>
      </c>
      <c r="I2631" t="s">
        <v>3338</v>
      </c>
      <c r="J2631" t="s">
        <v>2421</v>
      </c>
      <c r="K2631" t="s">
        <v>3354</v>
      </c>
      <c r="L2631" t="s">
        <v>3451</v>
      </c>
      <c r="N2631" t="s">
        <v>3452</v>
      </c>
      <c r="O2631" t="s">
        <v>3453</v>
      </c>
      <c r="P2631">
        <v>41289569</v>
      </c>
    </row>
    <row r="2632" spans="1:16">
      <c r="A2632" t="s">
        <v>129</v>
      </c>
      <c r="B2632">
        <v>0</v>
      </c>
      <c r="G2632" t="s">
        <v>3338</v>
      </c>
      <c r="I2632" t="s">
        <v>3338</v>
      </c>
      <c r="N2632" t="s">
        <v>3339</v>
      </c>
      <c r="O2632" t="s">
        <v>3340</v>
      </c>
      <c r="P2632">
        <v>41285870</v>
      </c>
    </row>
    <row r="2633" spans="1:16">
      <c r="A2633" t="s">
        <v>129</v>
      </c>
      <c r="B2633">
        <v>1</v>
      </c>
      <c r="E2633" t="s">
        <v>3339</v>
      </c>
      <c r="F2633" t="s">
        <v>3340</v>
      </c>
      <c r="G2633" t="s">
        <v>3341</v>
      </c>
      <c r="I2633" t="s">
        <v>3338</v>
      </c>
      <c r="J2633" t="s">
        <v>2232</v>
      </c>
      <c r="K2633" t="s">
        <v>2233</v>
      </c>
      <c r="L2633" t="s">
        <v>3342</v>
      </c>
      <c r="N2633" t="s">
        <v>3343</v>
      </c>
      <c r="O2633" t="s">
        <v>3344</v>
      </c>
      <c r="P2633">
        <v>41285870</v>
      </c>
    </row>
    <row r="2634" spans="1:16">
      <c r="A2634" t="s">
        <v>129</v>
      </c>
      <c r="B2634">
        <v>1</v>
      </c>
      <c r="E2634" t="s">
        <v>3339</v>
      </c>
      <c r="F2634" t="s">
        <v>3340</v>
      </c>
      <c r="G2634" t="s">
        <v>3341</v>
      </c>
      <c r="I2634" t="s">
        <v>3338</v>
      </c>
      <c r="J2634" t="s">
        <v>2232</v>
      </c>
      <c r="K2634" t="s">
        <v>2233</v>
      </c>
      <c r="L2634" t="s">
        <v>3342</v>
      </c>
      <c r="N2634" t="s">
        <v>3345</v>
      </c>
      <c r="O2634" t="s">
        <v>3346</v>
      </c>
      <c r="P2634">
        <v>41285870</v>
      </c>
    </row>
    <row r="2635" spans="1:16">
      <c r="A2635" t="s">
        <v>129</v>
      </c>
      <c r="B2635">
        <v>0</v>
      </c>
      <c r="G2635" t="s">
        <v>3338</v>
      </c>
      <c r="I2635" t="s">
        <v>3338</v>
      </c>
      <c r="N2635" t="s">
        <v>3347</v>
      </c>
      <c r="O2635" t="s">
        <v>3344</v>
      </c>
      <c r="P2635">
        <v>41285870</v>
      </c>
    </row>
    <row r="2636" spans="1:16">
      <c r="A2636" t="s">
        <v>129</v>
      </c>
      <c r="B2636">
        <v>1</v>
      </c>
      <c r="E2636" t="s">
        <v>3347</v>
      </c>
      <c r="F2636" t="s">
        <v>3344</v>
      </c>
      <c r="G2636" t="s">
        <v>3348</v>
      </c>
      <c r="I2636" t="s">
        <v>3338</v>
      </c>
      <c r="J2636" t="s">
        <v>2232</v>
      </c>
      <c r="K2636" t="s">
        <v>2233</v>
      </c>
      <c r="L2636" t="s">
        <v>3342</v>
      </c>
      <c r="N2636" t="s">
        <v>3349</v>
      </c>
      <c r="O2636" t="s">
        <v>3350</v>
      </c>
      <c r="P2636">
        <v>41285870</v>
      </c>
    </row>
    <row r="2637" spans="1:16">
      <c r="A2637" t="s">
        <v>129</v>
      </c>
      <c r="B2637">
        <v>1</v>
      </c>
      <c r="E2637" t="s">
        <v>3347</v>
      </c>
      <c r="F2637" t="s">
        <v>3344</v>
      </c>
      <c r="G2637" t="s">
        <v>3348</v>
      </c>
      <c r="I2637" t="s">
        <v>3338</v>
      </c>
      <c r="L2637" t="s">
        <v>193</v>
      </c>
      <c r="N2637" t="s">
        <v>3351</v>
      </c>
      <c r="O2637" t="s">
        <v>3352</v>
      </c>
      <c r="P2637">
        <v>41285870</v>
      </c>
    </row>
    <row r="2638" spans="1:16">
      <c r="A2638" t="s">
        <v>129</v>
      </c>
      <c r="B2638">
        <v>2</v>
      </c>
      <c r="E2638" t="s">
        <v>3351</v>
      </c>
      <c r="F2638" t="s">
        <v>3352</v>
      </c>
      <c r="G2638" t="s">
        <v>3353</v>
      </c>
      <c r="I2638" t="s">
        <v>3338</v>
      </c>
      <c r="J2638" t="s">
        <v>2421</v>
      </c>
      <c r="K2638" t="s">
        <v>3354</v>
      </c>
      <c r="L2638" t="s">
        <v>3355</v>
      </c>
      <c r="N2638" t="s">
        <v>3356</v>
      </c>
      <c r="O2638" t="s">
        <v>3357</v>
      </c>
      <c r="P2638">
        <v>41285870</v>
      </c>
    </row>
    <row r="2639" spans="1:16">
      <c r="A2639" t="s">
        <v>129</v>
      </c>
      <c r="B2639">
        <v>2</v>
      </c>
      <c r="E2639" t="s">
        <v>3351</v>
      </c>
      <c r="F2639" t="s">
        <v>3352</v>
      </c>
      <c r="G2639" t="s">
        <v>3353</v>
      </c>
      <c r="I2639" t="s">
        <v>3338</v>
      </c>
      <c r="J2639" t="s">
        <v>2421</v>
      </c>
      <c r="K2639" t="s">
        <v>3354</v>
      </c>
      <c r="L2639" t="s">
        <v>3355</v>
      </c>
      <c r="N2639" t="s">
        <v>3358</v>
      </c>
      <c r="O2639" t="s">
        <v>3359</v>
      </c>
      <c r="P2639">
        <v>41285870</v>
      </c>
    </row>
    <row r="2640" spans="1:16">
      <c r="A2640" t="s">
        <v>129</v>
      </c>
      <c r="B2640">
        <v>2</v>
      </c>
      <c r="E2640" t="s">
        <v>3351</v>
      </c>
      <c r="F2640" t="s">
        <v>3352</v>
      </c>
      <c r="G2640" t="s">
        <v>3353</v>
      </c>
      <c r="I2640" t="s">
        <v>3338</v>
      </c>
      <c r="J2640" t="s">
        <v>2421</v>
      </c>
      <c r="K2640" t="s">
        <v>3354</v>
      </c>
      <c r="L2640" t="s">
        <v>3355</v>
      </c>
      <c r="N2640" t="s">
        <v>3360</v>
      </c>
      <c r="O2640" t="s">
        <v>3361</v>
      </c>
      <c r="P2640">
        <v>41285870</v>
      </c>
    </row>
    <row r="2641" spans="1:16">
      <c r="A2641" t="s">
        <v>129</v>
      </c>
      <c r="B2641">
        <v>1</v>
      </c>
      <c r="E2641" t="s">
        <v>3347</v>
      </c>
      <c r="F2641" t="s">
        <v>3344</v>
      </c>
      <c r="G2641" t="s">
        <v>3348</v>
      </c>
      <c r="I2641" t="s">
        <v>3338</v>
      </c>
      <c r="J2641" t="s">
        <v>2236</v>
      </c>
      <c r="K2641" t="s">
        <v>3362</v>
      </c>
      <c r="L2641" t="s">
        <v>3363</v>
      </c>
      <c r="N2641" t="s">
        <v>3364</v>
      </c>
      <c r="O2641" t="s">
        <v>3365</v>
      </c>
      <c r="P2641">
        <v>41285870</v>
      </c>
    </row>
    <row r="2642" spans="1:16">
      <c r="A2642" t="s">
        <v>129</v>
      </c>
      <c r="B2642">
        <v>1</v>
      </c>
      <c r="E2642" t="s">
        <v>3347</v>
      </c>
      <c r="F2642" t="s">
        <v>3344</v>
      </c>
      <c r="G2642" t="s">
        <v>3348</v>
      </c>
      <c r="I2642" t="s">
        <v>3338</v>
      </c>
      <c r="L2642" t="s">
        <v>193</v>
      </c>
      <c r="N2642" t="s">
        <v>3366</v>
      </c>
      <c r="O2642" t="s">
        <v>3367</v>
      </c>
      <c r="P2642">
        <v>41285870</v>
      </c>
    </row>
    <row r="2643" spans="1:16">
      <c r="A2643" t="s">
        <v>129</v>
      </c>
      <c r="B2643">
        <v>2</v>
      </c>
      <c r="E2643" t="s">
        <v>3366</v>
      </c>
      <c r="F2643" t="s">
        <v>3367</v>
      </c>
      <c r="G2643" t="s">
        <v>3368</v>
      </c>
      <c r="I2643" t="s">
        <v>3338</v>
      </c>
      <c r="J2643" t="s">
        <v>2421</v>
      </c>
      <c r="K2643" t="s">
        <v>3354</v>
      </c>
      <c r="L2643" t="s">
        <v>3369</v>
      </c>
      <c r="N2643" t="s">
        <v>3370</v>
      </c>
      <c r="O2643" t="s">
        <v>3359</v>
      </c>
      <c r="P2643">
        <v>41285870</v>
      </c>
    </row>
    <row r="2644" spans="1:16">
      <c r="A2644" t="s">
        <v>129</v>
      </c>
      <c r="B2644">
        <v>2</v>
      </c>
      <c r="E2644" t="s">
        <v>3366</v>
      </c>
      <c r="F2644" t="s">
        <v>3367</v>
      </c>
      <c r="G2644" t="s">
        <v>3368</v>
      </c>
      <c r="I2644" t="s">
        <v>3338</v>
      </c>
      <c r="J2644" t="s">
        <v>2421</v>
      </c>
      <c r="K2644" t="s">
        <v>3354</v>
      </c>
      <c r="L2644" t="s">
        <v>3369</v>
      </c>
      <c r="N2644" t="s">
        <v>3371</v>
      </c>
      <c r="O2644" t="s">
        <v>3372</v>
      </c>
      <c r="P2644">
        <v>41285870</v>
      </c>
    </row>
    <row r="2645" spans="1:16">
      <c r="A2645" t="s">
        <v>129</v>
      </c>
      <c r="B2645">
        <v>2</v>
      </c>
      <c r="E2645" t="s">
        <v>3366</v>
      </c>
      <c r="F2645" t="s">
        <v>3367</v>
      </c>
      <c r="G2645" t="s">
        <v>3368</v>
      </c>
      <c r="I2645" t="s">
        <v>3338</v>
      </c>
      <c r="J2645" t="s">
        <v>2421</v>
      </c>
      <c r="K2645" t="s">
        <v>3354</v>
      </c>
      <c r="L2645" t="s">
        <v>3369</v>
      </c>
      <c r="N2645" t="s">
        <v>3373</v>
      </c>
      <c r="O2645" t="s">
        <v>3374</v>
      </c>
      <c r="P2645">
        <v>41285870</v>
      </c>
    </row>
    <row r="2646" spans="1:16">
      <c r="A2646" t="s">
        <v>129</v>
      </c>
      <c r="B2646">
        <v>2</v>
      </c>
      <c r="E2646" t="s">
        <v>3366</v>
      </c>
      <c r="F2646" t="s">
        <v>3367</v>
      </c>
      <c r="G2646" t="s">
        <v>3368</v>
      </c>
      <c r="I2646" t="s">
        <v>3338</v>
      </c>
      <c r="J2646" t="s">
        <v>2236</v>
      </c>
      <c r="K2646" t="s">
        <v>3362</v>
      </c>
      <c r="L2646" t="s">
        <v>3363</v>
      </c>
      <c r="N2646" t="s">
        <v>3375</v>
      </c>
      <c r="O2646" t="s">
        <v>3376</v>
      </c>
      <c r="P2646">
        <v>41285870</v>
      </c>
    </row>
    <row r="2647" spans="1:16">
      <c r="A2647" t="s">
        <v>129</v>
      </c>
      <c r="B2647">
        <v>1</v>
      </c>
      <c r="E2647" t="s">
        <v>3347</v>
      </c>
      <c r="F2647" t="s">
        <v>3344</v>
      </c>
      <c r="G2647" t="s">
        <v>3348</v>
      </c>
      <c r="I2647" t="s">
        <v>3338</v>
      </c>
      <c r="J2647" t="s">
        <v>2232</v>
      </c>
      <c r="K2647" t="s">
        <v>2233</v>
      </c>
      <c r="L2647" t="s">
        <v>3342</v>
      </c>
      <c r="N2647" t="s">
        <v>3454</v>
      </c>
      <c r="O2647" t="s">
        <v>3455</v>
      </c>
      <c r="P2647">
        <v>41285870</v>
      </c>
    </row>
    <row r="2648" spans="1:16">
      <c r="A2648" t="s">
        <v>129</v>
      </c>
      <c r="B2648">
        <v>0</v>
      </c>
      <c r="G2648" t="s">
        <v>3338</v>
      </c>
      <c r="I2648" t="s">
        <v>3338</v>
      </c>
      <c r="N2648" t="s">
        <v>3377</v>
      </c>
      <c r="O2648" t="s">
        <v>3346</v>
      </c>
      <c r="P2648">
        <v>41285870</v>
      </c>
    </row>
    <row r="2649" spans="1:16">
      <c r="A2649" t="s">
        <v>129</v>
      </c>
      <c r="B2649">
        <v>1</v>
      </c>
      <c r="E2649" t="s">
        <v>3377</v>
      </c>
      <c r="F2649" t="s">
        <v>3346</v>
      </c>
      <c r="G2649" t="s">
        <v>3378</v>
      </c>
      <c r="I2649" t="s">
        <v>3338</v>
      </c>
      <c r="L2649" t="s">
        <v>193</v>
      </c>
      <c r="N2649" t="s">
        <v>3379</v>
      </c>
      <c r="O2649" t="s">
        <v>3380</v>
      </c>
      <c r="P2649">
        <v>41285870</v>
      </c>
    </row>
    <row r="2650" spans="1:16">
      <c r="A2650" t="s">
        <v>129</v>
      </c>
      <c r="B2650">
        <v>2</v>
      </c>
      <c r="E2650" t="s">
        <v>3379</v>
      </c>
      <c r="F2650" t="s">
        <v>3380</v>
      </c>
      <c r="G2650" t="s">
        <v>3381</v>
      </c>
      <c r="I2650" t="s">
        <v>3338</v>
      </c>
      <c r="J2650" t="s">
        <v>2421</v>
      </c>
      <c r="K2650" t="s">
        <v>3354</v>
      </c>
      <c r="L2650" t="s">
        <v>3369</v>
      </c>
      <c r="N2650" t="s">
        <v>3382</v>
      </c>
      <c r="O2650" t="s">
        <v>3352</v>
      </c>
      <c r="P2650">
        <v>41285870</v>
      </c>
    </row>
    <row r="2651" spans="1:16">
      <c r="A2651" t="s">
        <v>129</v>
      </c>
      <c r="B2651">
        <v>2</v>
      </c>
      <c r="E2651" t="s">
        <v>3379</v>
      </c>
      <c r="F2651" t="s">
        <v>3380</v>
      </c>
      <c r="G2651" t="s">
        <v>3381</v>
      </c>
      <c r="I2651" t="s">
        <v>3338</v>
      </c>
      <c r="L2651" t="s">
        <v>3383</v>
      </c>
      <c r="N2651" t="s">
        <v>3384</v>
      </c>
      <c r="O2651" t="s">
        <v>3385</v>
      </c>
      <c r="P2651">
        <v>41285870</v>
      </c>
    </row>
    <row r="2652" spans="1:16">
      <c r="A2652" t="s">
        <v>129</v>
      </c>
      <c r="B2652">
        <v>2</v>
      </c>
      <c r="E2652" t="s">
        <v>3379</v>
      </c>
      <c r="F2652" t="s">
        <v>3380</v>
      </c>
      <c r="G2652" t="s">
        <v>3381</v>
      </c>
      <c r="I2652" t="s">
        <v>3338</v>
      </c>
      <c r="J2652" t="s">
        <v>2232</v>
      </c>
      <c r="K2652" t="s">
        <v>2233</v>
      </c>
      <c r="L2652" t="s">
        <v>3342</v>
      </c>
      <c r="N2652" t="s">
        <v>3386</v>
      </c>
      <c r="O2652" t="s">
        <v>3350</v>
      </c>
      <c r="P2652">
        <v>41285870</v>
      </c>
    </row>
    <row r="2653" spans="1:16">
      <c r="A2653" t="s">
        <v>129</v>
      </c>
      <c r="B2653">
        <v>0</v>
      </c>
      <c r="G2653" t="s">
        <v>3338</v>
      </c>
      <c r="I2653" t="s">
        <v>3338</v>
      </c>
      <c r="N2653" t="s">
        <v>3395</v>
      </c>
      <c r="O2653" t="s">
        <v>3396</v>
      </c>
      <c r="P2653">
        <v>41285870</v>
      </c>
    </row>
    <row r="2654" spans="1:16">
      <c r="A2654" t="s">
        <v>129</v>
      </c>
      <c r="B2654">
        <v>1</v>
      </c>
      <c r="E2654" t="s">
        <v>3395</v>
      </c>
      <c r="F2654" t="s">
        <v>3396</v>
      </c>
      <c r="G2654" t="s">
        <v>3397</v>
      </c>
      <c r="I2654" t="s">
        <v>3338</v>
      </c>
      <c r="L2654" t="s">
        <v>3342</v>
      </c>
      <c r="N2654" t="s">
        <v>3398</v>
      </c>
      <c r="O2654" t="s">
        <v>3399</v>
      </c>
      <c r="P2654">
        <v>41285870</v>
      </c>
    </row>
    <row r="2655" spans="1:16">
      <c r="A2655" t="s">
        <v>129</v>
      </c>
      <c r="B2655">
        <v>1</v>
      </c>
      <c r="E2655" t="s">
        <v>3395</v>
      </c>
      <c r="F2655" t="s">
        <v>3396</v>
      </c>
      <c r="G2655" t="s">
        <v>3397</v>
      </c>
      <c r="I2655" t="s">
        <v>3338</v>
      </c>
      <c r="J2655" t="s">
        <v>2232</v>
      </c>
      <c r="K2655" t="s">
        <v>2233</v>
      </c>
      <c r="L2655" t="s">
        <v>3342</v>
      </c>
      <c r="N2655" t="s">
        <v>3400</v>
      </c>
      <c r="O2655" t="s">
        <v>3401</v>
      </c>
      <c r="P2655">
        <v>41285870</v>
      </c>
    </row>
    <row r="2656" spans="1:16">
      <c r="A2656" t="s">
        <v>129</v>
      </c>
      <c r="B2656">
        <v>1</v>
      </c>
      <c r="E2656" t="s">
        <v>3395</v>
      </c>
      <c r="F2656" t="s">
        <v>3396</v>
      </c>
      <c r="G2656" t="s">
        <v>3397</v>
      </c>
      <c r="I2656" t="s">
        <v>3338</v>
      </c>
      <c r="L2656" t="s">
        <v>3342</v>
      </c>
      <c r="N2656" t="s">
        <v>3402</v>
      </c>
      <c r="O2656" t="s">
        <v>3403</v>
      </c>
      <c r="P2656">
        <v>41285870</v>
      </c>
    </row>
    <row r="2657" spans="1:16">
      <c r="A2657" t="s">
        <v>129</v>
      </c>
      <c r="B2657">
        <v>1</v>
      </c>
      <c r="E2657" t="s">
        <v>3395</v>
      </c>
      <c r="F2657" t="s">
        <v>3396</v>
      </c>
      <c r="G2657" t="s">
        <v>3397</v>
      </c>
      <c r="I2657" t="s">
        <v>3338</v>
      </c>
      <c r="L2657" t="s">
        <v>3342</v>
      </c>
      <c r="N2657" t="s">
        <v>3404</v>
      </c>
      <c r="O2657" t="s">
        <v>3405</v>
      </c>
      <c r="P2657">
        <v>41285870</v>
      </c>
    </row>
    <row r="2658" spans="1:16">
      <c r="A2658" t="s">
        <v>129</v>
      </c>
      <c r="B2658">
        <v>0</v>
      </c>
      <c r="G2658" t="s">
        <v>3338</v>
      </c>
      <c r="I2658" t="s">
        <v>3338</v>
      </c>
      <c r="N2658" t="s">
        <v>3406</v>
      </c>
      <c r="O2658" t="s">
        <v>3407</v>
      </c>
      <c r="P2658">
        <v>41285870</v>
      </c>
    </row>
    <row r="2659" spans="1:16">
      <c r="A2659" t="s">
        <v>129</v>
      </c>
      <c r="B2659">
        <v>1</v>
      </c>
      <c r="E2659" t="s">
        <v>3406</v>
      </c>
      <c r="F2659" t="s">
        <v>3407</v>
      </c>
      <c r="G2659" t="s">
        <v>3408</v>
      </c>
      <c r="I2659" t="s">
        <v>3338</v>
      </c>
      <c r="J2659" t="s">
        <v>2421</v>
      </c>
      <c r="K2659" t="s">
        <v>3354</v>
      </c>
      <c r="L2659" t="s">
        <v>3369</v>
      </c>
      <c r="N2659" t="s">
        <v>3409</v>
      </c>
      <c r="O2659" t="s">
        <v>3410</v>
      </c>
      <c r="P2659">
        <v>41285870</v>
      </c>
    </row>
    <row r="2660" spans="1:16">
      <c r="A2660" t="s">
        <v>129</v>
      </c>
      <c r="B2660">
        <v>1</v>
      </c>
      <c r="E2660" t="s">
        <v>3406</v>
      </c>
      <c r="F2660" t="s">
        <v>3407</v>
      </c>
      <c r="G2660" t="s">
        <v>3408</v>
      </c>
      <c r="I2660" t="s">
        <v>3338</v>
      </c>
      <c r="L2660" t="s">
        <v>193</v>
      </c>
      <c r="N2660" t="s">
        <v>3411</v>
      </c>
      <c r="O2660" t="s">
        <v>3412</v>
      </c>
      <c r="P2660">
        <v>41285870</v>
      </c>
    </row>
    <row r="2661" spans="1:16">
      <c r="A2661" t="s">
        <v>129</v>
      </c>
      <c r="B2661">
        <v>2</v>
      </c>
      <c r="E2661" t="s">
        <v>3411</v>
      </c>
      <c r="F2661" t="s">
        <v>3412</v>
      </c>
      <c r="G2661" t="s">
        <v>3413</v>
      </c>
      <c r="I2661" t="s">
        <v>3338</v>
      </c>
      <c r="J2661" t="s">
        <v>2232</v>
      </c>
      <c r="K2661" t="s">
        <v>2233</v>
      </c>
      <c r="L2661" t="s">
        <v>3342</v>
      </c>
      <c r="N2661" t="s">
        <v>3414</v>
      </c>
      <c r="O2661" t="s">
        <v>3415</v>
      </c>
      <c r="P2661">
        <v>41285870</v>
      </c>
    </row>
    <row r="2662" spans="1:16">
      <c r="A2662" t="s">
        <v>129</v>
      </c>
      <c r="B2662">
        <v>2</v>
      </c>
      <c r="E2662" t="s">
        <v>3411</v>
      </c>
      <c r="F2662" t="s">
        <v>3412</v>
      </c>
      <c r="G2662" t="s">
        <v>3413</v>
      </c>
      <c r="I2662" t="s">
        <v>3338</v>
      </c>
      <c r="J2662" t="s">
        <v>2232</v>
      </c>
      <c r="K2662" t="s">
        <v>2233</v>
      </c>
      <c r="L2662" t="s">
        <v>3342</v>
      </c>
      <c r="N2662" t="s">
        <v>3416</v>
      </c>
      <c r="O2662" t="s">
        <v>3417</v>
      </c>
      <c r="P2662">
        <v>41285870</v>
      </c>
    </row>
    <row r="2663" spans="1:16">
      <c r="A2663" t="s">
        <v>129</v>
      </c>
      <c r="B2663">
        <v>2</v>
      </c>
      <c r="E2663" t="s">
        <v>3411</v>
      </c>
      <c r="F2663" t="s">
        <v>3412</v>
      </c>
      <c r="G2663" t="s">
        <v>3413</v>
      </c>
      <c r="I2663" t="s">
        <v>3338</v>
      </c>
      <c r="J2663" t="s">
        <v>2232</v>
      </c>
      <c r="K2663" t="s">
        <v>2233</v>
      </c>
      <c r="L2663" t="s">
        <v>3342</v>
      </c>
      <c r="N2663" t="s">
        <v>3418</v>
      </c>
      <c r="O2663" t="s">
        <v>3419</v>
      </c>
      <c r="P2663">
        <v>41285870</v>
      </c>
    </row>
    <row r="2664" spans="1:16">
      <c r="A2664" t="s">
        <v>129</v>
      </c>
      <c r="B2664">
        <v>2</v>
      </c>
      <c r="E2664" t="s">
        <v>3411</v>
      </c>
      <c r="F2664" t="s">
        <v>3412</v>
      </c>
      <c r="G2664" t="s">
        <v>3413</v>
      </c>
      <c r="I2664" t="s">
        <v>3338</v>
      </c>
      <c r="J2664" t="s">
        <v>2232</v>
      </c>
      <c r="K2664" t="s">
        <v>2233</v>
      </c>
      <c r="L2664" t="s">
        <v>3342</v>
      </c>
      <c r="N2664" t="s">
        <v>3420</v>
      </c>
      <c r="O2664" t="s">
        <v>3421</v>
      </c>
      <c r="P2664">
        <v>41285870</v>
      </c>
    </row>
    <row r="2665" spans="1:16">
      <c r="A2665" t="s">
        <v>129</v>
      </c>
      <c r="B2665">
        <v>2</v>
      </c>
      <c r="E2665" t="s">
        <v>3411</v>
      </c>
      <c r="F2665" t="s">
        <v>3412</v>
      </c>
      <c r="G2665" t="s">
        <v>3413</v>
      </c>
      <c r="I2665" t="s">
        <v>3338</v>
      </c>
      <c r="J2665" t="s">
        <v>2232</v>
      </c>
      <c r="K2665" t="s">
        <v>2233</v>
      </c>
      <c r="L2665" t="s">
        <v>3342</v>
      </c>
      <c r="N2665" t="s">
        <v>3422</v>
      </c>
      <c r="O2665" t="s">
        <v>3423</v>
      </c>
      <c r="P2665">
        <v>41285870</v>
      </c>
    </row>
    <row r="2666" spans="1:16">
      <c r="A2666" t="s">
        <v>129</v>
      </c>
      <c r="B2666">
        <v>0</v>
      </c>
      <c r="G2666" t="s">
        <v>3338</v>
      </c>
      <c r="I2666" t="s">
        <v>3338</v>
      </c>
      <c r="N2666" t="s">
        <v>3424</v>
      </c>
      <c r="O2666" t="s">
        <v>3425</v>
      </c>
      <c r="P2666">
        <v>41285870</v>
      </c>
    </row>
    <row r="2667" spans="1:16">
      <c r="A2667" t="s">
        <v>129</v>
      </c>
      <c r="B2667">
        <v>1</v>
      </c>
      <c r="E2667" t="s">
        <v>3424</v>
      </c>
      <c r="F2667" t="s">
        <v>3425</v>
      </c>
      <c r="G2667" t="s">
        <v>3426</v>
      </c>
      <c r="I2667" t="s">
        <v>3338</v>
      </c>
      <c r="J2667" t="s">
        <v>2421</v>
      </c>
      <c r="K2667" t="s">
        <v>3354</v>
      </c>
      <c r="L2667" t="s">
        <v>3369</v>
      </c>
      <c r="N2667" t="s">
        <v>3427</v>
      </c>
      <c r="O2667" t="s">
        <v>3428</v>
      </c>
      <c r="P2667">
        <v>41285870</v>
      </c>
    </row>
    <row r="2668" spans="1:16">
      <c r="A2668" t="s">
        <v>129</v>
      </c>
      <c r="B2668">
        <v>1</v>
      </c>
      <c r="E2668" t="s">
        <v>3424</v>
      </c>
      <c r="F2668" t="s">
        <v>3425</v>
      </c>
      <c r="G2668" t="s">
        <v>3426</v>
      </c>
      <c r="I2668" t="s">
        <v>3338</v>
      </c>
      <c r="J2668" t="s">
        <v>2421</v>
      </c>
      <c r="K2668" t="s">
        <v>3354</v>
      </c>
      <c r="L2668" t="s">
        <v>3369</v>
      </c>
      <c r="N2668" t="s">
        <v>3429</v>
      </c>
      <c r="O2668" t="s">
        <v>3430</v>
      </c>
      <c r="P2668">
        <v>41285870</v>
      </c>
    </row>
    <row r="2669" spans="1:16">
      <c r="A2669" t="s">
        <v>129</v>
      </c>
      <c r="B2669">
        <v>1</v>
      </c>
      <c r="E2669" t="s">
        <v>3424</v>
      </c>
      <c r="F2669" t="s">
        <v>3425</v>
      </c>
      <c r="G2669" t="s">
        <v>3426</v>
      </c>
      <c r="I2669" t="s">
        <v>3338</v>
      </c>
      <c r="J2669" t="s">
        <v>2232</v>
      </c>
      <c r="K2669" t="s">
        <v>2233</v>
      </c>
      <c r="L2669" t="s">
        <v>3342</v>
      </c>
      <c r="N2669" t="s">
        <v>3431</v>
      </c>
      <c r="O2669" t="s">
        <v>3432</v>
      </c>
      <c r="P2669">
        <v>41285870</v>
      </c>
    </row>
    <row r="2670" spans="1:16">
      <c r="A2670" t="s">
        <v>129</v>
      </c>
      <c r="B2670">
        <v>0</v>
      </c>
      <c r="G2670" t="s">
        <v>3338</v>
      </c>
      <c r="I2670" t="s">
        <v>3338</v>
      </c>
      <c r="N2670" t="s">
        <v>3433</v>
      </c>
      <c r="O2670" t="s">
        <v>3434</v>
      </c>
      <c r="P2670">
        <v>41285870</v>
      </c>
    </row>
    <row r="2671" spans="1:16">
      <c r="A2671" t="s">
        <v>129</v>
      </c>
      <c r="B2671">
        <v>1</v>
      </c>
      <c r="E2671" t="s">
        <v>3433</v>
      </c>
      <c r="F2671" t="s">
        <v>3434</v>
      </c>
      <c r="G2671" t="s">
        <v>3435</v>
      </c>
      <c r="I2671" t="s">
        <v>3338</v>
      </c>
      <c r="J2671" t="s">
        <v>2232</v>
      </c>
      <c r="K2671" t="s">
        <v>2233</v>
      </c>
      <c r="L2671" t="s">
        <v>3342</v>
      </c>
      <c r="N2671" t="s">
        <v>3436</v>
      </c>
      <c r="O2671" t="s">
        <v>3437</v>
      </c>
      <c r="P2671">
        <v>41285870</v>
      </c>
    </row>
    <row r="2672" spans="1:16">
      <c r="A2672" t="s">
        <v>129</v>
      </c>
      <c r="B2672">
        <v>1</v>
      </c>
      <c r="E2672" t="s">
        <v>3433</v>
      </c>
      <c r="F2672" t="s">
        <v>3434</v>
      </c>
      <c r="G2672" t="s">
        <v>3435</v>
      </c>
      <c r="I2672" t="s">
        <v>3338</v>
      </c>
      <c r="J2672" t="s">
        <v>2232</v>
      </c>
      <c r="K2672" t="s">
        <v>2233</v>
      </c>
      <c r="L2672" t="s">
        <v>3342</v>
      </c>
      <c r="N2672" t="s">
        <v>3438</v>
      </c>
      <c r="O2672" t="s">
        <v>3439</v>
      </c>
      <c r="P2672">
        <v>41285870</v>
      </c>
    </row>
    <row r="2673" spans="1:16">
      <c r="A2673" t="s">
        <v>129</v>
      </c>
      <c r="B2673">
        <v>1</v>
      </c>
      <c r="E2673" t="s">
        <v>3433</v>
      </c>
      <c r="F2673" t="s">
        <v>3434</v>
      </c>
      <c r="G2673" t="s">
        <v>3435</v>
      </c>
      <c r="I2673" t="s">
        <v>3338</v>
      </c>
      <c r="J2673" t="s">
        <v>2232</v>
      </c>
      <c r="K2673" t="s">
        <v>2233</v>
      </c>
      <c r="L2673" t="s">
        <v>3342</v>
      </c>
      <c r="N2673" t="s">
        <v>3440</v>
      </c>
      <c r="O2673" t="s">
        <v>3441</v>
      </c>
      <c r="P2673">
        <v>41285870</v>
      </c>
    </row>
    <row r="2674" spans="1:16">
      <c r="A2674" t="s">
        <v>129</v>
      </c>
      <c r="B2674">
        <v>1</v>
      </c>
      <c r="E2674" t="s">
        <v>3433</v>
      </c>
      <c r="F2674" t="s">
        <v>3434</v>
      </c>
      <c r="G2674" t="s">
        <v>3435</v>
      </c>
      <c r="I2674" t="s">
        <v>3338</v>
      </c>
      <c r="J2674" t="s">
        <v>2232</v>
      </c>
      <c r="K2674" t="s">
        <v>2233</v>
      </c>
      <c r="L2674" t="s">
        <v>3342</v>
      </c>
      <c r="N2674" t="s">
        <v>3442</v>
      </c>
      <c r="O2674" t="s">
        <v>3443</v>
      </c>
      <c r="P2674">
        <v>41285870</v>
      </c>
    </row>
    <row r="2675" spans="1:16">
      <c r="A2675" t="s">
        <v>129</v>
      </c>
      <c r="B2675">
        <v>1</v>
      </c>
      <c r="E2675" t="s">
        <v>3433</v>
      </c>
      <c r="F2675" t="s">
        <v>3434</v>
      </c>
      <c r="G2675" t="s">
        <v>3435</v>
      </c>
      <c r="I2675" t="s">
        <v>3338</v>
      </c>
      <c r="J2675" t="s">
        <v>2232</v>
      </c>
      <c r="K2675" t="s">
        <v>2233</v>
      </c>
      <c r="L2675" t="s">
        <v>3342</v>
      </c>
      <c r="N2675" t="s">
        <v>3444</v>
      </c>
      <c r="O2675" t="s">
        <v>3445</v>
      </c>
      <c r="P2675">
        <v>41285870</v>
      </c>
    </row>
    <row r="2676" spans="1:16">
      <c r="A2676" t="s">
        <v>129</v>
      </c>
      <c r="B2676">
        <v>1</v>
      </c>
      <c r="E2676" t="s">
        <v>3433</v>
      </c>
      <c r="F2676" t="s">
        <v>3434</v>
      </c>
      <c r="G2676" t="s">
        <v>3435</v>
      </c>
      <c r="I2676" t="s">
        <v>3338</v>
      </c>
      <c r="J2676" t="s">
        <v>2232</v>
      </c>
      <c r="K2676" t="s">
        <v>2233</v>
      </c>
      <c r="L2676" t="s">
        <v>3342</v>
      </c>
      <c r="N2676" t="s">
        <v>3446</v>
      </c>
      <c r="O2676" t="s">
        <v>3447</v>
      </c>
      <c r="P2676">
        <v>41285870</v>
      </c>
    </row>
    <row r="2677" spans="1:16">
      <c r="A2677" t="s">
        <v>129</v>
      </c>
      <c r="B2677">
        <v>0</v>
      </c>
      <c r="G2677" t="s">
        <v>3338</v>
      </c>
      <c r="I2677" t="s">
        <v>3338</v>
      </c>
      <c r="N2677" t="s">
        <v>3448</v>
      </c>
      <c r="O2677" t="s">
        <v>3449</v>
      </c>
      <c r="P2677">
        <v>41285870</v>
      </c>
    </row>
    <row r="2678" spans="1:16">
      <c r="A2678" t="s">
        <v>129</v>
      </c>
      <c r="B2678">
        <v>1</v>
      </c>
      <c r="E2678" t="s">
        <v>3448</v>
      </c>
      <c r="F2678" t="s">
        <v>3449</v>
      </c>
      <c r="G2678" t="s">
        <v>3450</v>
      </c>
      <c r="I2678" t="s">
        <v>3338</v>
      </c>
      <c r="J2678" t="s">
        <v>2421</v>
      </c>
      <c r="K2678" t="s">
        <v>3354</v>
      </c>
      <c r="L2678" t="s">
        <v>3451</v>
      </c>
      <c r="N2678" t="s">
        <v>3452</v>
      </c>
      <c r="O2678" t="s">
        <v>3453</v>
      </c>
      <c r="P2678">
        <v>41285870</v>
      </c>
    </row>
    <row r="2679" spans="1:16">
      <c r="A2679" t="s">
        <v>129</v>
      </c>
      <c r="B2679">
        <v>0</v>
      </c>
      <c r="G2679" t="s">
        <v>3456</v>
      </c>
      <c r="I2679" t="s">
        <v>3456</v>
      </c>
      <c r="M2679" t="s">
        <v>3463</v>
      </c>
      <c r="N2679" t="s">
        <v>3464</v>
      </c>
      <c r="O2679" t="s">
        <v>3465</v>
      </c>
      <c r="P2679">
        <v>41285870</v>
      </c>
    </row>
    <row r="2680" spans="1:16">
      <c r="A2680" t="s">
        <v>131</v>
      </c>
      <c r="B2680">
        <v>0</v>
      </c>
      <c r="G2680" t="s">
        <v>3338</v>
      </c>
      <c r="I2680" t="s">
        <v>3338</v>
      </c>
      <c r="N2680" t="s">
        <v>3339</v>
      </c>
      <c r="O2680" t="s">
        <v>3340</v>
      </c>
      <c r="P2680">
        <v>41279771</v>
      </c>
    </row>
    <row r="2681" spans="1:16">
      <c r="A2681" t="s">
        <v>131</v>
      </c>
      <c r="B2681">
        <v>1</v>
      </c>
      <c r="E2681" t="s">
        <v>3339</v>
      </c>
      <c r="F2681" t="s">
        <v>3340</v>
      </c>
      <c r="G2681" t="s">
        <v>3341</v>
      </c>
      <c r="I2681" t="s">
        <v>3338</v>
      </c>
      <c r="J2681" t="s">
        <v>2232</v>
      </c>
      <c r="K2681" t="s">
        <v>2233</v>
      </c>
      <c r="L2681" t="s">
        <v>3342</v>
      </c>
      <c r="N2681" t="s">
        <v>3343</v>
      </c>
      <c r="O2681" t="s">
        <v>3344</v>
      </c>
      <c r="P2681">
        <v>41279771</v>
      </c>
    </row>
    <row r="2682" spans="1:16">
      <c r="A2682" t="s">
        <v>131</v>
      </c>
      <c r="B2682">
        <v>1</v>
      </c>
      <c r="E2682" t="s">
        <v>3339</v>
      </c>
      <c r="F2682" t="s">
        <v>3340</v>
      </c>
      <c r="G2682" t="s">
        <v>3341</v>
      </c>
      <c r="I2682" t="s">
        <v>3338</v>
      </c>
      <c r="J2682" t="s">
        <v>2232</v>
      </c>
      <c r="K2682" t="s">
        <v>2233</v>
      </c>
      <c r="L2682" t="s">
        <v>3342</v>
      </c>
      <c r="N2682" t="s">
        <v>3345</v>
      </c>
      <c r="O2682" t="s">
        <v>3346</v>
      </c>
      <c r="P2682">
        <v>41279771</v>
      </c>
    </row>
    <row r="2683" spans="1:16">
      <c r="A2683" t="s">
        <v>131</v>
      </c>
      <c r="B2683">
        <v>0</v>
      </c>
      <c r="G2683" t="s">
        <v>3338</v>
      </c>
      <c r="I2683" t="s">
        <v>3338</v>
      </c>
      <c r="N2683" t="s">
        <v>3347</v>
      </c>
      <c r="O2683" t="s">
        <v>3344</v>
      </c>
      <c r="P2683">
        <v>41279771</v>
      </c>
    </row>
    <row r="2684" spans="1:16">
      <c r="A2684" t="s">
        <v>131</v>
      </c>
      <c r="B2684">
        <v>1</v>
      </c>
      <c r="E2684" t="s">
        <v>3347</v>
      </c>
      <c r="F2684" t="s">
        <v>3344</v>
      </c>
      <c r="G2684" t="s">
        <v>3348</v>
      </c>
      <c r="I2684" t="s">
        <v>3338</v>
      </c>
      <c r="J2684" t="s">
        <v>2232</v>
      </c>
      <c r="K2684" t="s">
        <v>2233</v>
      </c>
      <c r="L2684" t="s">
        <v>3342</v>
      </c>
      <c r="N2684" t="s">
        <v>3349</v>
      </c>
      <c r="O2684" t="s">
        <v>3350</v>
      </c>
      <c r="P2684">
        <v>41279771</v>
      </c>
    </row>
    <row r="2685" spans="1:16">
      <c r="A2685" t="s">
        <v>131</v>
      </c>
      <c r="B2685">
        <v>1</v>
      </c>
      <c r="E2685" t="s">
        <v>3347</v>
      </c>
      <c r="F2685" t="s">
        <v>3344</v>
      </c>
      <c r="G2685" t="s">
        <v>3348</v>
      </c>
      <c r="I2685" t="s">
        <v>3338</v>
      </c>
      <c r="L2685" t="s">
        <v>193</v>
      </c>
      <c r="N2685" t="s">
        <v>3351</v>
      </c>
      <c r="O2685" t="s">
        <v>3352</v>
      </c>
      <c r="P2685">
        <v>41279771</v>
      </c>
    </row>
    <row r="2686" spans="1:16">
      <c r="A2686" t="s">
        <v>131</v>
      </c>
      <c r="B2686">
        <v>2</v>
      </c>
      <c r="E2686" t="s">
        <v>3351</v>
      </c>
      <c r="F2686" t="s">
        <v>3352</v>
      </c>
      <c r="G2686" t="s">
        <v>3353</v>
      </c>
      <c r="I2686" t="s">
        <v>3338</v>
      </c>
      <c r="J2686" t="s">
        <v>2421</v>
      </c>
      <c r="K2686" t="s">
        <v>3354</v>
      </c>
      <c r="L2686" t="s">
        <v>3355</v>
      </c>
      <c r="N2686" t="s">
        <v>3356</v>
      </c>
      <c r="O2686" t="s">
        <v>3357</v>
      </c>
      <c r="P2686">
        <v>41279771</v>
      </c>
    </row>
    <row r="2687" spans="1:16">
      <c r="A2687" t="s">
        <v>131</v>
      </c>
      <c r="B2687">
        <v>2</v>
      </c>
      <c r="E2687" t="s">
        <v>3351</v>
      </c>
      <c r="F2687" t="s">
        <v>3352</v>
      </c>
      <c r="G2687" t="s">
        <v>3353</v>
      </c>
      <c r="I2687" t="s">
        <v>3338</v>
      </c>
      <c r="J2687" t="s">
        <v>2421</v>
      </c>
      <c r="K2687" t="s">
        <v>3354</v>
      </c>
      <c r="L2687" t="s">
        <v>3355</v>
      </c>
      <c r="N2687" t="s">
        <v>3358</v>
      </c>
      <c r="O2687" t="s">
        <v>3359</v>
      </c>
      <c r="P2687">
        <v>41279771</v>
      </c>
    </row>
    <row r="2688" spans="1:16">
      <c r="A2688" t="s">
        <v>131</v>
      </c>
      <c r="B2688">
        <v>2</v>
      </c>
      <c r="E2688" t="s">
        <v>3351</v>
      </c>
      <c r="F2688" t="s">
        <v>3352</v>
      </c>
      <c r="G2688" t="s">
        <v>3353</v>
      </c>
      <c r="I2688" t="s">
        <v>3338</v>
      </c>
      <c r="J2688" t="s">
        <v>2421</v>
      </c>
      <c r="K2688" t="s">
        <v>3354</v>
      </c>
      <c r="L2688" t="s">
        <v>3355</v>
      </c>
      <c r="N2688" t="s">
        <v>3360</v>
      </c>
      <c r="O2688" t="s">
        <v>3361</v>
      </c>
      <c r="P2688">
        <v>41279771</v>
      </c>
    </row>
    <row r="2689" spans="1:16">
      <c r="A2689" t="s">
        <v>131</v>
      </c>
      <c r="B2689">
        <v>1</v>
      </c>
      <c r="E2689" t="s">
        <v>3347</v>
      </c>
      <c r="F2689" t="s">
        <v>3344</v>
      </c>
      <c r="G2689" t="s">
        <v>3348</v>
      </c>
      <c r="I2689" t="s">
        <v>3338</v>
      </c>
      <c r="J2689" t="s">
        <v>2236</v>
      </c>
      <c r="K2689" t="s">
        <v>3362</v>
      </c>
      <c r="L2689" t="s">
        <v>3363</v>
      </c>
      <c r="N2689" t="s">
        <v>3364</v>
      </c>
      <c r="O2689" t="s">
        <v>3365</v>
      </c>
      <c r="P2689">
        <v>41279771</v>
      </c>
    </row>
    <row r="2690" spans="1:16">
      <c r="A2690" t="s">
        <v>131</v>
      </c>
      <c r="B2690">
        <v>1</v>
      </c>
      <c r="E2690" t="s">
        <v>3347</v>
      </c>
      <c r="F2690" t="s">
        <v>3344</v>
      </c>
      <c r="G2690" t="s">
        <v>3348</v>
      </c>
      <c r="I2690" t="s">
        <v>3338</v>
      </c>
      <c r="L2690" t="s">
        <v>193</v>
      </c>
      <c r="N2690" t="s">
        <v>3366</v>
      </c>
      <c r="O2690" t="s">
        <v>3367</v>
      </c>
      <c r="P2690">
        <v>41279771</v>
      </c>
    </row>
    <row r="2691" spans="1:16">
      <c r="A2691" t="s">
        <v>131</v>
      </c>
      <c r="B2691">
        <v>2</v>
      </c>
      <c r="E2691" t="s">
        <v>3366</v>
      </c>
      <c r="F2691" t="s">
        <v>3367</v>
      </c>
      <c r="G2691" t="s">
        <v>3368</v>
      </c>
      <c r="I2691" t="s">
        <v>3338</v>
      </c>
      <c r="J2691" t="s">
        <v>2421</v>
      </c>
      <c r="K2691" t="s">
        <v>3354</v>
      </c>
      <c r="L2691" t="s">
        <v>3369</v>
      </c>
      <c r="N2691" t="s">
        <v>3370</v>
      </c>
      <c r="O2691" t="s">
        <v>3359</v>
      </c>
      <c r="P2691">
        <v>41279771</v>
      </c>
    </row>
    <row r="2692" spans="1:16">
      <c r="A2692" t="s">
        <v>131</v>
      </c>
      <c r="B2692">
        <v>2</v>
      </c>
      <c r="E2692" t="s">
        <v>3366</v>
      </c>
      <c r="F2692" t="s">
        <v>3367</v>
      </c>
      <c r="G2692" t="s">
        <v>3368</v>
      </c>
      <c r="I2692" t="s">
        <v>3338</v>
      </c>
      <c r="J2692" t="s">
        <v>2421</v>
      </c>
      <c r="K2692" t="s">
        <v>3354</v>
      </c>
      <c r="L2692" t="s">
        <v>3369</v>
      </c>
      <c r="N2692" t="s">
        <v>3371</v>
      </c>
      <c r="O2692" t="s">
        <v>3372</v>
      </c>
      <c r="P2692">
        <v>41279771</v>
      </c>
    </row>
    <row r="2693" spans="1:16">
      <c r="A2693" t="s">
        <v>131</v>
      </c>
      <c r="B2693">
        <v>2</v>
      </c>
      <c r="E2693" t="s">
        <v>3366</v>
      </c>
      <c r="F2693" t="s">
        <v>3367</v>
      </c>
      <c r="G2693" t="s">
        <v>3368</v>
      </c>
      <c r="I2693" t="s">
        <v>3338</v>
      </c>
      <c r="J2693" t="s">
        <v>2421</v>
      </c>
      <c r="K2693" t="s">
        <v>3354</v>
      </c>
      <c r="L2693" t="s">
        <v>3369</v>
      </c>
      <c r="N2693" t="s">
        <v>3373</v>
      </c>
      <c r="O2693" t="s">
        <v>3374</v>
      </c>
      <c r="P2693">
        <v>41279771</v>
      </c>
    </row>
    <row r="2694" spans="1:16">
      <c r="A2694" t="s">
        <v>131</v>
      </c>
      <c r="B2694">
        <v>2</v>
      </c>
      <c r="E2694" t="s">
        <v>3366</v>
      </c>
      <c r="F2694" t="s">
        <v>3367</v>
      </c>
      <c r="G2694" t="s">
        <v>3368</v>
      </c>
      <c r="I2694" t="s">
        <v>3338</v>
      </c>
      <c r="J2694" t="s">
        <v>2236</v>
      </c>
      <c r="K2694" t="s">
        <v>3362</v>
      </c>
      <c r="L2694" t="s">
        <v>3363</v>
      </c>
      <c r="N2694" t="s">
        <v>3375</v>
      </c>
      <c r="O2694" t="s">
        <v>3376</v>
      </c>
      <c r="P2694">
        <v>41279771</v>
      </c>
    </row>
    <row r="2695" spans="1:16">
      <c r="A2695" t="s">
        <v>131</v>
      </c>
      <c r="B2695">
        <v>0</v>
      </c>
      <c r="G2695" t="s">
        <v>3338</v>
      </c>
      <c r="I2695" t="s">
        <v>3338</v>
      </c>
      <c r="N2695" t="s">
        <v>3377</v>
      </c>
      <c r="O2695" t="s">
        <v>3346</v>
      </c>
      <c r="P2695">
        <v>41279771</v>
      </c>
    </row>
    <row r="2696" spans="1:16">
      <c r="A2696" t="s">
        <v>131</v>
      </c>
      <c r="B2696">
        <v>1</v>
      </c>
      <c r="E2696" t="s">
        <v>3377</v>
      </c>
      <c r="F2696" t="s">
        <v>3346</v>
      </c>
      <c r="G2696" t="s">
        <v>3378</v>
      </c>
      <c r="I2696" t="s">
        <v>3338</v>
      </c>
      <c r="L2696" t="s">
        <v>193</v>
      </c>
      <c r="N2696" t="s">
        <v>3379</v>
      </c>
      <c r="O2696" t="s">
        <v>3380</v>
      </c>
      <c r="P2696">
        <v>41279771</v>
      </c>
    </row>
    <row r="2697" spans="1:16">
      <c r="A2697" t="s">
        <v>131</v>
      </c>
      <c r="B2697">
        <v>2</v>
      </c>
      <c r="E2697" t="s">
        <v>3379</v>
      </c>
      <c r="F2697" t="s">
        <v>3380</v>
      </c>
      <c r="G2697" t="s">
        <v>3381</v>
      </c>
      <c r="I2697" t="s">
        <v>3338</v>
      </c>
      <c r="J2697" t="s">
        <v>2421</v>
      </c>
      <c r="K2697" t="s">
        <v>3354</v>
      </c>
      <c r="L2697" t="s">
        <v>3369</v>
      </c>
      <c r="N2697" t="s">
        <v>3382</v>
      </c>
      <c r="O2697" t="s">
        <v>3352</v>
      </c>
      <c r="P2697">
        <v>41279771</v>
      </c>
    </row>
    <row r="2698" spans="1:16">
      <c r="A2698" t="s">
        <v>131</v>
      </c>
      <c r="B2698">
        <v>2</v>
      </c>
      <c r="E2698" t="s">
        <v>3379</v>
      </c>
      <c r="F2698" t="s">
        <v>3380</v>
      </c>
      <c r="G2698" t="s">
        <v>3381</v>
      </c>
      <c r="I2698" t="s">
        <v>3338</v>
      </c>
      <c r="J2698" t="s">
        <v>2236</v>
      </c>
      <c r="K2698" t="s">
        <v>3362</v>
      </c>
      <c r="L2698" t="s">
        <v>3383</v>
      </c>
      <c r="N2698" t="s">
        <v>3384</v>
      </c>
      <c r="O2698" t="s">
        <v>3385</v>
      </c>
      <c r="P2698">
        <v>41279771</v>
      </c>
    </row>
    <row r="2699" spans="1:16">
      <c r="A2699" t="s">
        <v>131</v>
      </c>
      <c r="B2699">
        <v>2</v>
      </c>
      <c r="E2699" t="s">
        <v>3379</v>
      </c>
      <c r="F2699" t="s">
        <v>3380</v>
      </c>
      <c r="G2699" t="s">
        <v>3381</v>
      </c>
      <c r="I2699" t="s">
        <v>3338</v>
      </c>
      <c r="J2699" t="s">
        <v>2232</v>
      </c>
      <c r="K2699" t="s">
        <v>2233</v>
      </c>
      <c r="L2699" t="s">
        <v>3342</v>
      </c>
      <c r="N2699" t="s">
        <v>3386</v>
      </c>
      <c r="O2699" t="s">
        <v>3350</v>
      </c>
      <c r="P2699">
        <v>41279771</v>
      </c>
    </row>
    <row r="2700" spans="1:16">
      <c r="A2700" t="s">
        <v>131</v>
      </c>
      <c r="B2700">
        <v>1</v>
      </c>
      <c r="E2700" t="s">
        <v>3377</v>
      </c>
      <c r="F2700" t="s">
        <v>3346</v>
      </c>
      <c r="G2700" t="s">
        <v>3378</v>
      </c>
      <c r="I2700" t="s">
        <v>3338</v>
      </c>
      <c r="L2700" t="s">
        <v>193</v>
      </c>
      <c r="N2700" t="s">
        <v>3387</v>
      </c>
      <c r="O2700" t="s">
        <v>3388</v>
      </c>
      <c r="P2700">
        <v>41279771</v>
      </c>
    </row>
    <row r="2701" spans="1:16">
      <c r="A2701" t="s">
        <v>131</v>
      </c>
      <c r="B2701">
        <v>2</v>
      </c>
      <c r="E2701" t="s">
        <v>3387</v>
      </c>
      <c r="F2701" t="s">
        <v>3388</v>
      </c>
      <c r="G2701" t="s">
        <v>3389</v>
      </c>
      <c r="I2701" t="s">
        <v>3338</v>
      </c>
      <c r="L2701" t="s">
        <v>3369</v>
      </c>
      <c r="N2701" t="s">
        <v>3390</v>
      </c>
      <c r="O2701" t="s">
        <v>3352</v>
      </c>
      <c r="P2701">
        <v>41279771</v>
      </c>
    </row>
    <row r="2702" spans="1:16">
      <c r="A2702" t="s">
        <v>131</v>
      </c>
      <c r="B2702">
        <v>2</v>
      </c>
      <c r="E2702" t="s">
        <v>3387</v>
      </c>
      <c r="F2702" t="s">
        <v>3388</v>
      </c>
      <c r="G2702" t="s">
        <v>3389</v>
      </c>
      <c r="I2702" t="s">
        <v>3338</v>
      </c>
      <c r="L2702" t="s">
        <v>3342</v>
      </c>
      <c r="N2702" t="s">
        <v>3391</v>
      </c>
      <c r="O2702" t="s">
        <v>3392</v>
      </c>
      <c r="P2702">
        <v>41279771</v>
      </c>
    </row>
    <row r="2703" spans="1:16">
      <c r="A2703" t="s">
        <v>131</v>
      </c>
      <c r="B2703">
        <v>2</v>
      </c>
      <c r="E2703" t="s">
        <v>3387</v>
      </c>
      <c r="F2703" t="s">
        <v>3388</v>
      </c>
      <c r="G2703" t="s">
        <v>3389</v>
      </c>
      <c r="I2703" t="s">
        <v>3338</v>
      </c>
      <c r="L2703" t="s">
        <v>3383</v>
      </c>
      <c r="N2703" t="s">
        <v>3393</v>
      </c>
      <c r="O2703" t="s">
        <v>3385</v>
      </c>
      <c r="P2703">
        <v>41279771</v>
      </c>
    </row>
    <row r="2704" spans="1:16">
      <c r="A2704" t="s">
        <v>131</v>
      </c>
      <c r="B2704">
        <v>2</v>
      </c>
      <c r="E2704" t="s">
        <v>3387</v>
      </c>
      <c r="F2704" t="s">
        <v>3388</v>
      </c>
      <c r="G2704" t="s">
        <v>3389</v>
      </c>
      <c r="I2704" t="s">
        <v>3338</v>
      </c>
      <c r="L2704" t="s">
        <v>3342</v>
      </c>
      <c r="N2704" t="s">
        <v>3394</v>
      </c>
      <c r="O2704" t="s">
        <v>3350</v>
      </c>
      <c r="P2704">
        <v>41279771</v>
      </c>
    </row>
    <row r="2705" spans="1:16">
      <c r="A2705" t="s">
        <v>131</v>
      </c>
      <c r="B2705">
        <v>0</v>
      </c>
      <c r="G2705" t="s">
        <v>3338</v>
      </c>
      <c r="I2705" t="s">
        <v>3338</v>
      </c>
      <c r="N2705" t="s">
        <v>3395</v>
      </c>
      <c r="O2705" t="s">
        <v>3396</v>
      </c>
      <c r="P2705">
        <v>41279771</v>
      </c>
    </row>
    <row r="2706" spans="1:16">
      <c r="A2706" t="s">
        <v>131</v>
      </c>
      <c r="B2706">
        <v>1</v>
      </c>
      <c r="E2706" t="s">
        <v>3395</v>
      </c>
      <c r="F2706" t="s">
        <v>3396</v>
      </c>
      <c r="G2706" t="s">
        <v>3397</v>
      </c>
      <c r="I2706" t="s">
        <v>3338</v>
      </c>
      <c r="J2706" t="s">
        <v>2232</v>
      </c>
      <c r="K2706" t="s">
        <v>2233</v>
      </c>
      <c r="L2706" t="s">
        <v>3342</v>
      </c>
      <c r="N2706" t="s">
        <v>3398</v>
      </c>
      <c r="O2706" t="s">
        <v>3399</v>
      </c>
      <c r="P2706">
        <v>41279771</v>
      </c>
    </row>
    <row r="2707" spans="1:16">
      <c r="A2707" t="s">
        <v>131</v>
      </c>
      <c r="B2707">
        <v>1</v>
      </c>
      <c r="E2707" t="s">
        <v>3395</v>
      </c>
      <c r="F2707" t="s">
        <v>3396</v>
      </c>
      <c r="G2707" t="s">
        <v>3397</v>
      </c>
      <c r="I2707" t="s">
        <v>3338</v>
      </c>
      <c r="J2707" t="s">
        <v>2232</v>
      </c>
      <c r="K2707" t="s">
        <v>2233</v>
      </c>
      <c r="L2707" t="s">
        <v>3342</v>
      </c>
      <c r="N2707" t="s">
        <v>3400</v>
      </c>
      <c r="O2707" t="s">
        <v>3401</v>
      </c>
      <c r="P2707">
        <v>41279771</v>
      </c>
    </row>
    <row r="2708" spans="1:16">
      <c r="A2708" t="s">
        <v>131</v>
      </c>
      <c r="B2708">
        <v>1</v>
      </c>
      <c r="E2708" t="s">
        <v>3395</v>
      </c>
      <c r="F2708" t="s">
        <v>3396</v>
      </c>
      <c r="G2708" t="s">
        <v>3397</v>
      </c>
      <c r="I2708" t="s">
        <v>3338</v>
      </c>
      <c r="J2708" t="s">
        <v>2232</v>
      </c>
      <c r="K2708" t="s">
        <v>2233</v>
      </c>
      <c r="L2708" t="s">
        <v>3342</v>
      </c>
      <c r="N2708" t="s">
        <v>3402</v>
      </c>
      <c r="O2708" t="s">
        <v>3403</v>
      </c>
      <c r="P2708">
        <v>41279771</v>
      </c>
    </row>
    <row r="2709" spans="1:16">
      <c r="A2709" t="s">
        <v>131</v>
      </c>
      <c r="B2709">
        <v>1</v>
      </c>
      <c r="E2709" t="s">
        <v>3395</v>
      </c>
      <c r="F2709" t="s">
        <v>3396</v>
      </c>
      <c r="G2709" t="s">
        <v>3397</v>
      </c>
      <c r="I2709" t="s">
        <v>3338</v>
      </c>
      <c r="J2709" t="s">
        <v>2232</v>
      </c>
      <c r="K2709" t="s">
        <v>2233</v>
      </c>
      <c r="L2709" t="s">
        <v>3342</v>
      </c>
      <c r="N2709" t="s">
        <v>3404</v>
      </c>
      <c r="O2709" t="s">
        <v>3405</v>
      </c>
      <c r="P2709">
        <v>41279771</v>
      </c>
    </row>
    <row r="2710" spans="1:16">
      <c r="A2710" t="s">
        <v>131</v>
      </c>
      <c r="B2710">
        <v>0</v>
      </c>
      <c r="G2710" t="s">
        <v>3338</v>
      </c>
      <c r="I2710" t="s">
        <v>3338</v>
      </c>
      <c r="N2710" t="s">
        <v>3406</v>
      </c>
      <c r="O2710" t="s">
        <v>3407</v>
      </c>
      <c r="P2710">
        <v>41279771</v>
      </c>
    </row>
    <row r="2711" spans="1:16">
      <c r="A2711" t="s">
        <v>131</v>
      </c>
      <c r="B2711">
        <v>1</v>
      </c>
      <c r="E2711" t="s">
        <v>3406</v>
      </c>
      <c r="F2711" t="s">
        <v>3407</v>
      </c>
      <c r="G2711" t="s">
        <v>3408</v>
      </c>
      <c r="I2711" t="s">
        <v>3338</v>
      </c>
      <c r="J2711" t="s">
        <v>2421</v>
      </c>
      <c r="K2711" t="s">
        <v>3354</v>
      </c>
      <c r="L2711" t="s">
        <v>3369</v>
      </c>
      <c r="N2711" t="s">
        <v>3409</v>
      </c>
      <c r="O2711" t="s">
        <v>3410</v>
      </c>
      <c r="P2711">
        <v>41279771</v>
      </c>
    </row>
    <row r="2712" spans="1:16">
      <c r="A2712" t="s">
        <v>131</v>
      </c>
      <c r="B2712">
        <v>1</v>
      </c>
      <c r="E2712" t="s">
        <v>3406</v>
      </c>
      <c r="F2712" t="s">
        <v>3407</v>
      </c>
      <c r="G2712" t="s">
        <v>3408</v>
      </c>
      <c r="I2712" t="s">
        <v>3338</v>
      </c>
      <c r="L2712" t="s">
        <v>193</v>
      </c>
      <c r="N2712" t="s">
        <v>3411</v>
      </c>
      <c r="O2712" t="s">
        <v>3412</v>
      </c>
      <c r="P2712">
        <v>41279771</v>
      </c>
    </row>
    <row r="2713" spans="1:16">
      <c r="A2713" t="s">
        <v>131</v>
      </c>
      <c r="B2713">
        <v>2</v>
      </c>
      <c r="E2713" t="s">
        <v>3411</v>
      </c>
      <c r="F2713" t="s">
        <v>3412</v>
      </c>
      <c r="G2713" t="s">
        <v>3413</v>
      </c>
      <c r="I2713" t="s">
        <v>3338</v>
      </c>
      <c r="J2713" t="s">
        <v>2232</v>
      </c>
      <c r="K2713" t="s">
        <v>2233</v>
      </c>
      <c r="L2713" t="s">
        <v>3342</v>
      </c>
      <c r="N2713" t="s">
        <v>3414</v>
      </c>
      <c r="O2713" t="s">
        <v>3415</v>
      </c>
      <c r="P2713">
        <v>41279771</v>
      </c>
    </row>
    <row r="2714" spans="1:16">
      <c r="A2714" t="s">
        <v>131</v>
      </c>
      <c r="B2714">
        <v>2</v>
      </c>
      <c r="E2714" t="s">
        <v>3411</v>
      </c>
      <c r="F2714" t="s">
        <v>3412</v>
      </c>
      <c r="G2714" t="s">
        <v>3413</v>
      </c>
      <c r="I2714" t="s">
        <v>3338</v>
      </c>
      <c r="J2714" t="s">
        <v>2232</v>
      </c>
      <c r="K2714" t="s">
        <v>2233</v>
      </c>
      <c r="L2714" t="s">
        <v>3342</v>
      </c>
      <c r="N2714" t="s">
        <v>3416</v>
      </c>
      <c r="O2714" t="s">
        <v>3417</v>
      </c>
      <c r="P2714">
        <v>41279771</v>
      </c>
    </row>
    <row r="2715" spans="1:16">
      <c r="A2715" t="s">
        <v>131</v>
      </c>
      <c r="B2715">
        <v>2</v>
      </c>
      <c r="E2715" t="s">
        <v>3411</v>
      </c>
      <c r="F2715" t="s">
        <v>3412</v>
      </c>
      <c r="G2715" t="s">
        <v>3413</v>
      </c>
      <c r="I2715" t="s">
        <v>3338</v>
      </c>
      <c r="J2715" t="s">
        <v>2232</v>
      </c>
      <c r="K2715" t="s">
        <v>2233</v>
      </c>
      <c r="L2715" t="s">
        <v>3342</v>
      </c>
      <c r="N2715" t="s">
        <v>3418</v>
      </c>
      <c r="O2715" t="s">
        <v>3419</v>
      </c>
      <c r="P2715">
        <v>41279771</v>
      </c>
    </row>
    <row r="2716" spans="1:16">
      <c r="A2716" t="s">
        <v>131</v>
      </c>
      <c r="B2716">
        <v>2</v>
      </c>
      <c r="E2716" t="s">
        <v>3411</v>
      </c>
      <c r="F2716" t="s">
        <v>3412</v>
      </c>
      <c r="G2716" t="s">
        <v>3413</v>
      </c>
      <c r="I2716" t="s">
        <v>3338</v>
      </c>
      <c r="J2716" t="s">
        <v>2232</v>
      </c>
      <c r="K2716" t="s">
        <v>2233</v>
      </c>
      <c r="L2716" t="s">
        <v>3342</v>
      </c>
      <c r="N2716" t="s">
        <v>3420</v>
      </c>
      <c r="O2716" t="s">
        <v>3421</v>
      </c>
      <c r="P2716">
        <v>41279771</v>
      </c>
    </row>
    <row r="2717" spans="1:16">
      <c r="A2717" t="s">
        <v>131</v>
      </c>
      <c r="B2717">
        <v>2</v>
      </c>
      <c r="E2717" t="s">
        <v>3411</v>
      </c>
      <c r="F2717" t="s">
        <v>3412</v>
      </c>
      <c r="G2717" t="s">
        <v>3413</v>
      </c>
      <c r="I2717" t="s">
        <v>3338</v>
      </c>
      <c r="J2717" t="s">
        <v>2232</v>
      </c>
      <c r="K2717" t="s">
        <v>2233</v>
      </c>
      <c r="L2717" t="s">
        <v>3342</v>
      </c>
      <c r="N2717" t="s">
        <v>3422</v>
      </c>
      <c r="O2717" t="s">
        <v>3423</v>
      </c>
      <c r="P2717">
        <v>41279771</v>
      </c>
    </row>
    <row r="2718" spans="1:16">
      <c r="A2718" t="s">
        <v>131</v>
      </c>
      <c r="B2718">
        <v>0</v>
      </c>
      <c r="G2718" t="s">
        <v>3338</v>
      </c>
      <c r="I2718" t="s">
        <v>3338</v>
      </c>
      <c r="N2718" t="s">
        <v>3424</v>
      </c>
      <c r="O2718" t="s">
        <v>3425</v>
      </c>
      <c r="P2718">
        <v>41279771</v>
      </c>
    </row>
    <row r="2719" spans="1:16">
      <c r="A2719" t="s">
        <v>131</v>
      </c>
      <c r="B2719">
        <v>1</v>
      </c>
      <c r="E2719" t="s">
        <v>3424</v>
      </c>
      <c r="F2719" t="s">
        <v>3425</v>
      </c>
      <c r="G2719" t="s">
        <v>3426</v>
      </c>
      <c r="I2719" t="s">
        <v>3338</v>
      </c>
      <c r="J2719" t="s">
        <v>2421</v>
      </c>
      <c r="K2719" t="s">
        <v>3354</v>
      </c>
      <c r="L2719" t="s">
        <v>3369</v>
      </c>
      <c r="N2719" t="s">
        <v>3427</v>
      </c>
      <c r="O2719" t="s">
        <v>3428</v>
      </c>
      <c r="P2719">
        <v>41279771</v>
      </c>
    </row>
    <row r="2720" spans="1:16">
      <c r="A2720" t="s">
        <v>131</v>
      </c>
      <c r="B2720">
        <v>1</v>
      </c>
      <c r="E2720" t="s">
        <v>3424</v>
      </c>
      <c r="F2720" t="s">
        <v>3425</v>
      </c>
      <c r="G2720" t="s">
        <v>3426</v>
      </c>
      <c r="I2720" t="s">
        <v>3338</v>
      </c>
      <c r="J2720" t="s">
        <v>2421</v>
      </c>
      <c r="K2720" t="s">
        <v>3354</v>
      </c>
      <c r="L2720" t="s">
        <v>3369</v>
      </c>
      <c r="N2720" t="s">
        <v>3429</v>
      </c>
      <c r="O2720" t="s">
        <v>3430</v>
      </c>
      <c r="P2720">
        <v>41279771</v>
      </c>
    </row>
    <row r="2721" spans="1:16">
      <c r="A2721" t="s">
        <v>131</v>
      </c>
      <c r="B2721">
        <v>1</v>
      </c>
      <c r="E2721" t="s">
        <v>3424</v>
      </c>
      <c r="F2721" t="s">
        <v>3425</v>
      </c>
      <c r="G2721" t="s">
        <v>3426</v>
      </c>
      <c r="I2721" t="s">
        <v>3338</v>
      </c>
      <c r="J2721" t="s">
        <v>2232</v>
      </c>
      <c r="K2721" t="s">
        <v>2233</v>
      </c>
      <c r="L2721" t="s">
        <v>3342</v>
      </c>
      <c r="N2721" t="s">
        <v>3431</v>
      </c>
      <c r="O2721" t="s">
        <v>3432</v>
      </c>
      <c r="P2721">
        <v>41279771</v>
      </c>
    </row>
    <row r="2722" spans="1:16">
      <c r="A2722" t="s">
        <v>131</v>
      </c>
      <c r="B2722">
        <v>0</v>
      </c>
      <c r="G2722" t="s">
        <v>3338</v>
      </c>
      <c r="I2722" t="s">
        <v>3338</v>
      </c>
      <c r="N2722" t="s">
        <v>3433</v>
      </c>
      <c r="O2722" t="s">
        <v>3434</v>
      </c>
      <c r="P2722">
        <v>41279771</v>
      </c>
    </row>
    <row r="2723" spans="1:16">
      <c r="A2723" t="s">
        <v>131</v>
      </c>
      <c r="B2723">
        <v>1</v>
      </c>
      <c r="E2723" t="s">
        <v>3433</v>
      </c>
      <c r="F2723" t="s">
        <v>3434</v>
      </c>
      <c r="G2723" t="s">
        <v>3435</v>
      </c>
      <c r="I2723" t="s">
        <v>3338</v>
      </c>
      <c r="J2723" t="s">
        <v>2232</v>
      </c>
      <c r="K2723" t="s">
        <v>2233</v>
      </c>
      <c r="L2723" t="s">
        <v>3342</v>
      </c>
      <c r="N2723" t="s">
        <v>3436</v>
      </c>
      <c r="O2723" t="s">
        <v>3437</v>
      </c>
      <c r="P2723">
        <v>41279771</v>
      </c>
    </row>
    <row r="2724" spans="1:16">
      <c r="A2724" t="s">
        <v>131</v>
      </c>
      <c r="B2724">
        <v>1</v>
      </c>
      <c r="E2724" t="s">
        <v>3433</v>
      </c>
      <c r="F2724" t="s">
        <v>3434</v>
      </c>
      <c r="G2724" t="s">
        <v>3435</v>
      </c>
      <c r="I2724" t="s">
        <v>3338</v>
      </c>
      <c r="J2724" t="s">
        <v>2232</v>
      </c>
      <c r="K2724" t="s">
        <v>2233</v>
      </c>
      <c r="L2724" t="s">
        <v>3342</v>
      </c>
      <c r="N2724" t="s">
        <v>3438</v>
      </c>
      <c r="O2724" t="s">
        <v>3439</v>
      </c>
      <c r="P2724">
        <v>41279771</v>
      </c>
    </row>
    <row r="2725" spans="1:16">
      <c r="A2725" t="s">
        <v>131</v>
      </c>
      <c r="B2725">
        <v>1</v>
      </c>
      <c r="E2725" t="s">
        <v>3433</v>
      </c>
      <c r="F2725" t="s">
        <v>3434</v>
      </c>
      <c r="G2725" t="s">
        <v>3435</v>
      </c>
      <c r="I2725" t="s">
        <v>3338</v>
      </c>
      <c r="J2725" t="s">
        <v>2232</v>
      </c>
      <c r="K2725" t="s">
        <v>2233</v>
      </c>
      <c r="L2725" t="s">
        <v>3342</v>
      </c>
      <c r="N2725" t="s">
        <v>3440</v>
      </c>
      <c r="O2725" t="s">
        <v>3441</v>
      </c>
      <c r="P2725">
        <v>41279771</v>
      </c>
    </row>
    <row r="2726" spans="1:16">
      <c r="A2726" t="s">
        <v>131</v>
      </c>
      <c r="B2726">
        <v>1</v>
      </c>
      <c r="E2726" t="s">
        <v>3433</v>
      </c>
      <c r="F2726" t="s">
        <v>3434</v>
      </c>
      <c r="G2726" t="s">
        <v>3435</v>
      </c>
      <c r="I2726" t="s">
        <v>3338</v>
      </c>
      <c r="J2726" t="s">
        <v>2232</v>
      </c>
      <c r="K2726" t="s">
        <v>2233</v>
      </c>
      <c r="L2726" t="s">
        <v>3342</v>
      </c>
      <c r="N2726" t="s">
        <v>3442</v>
      </c>
      <c r="O2726" t="s">
        <v>3443</v>
      </c>
      <c r="P2726">
        <v>41279771</v>
      </c>
    </row>
    <row r="2727" spans="1:16">
      <c r="A2727" t="s">
        <v>131</v>
      </c>
      <c r="B2727">
        <v>1</v>
      </c>
      <c r="E2727" t="s">
        <v>3433</v>
      </c>
      <c r="F2727" t="s">
        <v>3434</v>
      </c>
      <c r="G2727" t="s">
        <v>3435</v>
      </c>
      <c r="I2727" t="s">
        <v>3338</v>
      </c>
      <c r="J2727" t="s">
        <v>2232</v>
      </c>
      <c r="K2727" t="s">
        <v>2233</v>
      </c>
      <c r="L2727" t="s">
        <v>3342</v>
      </c>
      <c r="N2727" t="s">
        <v>3444</v>
      </c>
      <c r="O2727" t="s">
        <v>3445</v>
      </c>
      <c r="P2727">
        <v>41279771</v>
      </c>
    </row>
    <row r="2728" spans="1:16">
      <c r="A2728" t="s">
        <v>131</v>
      </c>
      <c r="B2728">
        <v>1</v>
      </c>
      <c r="E2728" t="s">
        <v>3433</v>
      </c>
      <c r="F2728" t="s">
        <v>3434</v>
      </c>
      <c r="G2728" t="s">
        <v>3435</v>
      </c>
      <c r="I2728" t="s">
        <v>3338</v>
      </c>
      <c r="J2728" t="s">
        <v>2232</v>
      </c>
      <c r="K2728" t="s">
        <v>2233</v>
      </c>
      <c r="L2728" t="s">
        <v>3342</v>
      </c>
      <c r="N2728" t="s">
        <v>3446</v>
      </c>
      <c r="O2728" t="s">
        <v>3447</v>
      </c>
      <c r="P2728">
        <v>41279771</v>
      </c>
    </row>
    <row r="2729" spans="1:16">
      <c r="A2729" t="s">
        <v>131</v>
      </c>
      <c r="B2729">
        <v>0</v>
      </c>
      <c r="G2729" t="s">
        <v>3338</v>
      </c>
      <c r="I2729" t="s">
        <v>3338</v>
      </c>
      <c r="N2729" t="s">
        <v>3448</v>
      </c>
      <c r="O2729" t="s">
        <v>3449</v>
      </c>
      <c r="P2729">
        <v>41279771</v>
      </c>
    </row>
    <row r="2730" spans="1:16">
      <c r="A2730" t="s">
        <v>131</v>
      </c>
      <c r="B2730">
        <v>1</v>
      </c>
      <c r="E2730" t="s">
        <v>3448</v>
      </c>
      <c r="F2730" t="s">
        <v>3449</v>
      </c>
      <c r="G2730" t="s">
        <v>3450</v>
      </c>
      <c r="I2730" t="s">
        <v>3338</v>
      </c>
      <c r="J2730" t="s">
        <v>2421</v>
      </c>
      <c r="K2730" t="s">
        <v>3354</v>
      </c>
      <c r="L2730" t="s">
        <v>3451</v>
      </c>
      <c r="N2730" t="s">
        <v>3452</v>
      </c>
      <c r="O2730" t="s">
        <v>3453</v>
      </c>
      <c r="P2730">
        <v>41279771</v>
      </c>
    </row>
    <row r="2731" spans="1:16">
      <c r="A2731" t="s">
        <v>133</v>
      </c>
      <c r="B2731">
        <v>0</v>
      </c>
      <c r="G2731" t="s">
        <v>3338</v>
      </c>
      <c r="I2731" t="s">
        <v>3338</v>
      </c>
      <c r="N2731" t="s">
        <v>3339</v>
      </c>
      <c r="O2731" t="s">
        <v>3340</v>
      </c>
      <c r="P2731">
        <v>40500959</v>
      </c>
    </row>
    <row r="2732" spans="1:16">
      <c r="A2732" t="s">
        <v>133</v>
      </c>
      <c r="B2732">
        <v>1</v>
      </c>
      <c r="E2732" t="s">
        <v>3339</v>
      </c>
      <c r="F2732" t="s">
        <v>3340</v>
      </c>
      <c r="G2732" t="s">
        <v>3341</v>
      </c>
      <c r="I2732" t="s">
        <v>3338</v>
      </c>
      <c r="J2732" t="s">
        <v>2232</v>
      </c>
      <c r="K2732" t="s">
        <v>2233</v>
      </c>
      <c r="L2732" t="s">
        <v>3342</v>
      </c>
      <c r="N2732" t="s">
        <v>3343</v>
      </c>
      <c r="O2732" t="s">
        <v>3344</v>
      </c>
      <c r="P2732">
        <v>40500959</v>
      </c>
    </row>
    <row r="2733" spans="1:16">
      <c r="A2733" t="s">
        <v>133</v>
      </c>
      <c r="B2733">
        <v>1</v>
      </c>
      <c r="E2733" t="s">
        <v>3339</v>
      </c>
      <c r="F2733" t="s">
        <v>3340</v>
      </c>
      <c r="G2733" t="s">
        <v>3341</v>
      </c>
      <c r="I2733" t="s">
        <v>3338</v>
      </c>
      <c r="J2733" t="s">
        <v>2232</v>
      </c>
      <c r="K2733" t="s">
        <v>2233</v>
      </c>
      <c r="L2733" t="s">
        <v>3342</v>
      </c>
      <c r="N2733" t="s">
        <v>3345</v>
      </c>
      <c r="O2733" t="s">
        <v>3346</v>
      </c>
      <c r="P2733">
        <v>40500959</v>
      </c>
    </row>
    <row r="2734" spans="1:16">
      <c r="A2734" t="s">
        <v>133</v>
      </c>
      <c r="B2734">
        <v>0</v>
      </c>
      <c r="G2734" t="s">
        <v>3338</v>
      </c>
      <c r="I2734" t="s">
        <v>3338</v>
      </c>
      <c r="N2734" t="s">
        <v>3347</v>
      </c>
      <c r="O2734" t="s">
        <v>3344</v>
      </c>
      <c r="P2734">
        <v>40500959</v>
      </c>
    </row>
    <row r="2735" spans="1:16">
      <c r="A2735" t="s">
        <v>133</v>
      </c>
      <c r="B2735">
        <v>1</v>
      </c>
      <c r="E2735" t="s">
        <v>3347</v>
      </c>
      <c r="F2735" t="s">
        <v>3344</v>
      </c>
      <c r="G2735" t="s">
        <v>3348</v>
      </c>
      <c r="I2735" t="s">
        <v>3338</v>
      </c>
      <c r="J2735" t="s">
        <v>2232</v>
      </c>
      <c r="K2735" t="s">
        <v>2233</v>
      </c>
      <c r="L2735" t="s">
        <v>3342</v>
      </c>
      <c r="N2735" t="s">
        <v>3349</v>
      </c>
      <c r="O2735" t="s">
        <v>3350</v>
      </c>
      <c r="P2735">
        <v>40500959</v>
      </c>
    </row>
    <row r="2736" spans="1:16">
      <c r="A2736" t="s">
        <v>133</v>
      </c>
      <c r="B2736">
        <v>1</v>
      </c>
      <c r="E2736" t="s">
        <v>3347</v>
      </c>
      <c r="F2736" t="s">
        <v>3344</v>
      </c>
      <c r="G2736" t="s">
        <v>3348</v>
      </c>
      <c r="I2736" t="s">
        <v>3338</v>
      </c>
      <c r="L2736" t="s">
        <v>193</v>
      </c>
      <c r="N2736" t="s">
        <v>3351</v>
      </c>
      <c r="O2736" t="s">
        <v>3352</v>
      </c>
      <c r="P2736">
        <v>40500959</v>
      </c>
    </row>
    <row r="2737" spans="1:16">
      <c r="A2737" t="s">
        <v>133</v>
      </c>
      <c r="B2737">
        <v>2</v>
      </c>
      <c r="E2737" t="s">
        <v>3351</v>
      </c>
      <c r="F2737" t="s">
        <v>3352</v>
      </c>
      <c r="G2737" t="s">
        <v>3353</v>
      </c>
      <c r="I2737" t="s">
        <v>3338</v>
      </c>
      <c r="J2737" t="s">
        <v>2421</v>
      </c>
      <c r="K2737" t="s">
        <v>3354</v>
      </c>
      <c r="L2737" t="s">
        <v>3355</v>
      </c>
      <c r="N2737" t="s">
        <v>3356</v>
      </c>
      <c r="O2737" t="s">
        <v>3357</v>
      </c>
      <c r="P2737">
        <v>40500959</v>
      </c>
    </row>
    <row r="2738" spans="1:16">
      <c r="A2738" t="s">
        <v>133</v>
      </c>
      <c r="B2738">
        <v>2</v>
      </c>
      <c r="E2738" t="s">
        <v>3351</v>
      </c>
      <c r="F2738" t="s">
        <v>3352</v>
      </c>
      <c r="G2738" t="s">
        <v>3353</v>
      </c>
      <c r="I2738" t="s">
        <v>3338</v>
      </c>
      <c r="J2738" t="s">
        <v>2421</v>
      </c>
      <c r="K2738" t="s">
        <v>3354</v>
      </c>
      <c r="L2738" t="s">
        <v>3355</v>
      </c>
      <c r="N2738" t="s">
        <v>3358</v>
      </c>
      <c r="O2738" t="s">
        <v>3359</v>
      </c>
      <c r="P2738">
        <v>40500959</v>
      </c>
    </row>
    <row r="2739" spans="1:16">
      <c r="A2739" t="s">
        <v>133</v>
      </c>
      <c r="B2739">
        <v>2</v>
      </c>
      <c r="E2739" t="s">
        <v>3351</v>
      </c>
      <c r="F2739" t="s">
        <v>3352</v>
      </c>
      <c r="G2739" t="s">
        <v>3353</v>
      </c>
      <c r="I2739" t="s">
        <v>3338</v>
      </c>
      <c r="J2739" t="s">
        <v>2421</v>
      </c>
      <c r="K2739" t="s">
        <v>3354</v>
      </c>
      <c r="L2739" t="s">
        <v>3355</v>
      </c>
      <c r="N2739" t="s">
        <v>3360</v>
      </c>
      <c r="O2739" t="s">
        <v>3361</v>
      </c>
      <c r="P2739">
        <v>40500959</v>
      </c>
    </row>
    <row r="2740" spans="1:16">
      <c r="A2740" t="s">
        <v>133</v>
      </c>
      <c r="B2740">
        <v>1</v>
      </c>
      <c r="E2740" t="s">
        <v>3347</v>
      </c>
      <c r="F2740" t="s">
        <v>3344</v>
      </c>
      <c r="G2740" t="s">
        <v>3348</v>
      </c>
      <c r="I2740" t="s">
        <v>3338</v>
      </c>
      <c r="J2740" t="s">
        <v>2236</v>
      </c>
      <c r="K2740" t="s">
        <v>3362</v>
      </c>
      <c r="L2740" t="s">
        <v>3363</v>
      </c>
      <c r="N2740" t="s">
        <v>3364</v>
      </c>
      <c r="O2740" t="s">
        <v>3365</v>
      </c>
      <c r="P2740">
        <v>40500959</v>
      </c>
    </row>
    <row r="2741" spans="1:16">
      <c r="A2741" t="s">
        <v>133</v>
      </c>
      <c r="B2741">
        <v>1</v>
      </c>
      <c r="E2741" t="s">
        <v>3347</v>
      </c>
      <c r="F2741" t="s">
        <v>3344</v>
      </c>
      <c r="G2741" t="s">
        <v>3348</v>
      </c>
      <c r="I2741" t="s">
        <v>3338</v>
      </c>
      <c r="L2741" t="s">
        <v>193</v>
      </c>
      <c r="N2741" t="s">
        <v>3366</v>
      </c>
      <c r="O2741" t="s">
        <v>3367</v>
      </c>
      <c r="P2741">
        <v>40500959</v>
      </c>
    </row>
    <row r="2742" spans="1:16">
      <c r="A2742" t="s">
        <v>133</v>
      </c>
      <c r="B2742">
        <v>2</v>
      </c>
      <c r="E2742" t="s">
        <v>3366</v>
      </c>
      <c r="F2742" t="s">
        <v>3367</v>
      </c>
      <c r="G2742" t="s">
        <v>3368</v>
      </c>
      <c r="I2742" t="s">
        <v>3338</v>
      </c>
      <c r="J2742" t="s">
        <v>2421</v>
      </c>
      <c r="K2742" t="s">
        <v>3354</v>
      </c>
      <c r="L2742" t="s">
        <v>3369</v>
      </c>
      <c r="N2742" t="s">
        <v>3370</v>
      </c>
      <c r="O2742" t="s">
        <v>3359</v>
      </c>
      <c r="P2742">
        <v>40500959</v>
      </c>
    </row>
    <row r="2743" spans="1:16">
      <c r="A2743" t="s">
        <v>133</v>
      </c>
      <c r="B2743">
        <v>2</v>
      </c>
      <c r="E2743" t="s">
        <v>3366</v>
      </c>
      <c r="F2743" t="s">
        <v>3367</v>
      </c>
      <c r="G2743" t="s">
        <v>3368</v>
      </c>
      <c r="I2743" t="s">
        <v>3338</v>
      </c>
      <c r="J2743" t="s">
        <v>2421</v>
      </c>
      <c r="K2743" t="s">
        <v>3354</v>
      </c>
      <c r="L2743" t="s">
        <v>3369</v>
      </c>
      <c r="N2743" t="s">
        <v>3371</v>
      </c>
      <c r="O2743" t="s">
        <v>3372</v>
      </c>
      <c r="P2743">
        <v>40500959</v>
      </c>
    </row>
    <row r="2744" spans="1:16">
      <c r="A2744" t="s">
        <v>133</v>
      </c>
      <c r="B2744">
        <v>2</v>
      </c>
      <c r="E2744" t="s">
        <v>3366</v>
      </c>
      <c r="F2744" t="s">
        <v>3367</v>
      </c>
      <c r="G2744" t="s">
        <v>3368</v>
      </c>
      <c r="I2744" t="s">
        <v>3338</v>
      </c>
      <c r="J2744" t="s">
        <v>2421</v>
      </c>
      <c r="K2744" t="s">
        <v>3354</v>
      </c>
      <c r="L2744" t="s">
        <v>3369</v>
      </c>
      <c r="N2744" t="s">
        <v>3373</v>
      </c>
      <c r="O2744" t="s">
        <v>3374</v>
      </c>
      <c r="P2744">
        <v>40500959</v>
      </c>
    </row>
    <row r="2745" spans="1:16">
      <c r="A2745" t="s">
        <v>133</v>
      </c>
      <c r="B2745">
        <v>2</v>
      </c>
      <c r="E2745" t="s">
        <v>3366</v>
      </c>
      <c r="F2745" t="s">
        <v>3367</v>
      </c>
      <c r="G2745" t="s">
        <v>3368</v>
      </c>
      <c r="I2745" t="s">
        <v>3338</v>
      </c>
      <c r="J2745" t="s">
        <v>2236</v>
      </c>
      <c r="K2745" t="s">
        <v>3362</v>
      </c>
      <c r="L2745" t="s">
        <v>3363</v>
      </c>
      <c r="N2745" t="s">
        <v>3375</v>
      </c>
      <c r="O2745" t="s">
        <v>3376</v>
      </c>
      <c r="P2745">
        <v>40500959</v>
      </c>
    </row>
    <row r="2746" spans="1:16">
      <c r="A2746" t="s">
        <v>133</v>
      </c>
      <c r="B2746">
        <v>1</v>
      </c>
      <c r="E2746" t="s">
        <v>3347</v>
      </c>
      <c r="F2746" t="s">
        <v>3344</v>
      </c>
      <c r="G2746" t="s">
        <v>3348</v>
      </c>
      <c r="I2746" t="s">
        <v>3338</v>
      </c>
      <c r="J2746" t="s">
        <v>2232</v>
      </c>
      <c r="K2746" t="s">
        <v>2233</v>
      </c>
      <c r="L2746" t="s">
        <v>3342</v>
      </c>
      <c r="N2746" t="s">
        <v>3454</v>
      </c>
      <c r="O2746" t="s">
        <v>3455</v>
      </c>
      <c r="P2746">
        <v>40500959</v>
      </c>
    </row>
    <row r="2747" spans="1:16">
      <c r="A2747" t="s">
        <v>133</v>
      </c>
      <c r="B2747">
        <v>0</v>
      </c>
      <c r="G2747" t="s">
        <v>3338</v>
      </c>
      <c r="I2747" t="s">
        <v>3338</v>
      </c>
      <c r="N2747" t="s">
        <v>3377</v>
      </c>
      <c r="O2747" t="s">
        <v>3346</v>
      </c>
      <c r="P2747">
        <v>40500959</v>
      </c>
    </row>
    <row r="2748" spans="1:16">
      <c r="A2748" t="s">
        <v>133</v>
      </c>
      <c r="B2748">
        <v>1</v>
      </c>
      <c r="E2748" t="s">
        <v>3377</v>
      </c>
      <c r="F2748" t="s">
        <v>3346</v>
      </c>
      <c r="G2748" t="s">
        <v>3378</v>
      </c>
      <c r="I2748" t="s">
        <v>3338</v>
      </c>
      <c r="L2748" t="s">
        <v>193</v>
      </c>
      <c r="N2748" t="s">
        <v>3379</v>
      </c>
      <c r="O2748" t="s">
        <v>3380</v>
      </c>
      <c r="P2748">
        <v>40500959</v>
      </c>
    </row>
    <row r="2749" spans="1:16">
      <c r="A2749" t="s">
        <v>133</v>
      </c>
      <c r="B2749">
        <v>2</v>
      </c>
      <c r="E2749" t="s">
        <v>3379</v>
      </c>
      <c r="F2749" t="s">
        <v>3380</v>
      </c>
      <c r="G2749" t="s">
        <v>3381</v>
      </c>
      <c r="I2749" t="s">
        <v>3338</v>
      </c>
      <c r="J2749" t="s">
        <v>2421</v>
      </c>
      <c r="K2749" t="s">
        <v>3354</v>
      </c>
      <c r="L2749" t="s">
        <v>3369</v>
      </c>
      <c r="N2749" t="s">
        <v>3382</v>
      </c>
      <c r="O2749" t="s">
        <v>3352</v>
      </c>
      <c r="P2749">
        <v>40500959</v>
      </c>
    </row>
    <row r="2750" spans="1:16">
      <c r="A2750" t="s">
        <v>133</v>
      </c>
      <c r="B2750">
        <v>2</v>
      </c>
      <c r="E2750" t="s">
        <v>3379</v>
      </c>
      <c r="F2750" t="s">
        <v>3380</v>
      </c>
      <c r="G2750" t="s">
        <v>3381</v>
      </c>
      <c r="I2750" t="s">
        <v>3338</v>
      </c>
      <c r="L2750" t="s">
        <v>3383</v>
      </c>
      <c r="N2750" t="s">
        <v>3384</v>
      </c>
      <c r="O2750" t="s">
        <v>3385</v>
      </c>
      <c r="P2750">
        <v>40500959</v>
      </c>
    </row>
    <row r="2751" spans="1:16">
      <c r="A2751" t="s">
        <v>133</v>
      </c>
      <c r="B2751">
        <v>2</v>
      </c>
      <c r="E2751" t="s">
        <v>3379</v>
      </c>
      <c r="F2751" t="s">
        <v>3380</v>
      </c>
      <c r="G2751" t="s">
        <v>3381</v>
      </c>
      <c r="I2751" t="s">
        <v>3338</v>
      </c>
      <c r="J2751" t="s">
        <v>2232</v>
      </c>
      <c r="K2751" t="s">
        <v>2233</v>
      </c>
      <c r="L2751" t="s">
        <v>3342</v>
      </c>
      <c r="N2751" t="s">
        <v>3386</v>
      </c>
      <c r="O2751" t="s">
        <v>3350</v>
      </c>
      <c r="P2751">
        <v>40500959</v>
      </c>
    </row>
    <row r="2752" spans="1:16">
      <c r="A2752" t="s">
        <v>133</v>
      </c>
      <c r="B2752">
        <v>0</v>
      </c>
      <c r="G2752" t="s">
        <v>3338</v>
      </c>
      <c r="I2752" t="s">
        <v>3338</v>
      </c>
      <c r="N2752" t="s">
        <v>3395</v>
      </c>
      <c r="O2752" t="s">
        <v>3396</v>
      </c>
      <c r="P2752">
        <v>40500959</v>
      </c>
    </row>
    <row r="2753" spans="1:16">
      <c r="A2753" t="s">
        <v>133</v>
      </c>
      <c r="B2753">
        <v>1</v>
      </c>
      <c r="E2753" t="s">
        <v>3395</v>
      </c>
      <c r="F2753" t="s">
        <v>3396</v>
      </c>
      <c r="G2753" t="s">
        <v>3397</v>
      </c>
      <c r="I2753" t="s">
        <v>3338</v>
      </c>
      <c r="L2753" t="s">
        <v>3342</v>
      </c>
      <c r="N2753" t="s">
        <v>3398</v>
      </c>
      <c r="O2753" t="s">
        <v>3399</v>
      </c>
      <c r="P2753">
        <v>40500959</v>
      </c>
    </row>
    <row r="2754" spans="1:16">
      <c r="A2754" t="s">
        <v>133</v>
      </c>
      <c r="B2754">
        <v>1</v>
      </c>
      <c r="E2754" t="s">
        <v>3395</v>
      </c>
      <c r="F2754" t="s">
        <v>3396</v>
      </c>
      <c r="G2754" t="s">
        <v>3397</v>
      </c>
      <c r="I2754" t="s">
        <v>3338</v>
      </c>
      <c r="J2754" t="s">
        <v>2232</v>
      </c>
      <c r="K2754" t="s">
        <v>2233</v>
      </c>
      <c r="L2754" t="s">
        <v>3342</v>
      </c>
      <c r="N2754" t="s">
        <v>3400</v>
      </c>
      <c r="O2754" t="s">
        <v>3401</v>
      </c>
      <c r="P2754">
        <v>40500959</v>
      </c>
    </row>
    <row r="2755" spans="1:16">
      <c r="A2755" t="s">
        <v>133</v>
      </c>
      <c r="B2755">
        <v>1</v>
      </c>
      <c r="E2755" t="s">
        <v>3395</v>
      </c>
      <c r="F2755" t="s">
        <v>3396</v>
      </c>
      <c r="G2755" t="s">
        <v>3397</v>
      </c>
      <c r="I2755" t="s">
        <v>3338</v>
      </c>
      <c r="J2755" t="s">
        <v>2232</v>
      </c>
      <c r="K2755" t="s">
        <v>2233</v>
      </c>
      <c r="L2755" t="s">
        <v>3342</v>
      </c>
      <c r="N2755" t="s">
        <v>3402</v>
      </c>
      <c r="O2755" t="s">
        <v>3403</v>
      </c>
      <c r="P2755">
        <v>40500959</v>
      </c>
    </row>
    <row r="2756" spans="1:16">
      <c r="A2756" t="s">
        <v>133</v>
      </c>
      <c r="B2756">
        <v>1</v>
      </c>
      <c r="E2756" t="s">
        <v>3395</v>
      </c>
      <c r="F2756" t="s">
        <v>3396</v>
      </c>
      <c r="G2756" t="s">
        <v>3397</v>
      </c>
      <c r="I2756" t="s">
        <v>3338</v>
      </c>
      <c r="J2756" t="s">
        <v>2232</v>
      </c>
      <c r="K2756" t="s">
        <v>2233</v>
      </c>
      <c r="L2756" t="s">
        <v>3342</v>
      </c>
      <c r="N2756" t="s">
        <v>3404</v>
      </c>
      <c r="O2756" t="s">
        <v>3405</v>
      </c>
      <c r="P2756">
        <v>40500959</v>
      </c>
    </row>
    <row r="2757" spans="1:16">
      <c r="A2757" t="s">
        <v>133</v>
      </c>
      <c r="B2757">
        <v>0</v>
      </c>
      <c r="G2757" t="s">
        <v>3338</v>
      </c>
      <c r="I2757" t="s">
        <v>3338</v>
      </c>
      <c r="N2757" t="s">
        <v>3406</v>
      </c>
      <c r="O2757" t="s">
        <v>3407</v>
      </c>
      <c r="P2757">
        <v>40500959</v>
      </c>
    </row>
    <row r="2758" spans="1:16">
      <c r="A2758" t="s">
        <v>133</v>
      </c>
      <c r="B2758">
        <v>1</v>
      </c>
      <c r="E2758" t="s">
        <v>3406</v>
      </c>
      <c r="F2758" t="s">
        <v>3407</v>
      </c>
      <c r="G2758" t="s">
        <v>3408</v>
      </c>
      <c r="I2758" t="s">
        <v>3338</v>
      </c>
      <c r="J2758" t="s">
        <v>2421</v>
      </c>
      <c r="K2758" t="s">
        <v>3354</v>
      </c>
      <c r="L2758" t="s">
        <v>3369</v>
      </c>
      <c r="N2758" t="s">
        <v>3409</v>
      </c>
      <c r="O2758" t="s">
        <v>3410</v>
      </c>
      <c r="P2758">
        <v>40500959</v>
      </c>
    </row>
    <row r="2759" spans="1:16">
      <c r="A2759" t="s">
        <v>133</v>
      </c>
      <c r="B2759">
        <v>1</v>
      </c>
      <c r="E2759" t="s">
        <v>3406</v>
      </c>
      <c r="F2759" t="s">
        <v>3407</v>
      </c>
      <c r="G2759" t="s">
        <v>3408</v>
      </c>
      <c r="I2759" t="s">
        <v>3338</v>
      </c>
      <c r="L2759" t="s">
        <v>193</v>
      </c>
      <c r="N2759" t="s">
        <v>3411</v>
      </c>
      <c r="O2759" t="s">
        <v>3412</v>
      </c>
      <c r="P2759">
        <v>40500959</v>
      </c>
    </row>
    <row r="2760" spans="1:16">
      <c r="A2760" t="s">
        <v>133</v>
      </c>
      <c r="B2760">
        <v>2</v>
      </c>
      <c r="E2760" t="s">
        <v>3411</v>
      </c>
      <c r="F2760" t="s">
        <v>3412</v>
      </c>
      <c r="G2760" t="s">
        <v>3413</v>
      </c>
      <c r="I2760" t="s">
        <v>3338</v>
      </c>
      <c r="J2760" t="s">
        <v>2232</v>
      </c>
      <c r="K2760" t="s">
        <v>2233</v>
      </c>
      <c r="L2760" t="s">
        <v>3342</v>
      </c>
      <c r="N2760" t="s">
        <v>3414</v>
      </c>
      <c r="O2760" t="s">
        <v>3415</v>
      </c>
      <c r="P2760">
        <v>40500959</v>
      </c>
    </row>
    <row r="2761" spans="1:16">
      <c r="A2761" t="s">
        <v>133</v>
      </c>
      <c r="B2761">
        <v>2</v>
      </c>
      <c r="E2761" t="s">
        <v>3411</v>
      </c>
      <c r="F2761" t="s">
        <v>3412</v>
      </c>
      <c r="G2761" t="s">
        <v>3413</v>
      </c>
      <c r="I2761" t="s">
        <v>3338</v>
      </c>
      <c r="J2761" t="s">
        <v>2232</v>
      </c>
      <c r="K2761" t="s">
        <v>2233</v>
      </c>
      <c r="L2761" t="s">
        <v>3342</v>
      </c>
      <c r="N2761" t="s">
        <v>3416</v>
      </c>
      <c r="O2761" t="s">
        <v>3417</v>
      </c>
      <c r="P2761">
        <v>40500959</v>
      </c>
    </row>
    <row r="2762" spans="1:16">
      <c r="A2762" t="s">
        <v>133</v>
      </c>
      <c r="B2762">
        <v>2</v>
      </c>
      <c r="E2762" t="s">
        <v>3411</v>
      </c>
      <c r="F2762" t="s">
        <v>3412</v>
      </c>
      <c r="G2762" t="s">
        <v>3413</v>
      </c>
      <c r="I2762" t="s">
        <v>3338</v>
      </c>
      <c r="J2762" t="s">
        <v>2232</v>
      </c>
      <c r="K2762" t="s">
        <v>2233</v>
      </c>
      <c r="L2762" t="s">
        <v>3342</v>
      </c>
      <c r="N2762" t="s">
        <v>3418</v>
      </c>
      <c r="O2762" t="s">
        <v>3419</v>
      </c>
      <c r="P2762">
        <v>40500959</v>
      </c>
    </row>
    <row r="2763" spans="1:16">
      <c r="A2763" t="s">
        <v>133</v>
      </c>
      <c r="B2763">
        <v>2</v>
      </c>
      <c r="E2763" t="s">
        <v>3411</v>
      </c>
      <c r="F2763" t="s">
        <v>3412</v>
      </c>
      <c r="G2763" t="s">
        <v>3413</v>
      </c>
      <c r="I2763" t="s">
        <v>3338</v>
      </c>
      <c r="J2763" t="s">
        <v>2232</v>
      </c>
      <c r="K2763" t="s">
        <v>2233</v>
      </c>
      <c r="L2763" t="s">
        <v>3342</v>
      </c>
      <c r="N2763" t="s">
        <v>3420</v>
      </c>
      <c r="O2763" t="s">
        <v>3421</v>
      </c>
      <c r="P2763">
        <v>40500959</v>
      </c>
    </row>
    <row r="2764" spans="1:16">
      <c r="A2764" t="s">
        <v>133</v>
      </c>
      <c r="B2764">
        <v>2</v>
      </c>
      <c r="E2764" t="s">
        <v>3411</v>
      </c>
      <c r="F2764" t="s">
        <v>3412</v>
      </c>
      <c r="G2764" t="s">
        <v>3413</v>
      </c>
      <c r="I2764" t="s">
        <v>3338</v>
      </c>
      <c r="J2764" t="s">
        <v>2232</v>
      </c>
      <c r="K2764" t="s">
        <v>2233</v>
      </c>
      <c r="L2764" t="s">
        <v>3342</v>
      </c>
      <c r="N2764" t="s">
        <v>3422</v>
      </c>
      <c r="O2764" t="s">
        <v>3423</v>
      </c>
      <c r="P2764">
        <v>40500959</v>
      </c>
    </row>
    <row r="2765" spans="1:16">
      <c r="A2765" t="s">
        <v>133</v>
      </c>
      <c r="B2765">
        <v>0</v>
      </c>
      <c r="G2765" t="s">
        <v>3338</v>
      </c>
      <c r="I2765" t="s">
        <v>3338</v>
      </c>
      <c r="N2765" t="s">
        <v>3424</v>
      </c>
      <c r="O2765" t="s">
        <v>3425</v>
      </c>
      <c r="P2765">
        <v>40500959</v>
      </c>
    </row>
    <row r="2766" spans="1:16">
      <c r="A2766" t="s">
        <v>133</v>
      </c>
      <c r="B2766">
        <v>1</v>
      </c>
      <c r="E2766" t="s">
        <v>3424</v>
      </c>
      <c r="F2766" t="s">
        <v>3425</v>
      </c>
      <c r="G2766" t="s">
        <v>3426</v>
      </c>
      <c r="I2766" t="s">
        <v>3338</v>
      </c>
      <c r="J2766" t="s">
        <v>2421</v>
      </c>
      <c r="K2766" t="s">
        <v>3354</v>
      </c>
      <c r="L2766" t="s">
        <v>3369</v>
      </c>
      <c r="N2766" t="s">
        <v>3427</v>
      </c>
      <c r="O2766" t="s">
        <v>3428</v>
      </c>
      <c r="P2766">
        <v>40500959</v>
      </c>
    </row>
    <row r="2767" spans="1:16">
      <c r="A2767" t="s">
        <v>133</v>
      </c>
      <c r="B2767">
        <v>1</v>
      </c>
      <c r="E2767" t="s">
        <v>3424</v>
      </c>
      <c r="F2767" t="s">
        <v>3425</v>
      </c>
      <c r="G2767" t="s">
        <v>3426</v>
      </c>
      <c r="I2767" t="s">
        <v>3338</v>
      </c>
      <c r="J2767" t="s">
        <v>2421</v>
      </c>
      <c r="K2767" t="s">
        <v>3354</v>
      </c>
      <c r="L2767" t="s">
        <v>3369</v>
      </c>
      <c r="N2767" t="s">
        <v>3429</v>
      </c>
      <c r="O2767" t="s">
        <v>3430</v>
      </c>
      <c r="P2767">
        <v>40500959</v>
      </c>
    </row>
    <row r="2768" spans="1:16">
      <c r="A2768" t="s">
        <v>133</v>
      </c>
      <c r="B2768">
        <v>1</v>
      </c>
      <c r="E2768" t="s">
        <v>3424</v>
      </c>
      <c r="F2768" t="s">
        <v>3425</v>
      </c>
      <c r="G2768" t="s">
        <v>3426</v>
      </c>
      <c r="I2768" t="s">
        <v>3338</v>
      </c>
      <c r="J2768" t="s">
        <v>2232</v>
      </c>
      <c r="K2768" t="s">
        <v>2233</v>
      </c>
      <c r="L2768" t="s">
        <v>3342</v>
      </c>
      <c r="N2768" t="s">
        <v>3431</v>
      </c>
      <c r="O2768" t="s">
        <v>3432</v>
      </c>
      <c r="P2768">
        <v>40500959</v>
      </c>
    </row>
    <row r="2769" spans="1:16">
      <c r="A2769" t="s">
        <v>133</v>
      </c>
      <c r="B2769">
        <v>0</v>
      </c>
      <c r="G2769" t="s">
        <v>3338</v>
      </c>
      <c r="I2769" t="s">
        <v>3338</v>
      </c>
      <c r="N2769" t="s">
        <v>3433</v>
      </c>
      <c r="O2769" t="s">
        <v>3434</v>
      </c>
      <c r="P2769">
        <v>40500959</v>
      </c>
    </row>
    <row r="2770" spans="1:16">
      <c r="A2770" t="s">
        <v>133</v>
      </c>
      <c r="B2770">
        <v>1</v>
      </c>
      <c r="E2770" t="s">
        <v>3433</v>
      </c>
      <c r="F2770" t="s">
        <v>3434</v>
      </c>
      <c r="G2770" t="s">
        <v>3435</v>
      </c>
      <c r="I2770" t="s">
        <v>3338</v>
      </c>
      <c r="J2770" t="s">
        <v>2232</v>
      </c>
      <c r="K2770" t="s">
        <v>2233</v>
      </c>
      <c r="L2770" t="s">
        <v>3342</v>
      </c>
      <c r="N2770" t="s">
        <v>3436</v>
      </c>
      <c r="O2770" t="s">
        <v>3437</v>
      </c>
      <c r="P2770">
        <v>40500959</v>
      </c>
    </row>
    <row r="2771" spans="1:16">
      <c r="A2771" t="s">
        <v>133</v>
      </c>
      <c r="B2771">
        <v>1</v>
      </c>
      <c r="E2771" t="s">
        <v>3433</v>
      </c>
      <c r="F2771" t="s">
        <v>3434</v>
      </c>
      <c r="G2771" t="s">
        <v>3435</v>
      </c>
      <c r="I2771" t="s">
        <v>3338</v>
      </c>
      <c r="J2771" t="s">
        <v>2232</v>
      </c>
      <c r="K2771" t="s">
        <v>2233</v>
      </c>
      <c r="L2771" t="s">
        <v>3342</v>
      </c>
      <c r="N2771" t="s">
        <v>3438</v>
      </c>
      <c r="O2771" t="s">
        <v>3439</v>
      </c>
      <c r="P2771">
        <v>40500959</v>
      </c>
    </row>
    <row r="2772" spans="1:16">
      <c r="A2772" t="s">
        <v>133</v>
      </c>
      <c r="B2772">
        <v>1</v>
      </c>
      <c r="E2772" t="s">
        <v>3433</v>
      </c>
      <c r="F2772" t="s">
        <v>3434</v>
      </c>
      <c r="G2772" t="s">
        <v>3435</v>
      </c>
      <c r="I2772" t="s">
        <v>3338</v>
      </c>
      <c r="J2772" t="s">
        <v>2232</v>
      </c>
      <c r="K2772" t="s">
        <v>2233</v>
      </c>
      <c r="L2772" t="s">
        <v>3342</v>
      </c>
      <c r="N2772" t="s">
        <v>3440</v>
      </c>
      <c r="O2772" t="s">
        <v>3441</v>
      </c>
      <c r="P2772">
        <v>40500959</v>
      </c>
    </row>
    <row r="2773" spans="1:16">
      <c r="A2773" t="s">
        <v>133</v>
      </c>
      <c r="B2773">
        <v>1</v>
      </c>
      <c r="E2773" t="s">
        <v>3433</v>
      </c>
      <c r="F2773" t="s">
        <v>3434</v>
      </c>
      <c r="G2773" t="s">
        <v>3435</v>
      </c>
      <c r="I2773" t="s">
        <v>3338</v>
      </c>
      <c r="J2773" t="s">
        <v>2232</v>
      </c>
      <c r="K2773" t="s">
        <v>2233</v>
      </c>
      <c r="L2773" t="s">
        <v>3342</v>
      </c>
      <c r="N2773" t="s">
        <v>3442</v>
      </c>
      <c r="O2773" t="s">
        <v>3443</v>
      </c>
      <c r="P2773">
        <v>40500959</v>
      </c>
    </row>
    <row r="2774" spans="1:16">
      <c r="A2774" t="s">
        <v>133</v>
      </c>
      <c r="B2774">
        <v>1</v>
      </c>
      <c r="E2774" t="s">
        <v>3433</v>
      </c>
      <c r="F2774" t="s">
        <v>3434</v>
      </c>
      <c r="G2774" t="s">
        <v>3435</v>
      </c>
      <c r="I2774" t="s">
        <v>3338</v>
      </c>
      <c r="J2774" t="s">
        <v>2232</v>
      </c>
      <c r="K2774" t="s">
        <v>2233</v>
      </c>
      <c r="L2774" t="s">
        <v>3342</v>
      </c>
      <c r="N2774" t="s">
        <v>3444</v>
      </c>
      <c r="O2774" t="s">
        <v>3445</v>
      </c>
      <c r="P2774">
        <v>40500959</v>
      </c>
    </row>
    <row r="2775" spans="1:16">
      <c r="A2775" t="s">
        <v>133</v>
      </c>
      <c r="B2775">
        <v>1</v>
      </c>
      <c r="E2775" t="s">
        <v>3433</v>
      </c>
      <c r="F2775" t="s">
        <v>3434</v>
      </c>
      <c r="G2775" t="s">
        <v>3435</v>
      </c>
      <c r="I2775" t="s">
        <v>3338</v>
      </c>
      <c r="J2775" t="s">
        <v>2232</v>
      </c>
      <c r="K2775" t="s">
        <v>2233</v>
      </c>
      <c r="L2775" t="s">
        <v>3342</v>
      </c>
      <c r="N2775" t="s">
        <v>3446</v>
      </c>
      <c r="O2775" t="s">
        <v>3447</v>
      </c>
      <c r="P2775">
        <v>40500959</v>
      </c>
    </row>
    <row r="2776" spans="1:16">
      <c r="A2776" t="s">
        <v>133</v>
      </c>
      <c r="B2776">
        <v>0</v>
      </c>
      <c r="G2776" t="s">
        <v>3338</v>
      </c>
      <c r="I2776" t="s">
        <v>3338</v>
      </c>
      <c r="N2776" t="s">
        <v>3448</v>
      </c>
      <c r="O2776" t="s">
        <v>3449</v>
      </c>
      <c r="P2776">
        <v>40500959</v>
      </c>
    </row>
    <row r="2777" spans="1:16">
      <c r="A2777" t="s">
        <v>133</v>
      </c>
      <c r="B2777">
        <v>1</v>
      </c>
      <c r="E2777" t="s">
        <v>3448</v>
      </c>
      <c r="F2777" t="s">
        <v>3449</v>
      </c>
      <c r="G2777" t="s">
        <v>3450</v>
      </c>
      <c r="I2777" t="s">
        <v>3338</v>
      </c>
      <c r="J2777" t="s">
        <v>2421</v>
      </c>
      <c r="K2777" t="s">
        <v>3354</v>
      </c>
      <c r="L2777" t="s">
        <v>3451</v>
      </c>
      <c r="N2777" t="s">
        <v>3452</v>
      </c>
      <c r="O2777" t="s">
        <v>3453</v>
      </c>
      <c r="P2777">
        <v>40500959</v>
      </c>
    </row>
    <row r="2778" spans="1:16">
      <c r="A2778" t="s">
        <v>135</v>
      </c>
      <c r="B2778">
        <v>0</v>
      </c>
      <c r="G2778" t="s">
        <v>3338</v>
      </c>
      <c r="I2778" t="s">
        <v>3338</v>
      </c>
      <c r="N2778" t="s">
        <v>3339</v>
      </c>
      <c r="O2778" t="s">
        <v>3340</v>
      </c>
      <c r="P2778">
        <v>40648835</v>
      </c>
    </row>
    <row r="2779" spans="1:16">
      <c r="A2779" t="s">
        <v>135</v>
      </c>
      <c r="B2779">
        <v>1</v>
      </c>
      <c r="E2779" t="s">
        <v>3339</v>
      </c>
      <c r="F2779" t="s">
        <v>3340</v>
      </c>
      <c r="G2779" t="s">
        <v>3341</v>
      </c>
      <c r="I2779" t="s">
        <v>3338</v>
      </c>
      <c r="J2779" t="s">
        <v>2232</v>
      </c>
      <c r="K2779" t="s">
        <v>2233</v>
      </c>
      <c r="L2779" t="s">
        <v>3342</v>
      </c>
      <c r="N2779" t="s">
        <v>3343</v>
      </c>
      <c r="O2779" t="s">
        <v>3344</v>
      </c>
      <c r="P2779">
        <v>40648835</v>
      </c>
    </row>
    <row r="2780" spans="1:16">
      <c r="A2780" t="s">
        <v>135</v>
      </c>
      <c r="B2780">
        <v>1</v>
      </c>
      <c r="E2780" t="s">
        <v>3339</v>
      </c>
      <c r="F2780" t="s">
        <v>3340</v>
      </c>
      <c r="G2780" t="s">
        <v>3341</v>
      </c>
      <c r="I2780" t="s">
        <v>3338</v>
      </c>
      <c r="J2780" t="s">
        <v>2232</v>
      </c>
      <c r="K2780" t="s">
        <v>2233</v>
      </c>
      <c r="L2780" t="s">
        <v>3342</v>
      </c>
      <c r="N2780" t="s">
        <v>3345</v>
      </c>
      <c r="O2780" t="s">
        <v>3346</v>
      </c>
      <c r="P2780">
        <v>40648835</v>
      </c>
    </row>
    <row r="2781" spans="1:16">
      <c r="A2781" t="s">
        <v>135</v>
      </c>
      <c r="B2781">
        <v>0</v>
      </c>
      <c r="G2781" t="s">
        <v>3338</v>
      </c>
      <c r="I2781" t="s">
        <v>3338</v>
      </c>
      <c r="N2781" t="s">
        <v>3347</v>
      </c>
      <c r="O2781" t="s">
        <v>3344</v>
      </c>
      <c r="P2781">
        <v>40648835</v>
      </c>
    </row>
    <row r="2782" spans="1:16">
      <c r="A2782" t="s">
        <v>135</v>
      </c>
      <c r="B2782">
        <v>1</v>
      </c>
      <c r="E2782" t="s">
        <v>3347</v>
      </c>
      <c r="F2782" t="s">
        <v>3344</v>
      </c>
      <c r="G2782" t="s">
        <v>3348</v>
      </c>
      <c r="I2782" t="s">
        <v>3338</v>
      </c>
      <c r="J2782" t="s">
        <v>2232</v>
      </c>
      <c r="K2782" t="s">
        <v>2233</v>
      </c>
      <c r="L2782" t="s">
        <v>3342</v>
      </c>
      <c r="N2782" t="s">
        <v>3349</v>
      </c>
      <c r="O2782" t="s">
        <v>3350</v>
      </c>
      <c r="P2782">
        <v>40648835</v>
      </c>
    </row>
    <row r="2783" spans="1:16">
      <c r="A2783" t="s">
        <v>135</v>
      </c>
      <c r="B2783">
        <v>1</v>
      </c>
      <c r="E2783" t="s">
        <v>3347</v>
      </c>
      <c r="F2783" t="s">
        <v>3344</v>
      </c>
      <c r="G2783" t="s">
        <v>3348</v>
      </c>
      <c r="I2783" t="s">
        <v>3338</v>
      </c>
      <c r="L2783" t="s">
        <v>193</v>
      </c>
      <c r="N2783" t="s">
        <v>3351</v>
      </c>
      <c r="O2783" t="s">
        <v>3352</v>
      </c>
      <c r="P2783">
        <v>40648835</v>
      </c>
    </row>
    <row r="2784" spans="1:16">
      <c r="A2784" t="s">
        <v>135</v>
      </c>
      <c r="B2784">
        <v>2</v>
      </c>
      <c r="E2784" t="s">
        <v>3351</v>
      </c>
      <c r="F2784" t="s">
        <v>3352</v>
      </c>
      <c r="G2784" t="s">
        <v>3353</v>
      </c>
      <c r="I2784" t="s">
        <v>3338</v>
      </c>
      <c r="J2784" t="s">
        <v>2421</v>
      </c>
      <c r="K2784" t="s">
        <v>3354</v>
      </c>
      <c r="L2784" t="s">
        <v>3355</v>
      </c>
      <c r="N2784" t="s">
        <v>3356</v>
      </c>
      <c r="O2784" t="s">
        <v>3357</v>
      </c>
      <c r="P2784">
        <v>40648835</v>
      </c>
    </row>
    <row r="2785" spans="1:16">
      <c r="A2785" t="s">
        <v>135</v>
      </c>
      <c r="B2785">
        <v>2</v>
      </c>
      <c r="E2785" t="s">
        <v>3351</v>
      </c>
      <c r="F2785" t="s">
        <v>3352</v>
      </c>
      <c r="G2785" t="s">
        <v>3353</v>
      </c>
      <c r="I2785" t="s">
        <v>3338</v>
      </c>
      <c r="J2785" t="s">
        <v>2421</v>
      </c>
      <c r="K2785" t="s">
        <v>3354</v>
      </c>
      <c r="L2785" t="s">
        <v>3355</v>
      </c>
      <c r="N2785" t="s">
        <v>3358</v>
      </c>
      <c r="O2785" t="s">
        <v>3359</v>
      </c>
      <c r="P2785">
        <v>40648835</v>
      </c>
    </row>
    <row r="2786" spans="1:16">
      <c r="A2786" t="s">
        <v>135</v>
      </c>
      <c r="B2786">
        <v>2</v>
      </c>
      <c r="E2786" t="s">
        <v>3351</v>
      </c>
      <c r="F2786" t="s">
        <v>3352</v>
      </c>
      <c r="G2786" t="s">
        <v>3353</v>
      </c>
      <c r="I2786" t="s">
        <v>3338</v>
      </c>
      <c r="J2786" t="s">
        <v>2421</v>
      </c>
      <c r="K2786" t="s">
        <v>3354</v>
      </c>
      <c r="L2786" t="s">
        <v>3355</v>
      </c>
      <c r="N2786" t="s">
        <v>3360</v>
      </c>
      <c r="O2786" t="s">
        <v>3361</v>
      </c>
      <c r="P2786">
        <v>40648835</v>
      </c>
    </row>
    <row r="2787" spans="1:16">
      <c r="A2787" t="s">
        <v>135</v>
      </c>
      <c r="B2787">
        <v>1</v>
      </c>
      <c r="E2787" t="s">
        <v>3347</v>
      </c>
      <c r="F2787" t="s">
        <v>3344</v>
      </c>
      <c r="G2787" t="s">
        <v>3348</v>
      </c>
      <c r="I2787" t="s">
        <v>3338</v>
      </c>
      <c r="J2787" t="s">
        <v>2236</v>
      </c>
      <c r="K2787" t="s">
        <v>3362</v>
      </c>
      <c r="L2787" t="s">
        <v>3363</v>
      </c>
      <c r="N2787" t="s">
        <v>3364</v>
      </c>
      <c r="O2787" t="s">
        <v>3365</v>
      </c>
      <c r="P2787">
        <v>40648835</v>
      </c>
    </row>
    <row r="2788" spans="1:16">
      <c r="A2788" t="s">
        <v>135</v>
      </c>
      <c r="B2788">
        <v>1</v>
      </c>
      <c r="E2788" t="s">
        <v>3347</v>
      </c>
      <c r="F2788" t="s">
        <v>3344</v>
      </c>
      <c r="G2788" t="s">
        <v>3348</v>
      </c>
      <c r="I2788" t="s">
        <v>3338</v>
      </c>
      <c r="L2788" t="s">
        <v>193</v>
      </c>
      <c r="N2788" t="s">
        <v>3366</v>
      </c>
      <c r="O2788" t="s">
        <v>3367</v>
      </c>
      <c r="P2788">
        <v>40648835</v>
      </c>
    </row>
    <row r="2789" spans="1:16">
      <c r="A2789" t="s">
        <v>135</v>
      </c>
      <c r="B2789">
        <v>2</v>
      </c>
      <c r="E2789" t="s">
        <v>3366</v>
      </c>
      <c r="F2789" t="s">
        <v>3367</v>
      </c>
      <c r="G2789" t="s">
        <v>3368</v>
      </c>
      <c r="I2789" t="s">
        <v>3338</v>
      </c>
      <c r="J2789" t="s">
        <v>2421</v>
      </c>
      <c r="K2789" t="s">
        <v>3354</v>
      </c>
      <c r="L2789" t="s">
        <v>3369</v>
      </c>
      <c r="N2789" t="s">
        <v>3370</v>
      </c>
      <c r="O2789" t="s">
        <v>3359</v>
      </c>
      <c r="P2789">
        <v>40648835</v>
      </c>
    </row>
    <row r="2790" spans="1:16">
      <c r="A2790" t="s">
        <v>135</v>
      </c>
      <c r="B2790">
        <v>2</v>
      </c>
      <c r="E2790" t="s">
        <v>3366</v>
      </c>
      <c r="F2790" t="s">
        <v>3367</v>
      </c>
      <c r="G2790" t="s">
        <v>3368</v>
      </c>
      <c r="I2790" t="s">
        <v>3338</v>
      </c>
      <c r="J2790" t="s">
        <v>2421</v>
      </c>
      <c r="K2790" t="s">
        <v>3354</v>
      </c>
      <c r="L2790" t="s">
        <v>3369</v>
      </c>
      <c r="N2790" t="s">
        <v>3371</v>
      </c>
      <c r="O2790" t="s">
        <v>3372</v>
      </c>
      <c r="P2790">
        <v>40648835</v>
      </c>
    </row>
    <row r="2791" spans="1:16">
      <c r="A2791" t="s">
        <v>135</v>
      </c>
      <c r="B2791">
        <v>2</v>
      </c>
      <c r="E2791" t="s">
        <v>3366</v>
      </c>
      <c r="F2791" t="s">
        <v>3367</v>
      </c>
      <c r="G2791" t="s">
        <v>3368</v>
      </c>
      <c r="I2791" t="s">
        <v>3338</v>
      </c>
      <c r="J2791" t="s">
        <v>2421</v>
      </c>
      <c r="K2791" t="s">
        <v>3354</v>
      </c>
      <c r="L2791" t="s">
        <v>3369</v>
      </c>
      <c r="N2791" t="s">
        <v>3373</v>
      </c>
      <c r="O2791" t="s">
        <v>3374</v>
      </c>
      <c r="P2791">
        <v>40648835</v>
      </c>
    </row>
    <row r="2792" spans="1:16">
      <c r="A2792" t="s">
        <v>135</v>
      </c>
      <c r="B2792">
        <v>2</v>
      </c>
      <c r="E2792" t="s">
        <v>3366</v>
      </c>
      <c r="F2792" t="s">
        <v>3367</v>
      </c>
      <c r="G2792" t="s">
        <v>3368</v>
      </c>
      <c r="I2792" t="s">
        <v>3338</v>
      </c>
      <c r="J2792" t="s">
        <v>2236</v>
      </c>
      <c r="K2792" t="s">
        <v>3362</v>
      </c>
      <c r="L2792" t="s">
        <v>3363</v>
      </c>
      <c r="N2792" t="s">
        <v>3375</v>
      </c>
      <c r="O2792" t="s">
        <v>3376</v>
      </c>
      <c r="P2792">
        <v>40648835</v>
      </c>
    </row>
    <row r="2793" spans="1:16">
      <c r="A2793" t="s">
        <v>135</v>
      </c>
      <c r="B2793">
        <v>0</v>
      </c>
      <c r="G2793" t="s">
        <v>3338</v>
      </c>
      <c r="I2793" t="s">
        <v>3338</v>
      </c>
      <c r="N2793" t="s">
        <v>3377</v>
      </c>
      <c r="O2793" t="s">
        <v>3346</v>
      </c>
      <c r="P2793">
        <v>40648835</v>
      </c>
    </row>
    <row r="2794" spans="1:16">
      <c r="A2794" t="s">
        <v>135</v>
      </c>
      <c r="B2794">
        <v>1</v>
      </c>
      <c r="E2794" t="s">
        <v>3377</v>
      </c>
      <c r="F2794" t="s">
        <v>3346</v>
      </c>
      <c r="G2794" t="s">
        <v>3378</v>
      </c>
      <c r="I2794" t="s">
        <v>3338</v>
      </c>
      <c r="L2794" t="s">
        <v>193</v>
      </c>
      <c r="N2794" t="s">
        <v>3379</v>
      </c>
      <c r="O2794" t="s">
        <v>3380</v>
      </c>
      <c r="P2794">
        <v>40648835</v>
      </c>
    </row>
    <row r="2795" spans="1:16">
      <c r="A2795" t="s">
        <v>135</v>
      </c>
      <c r="B2795">
        <v>2</v>
      </c>
      <c r="E2795" t="s">
        <v>3379</v>
      </c>
      <c r="F2795" t="s">
        <v>3380</v>
      </c>
      <c r="G2795" t="s">
        <v>3381</v>
      </c>
      <c r="I2795" t="s">
        <v>3338</v>
      </c>
      <c r="J2795" t="s">
        <v>2421</v>
      </c>
      <c r="K2795" t="s">
        <v>3354</v>
      </c>
      <c r="L2795" t="s">
        <v>3369</v>
      </c>
      <c r="N2795" t="s">
        <v>3382</v>
      </c>
      <c r="O2795" t="s">
        <v>3352</v>
      </c>
      <c r="P2795">
        <v>40648835</v>
      </c>
    </row>
    <row r="2796" spans="1:16">
      <c r="A2796" t="s">
        <v>135</v>
      </c>
      <c r="B2796">
        <v>2</v>
      </c>
      <c r="E2796" t="s">
        <v>3379</v>
      </c>
      <c r="F2796" t="s">
        <v>3380</v>
      </c>
      <c r="G2796" t="s">
        <v>3381</v>
      </c>
      <c r="I2796" t="s">
        <v>3338</v>
      </c>
      <c r="L2796" t="s">
        <v>3383</v>
      </c>
      <c r="N2796" t="s">
        <v>3384</v>
      </c>
      <c r="O2796" t="s">
        <v>3385</v>
      </c>
      <c r="P2796">
        <v>40648835</v>
      </c>
    </row>
    <row r="2797" spans="1:16">
      <c r="A2797" t="s">
        <v>135</v>
      </c>
      <c r="B2797">
        <v>2</v>
      </c>
      <c r="E2797" t="s">
        <v>3379</v>
      </c>
      <c r="F2797" t="s">
        <v>3380</v>
      </c>
      <c r="G2797" t="s">
        <v>3381</v>
      </c>
      <c r="I2797" t="s">
        <v>3338</v>
      </c>
      <c r="J2797" t="s">
        <v>2232</v>
      </c>
      <c r="K2797" t="s">
        <v>2233</v>
      </c>
      <c r="L2797" t="s">
        <v>3342</v>
      </c>
      <c r="N2797" t="s">
        <v>3386</v>
      </c>
      <c r="O2797" t="s">
        <v>3350</v>
      </c>
      <c r="P2797">
        <v>40648835</v>
      </c>
    </row>
    <row r="2798" spans="1:16">
      <c r="A2798" t="s">
        <v>135</v>
      </c>
      <c r="B2798">
        <v>1</v>
      </c>
      <c r="E2798" t="s">
        <v>3377</v>
      </c>
      <c r="F2798" t="s">
        <v>3346</v>
      </c>
      <c r="G2798" t="s">
        <v>3378</v>
      </c>
      <c r="I2798" t="s">
        <v>3338</v>
      </c>
      <c r="L2798" t="s">
        <v>193</v>
      </c>
      <c r="N2798" t="s">
        <v>3387</v>
      </c>
      <c r="O2798" t="s">
        <v>3388</v>
      </c>
      <c r="P2798">
        <v>40648835</v>
      </c>
    </row>
    <row r="2799" spans="1:16">
      <c r="A2799" t="s">
        <v>135</v>
      </c>
      <c r="B2799">
        <v>2</v>
      </c>
      <c r="E2799" t="s">
        <v>3387</v>
      </c>
      <c r="F2799" t="s">
        <v>3388</v>
      </c>
      <c r="G2799" t="s">
        <v>3389</v>
      </c>
      <c r="I2799" t="s">
        <v>3338</v>
      </c>
      <c r="L2799" t="s">
        <v>3369</v>
      </c>
      <c r="N2799" t="s">
        <v>3390</v>
      </c>
      <c r="O2799" t="s">
        <v>3352</v>
      </c>
      <c r="P2799">
        <v>40648835</v>
      </c>
    </row>
    <row r="2800" spans="1:16">
      <c r="A2800" t="s">
        <v>135</v>
      </c>
      <c r="B2800">
        <v>2</v>
      </c>
      <c r="E2800" t="s">
        <v>3387</v>
      </c>
      <c r="F2800" t="s">
        <v>3388</v>
      </c>
      <c r="G2800" t="s">
        <v>3389</v>
      </c>
      <c r="I2800" t="s">
        <v>3338</v>
      </c>
      <c r="L2800" t="s">
        <v>3342</v>
      </c>
      <c r="N2800" t="s">
        <v>3391</v>
      </c>
      <c r="O2800" t="s">
        <v>3392</v>
      </c>
      <c r="P2800">
        <v>40648835</v>
      </c>
    </row>
    <row r="2801" spans="1:16">
      <c r="A2801" t="s">
        <v>135</v>
      </c>
      <c r="B2801">
        <v>2</v>
      </c>
      <c r="E2801" t="s">
        <v>3387</v>
      </c>
      <c r="F2801" t="s">
        <v>3388</v>
      </c>
      <c r="G2801" t="s">
        <v>3389</v>
      </c>
      <c r="I2801" t="s">
        <v>3338</v>
      </c>
      <c r="L2801" t="s">
        <v>3383</v>
      </c>
      <c r="N2801" t="s">
        <v>3393</v>
      </c>
      <c r="O2801" t="s">
        <v>3385</v>
      </c>
      <c r="P2801">
        <v>40648835</v>
      </c>
    </row>
    <row r="2802" spans="1:16">
      <c r="A2802" t="s">
        <v>135</v>
      </c>
      <c r="B2802">
        <v>2</v>
      </c>
      <c r="E2802" t="s">
        <v>3387</v>
      </c>
      <c r="F2802" t="s">
        <v>3388</v>
      </c>
      <c r="G2802" t="s">
        <v>3389</v>
      </c>
      <c r="I2802" t="s">
        <v>3338</v>
      </c>
      <c r="L2802" t="s">
        <v>3342</v>
      </c>
      <c r="N2802" t="s">
        <v>3394</v>
      </c>
      <c r="O2802" t="s">
        <v>3350</v>
      </c>
      <c r="P2802">
        <v>40648835</v>
      </c>
    </row>
    <row r="2803" spans="1:16">
      <c r="A2803" t="s">
        <v>135</v>
      </c>
      <c r="B2803">
        <v>0</v>
      </c>
      <c r="G2803" t="s">
        <v>3338</v>
      </c>
      <c r="I2803" t="s">
        <v>3338</v>
      </c>
      <c r="N2803" t="s">
        <v>3395</v>
      </c>
      <c r="O2803" t="s">
        <v>3396</v>
      </c>
      <c r="P2803">
        <v>40648835</v>
      </c>
    </row>
    <row r="2804" spans="1:16">
      <c r="A2804" t="s">
        <v>135</v>
      </c>
      <c r="B2804">
        <v>1</v>
      </c>
      <c r="E2804" t="s">
        <v>3395</v>
      </c>
      <c r="F2804" t="s">
        <v>3396</v>
      </c>
      <c r="G2804" t="s">
        <v>3397</v>
      </c>
      <c r="I2804" t="s">
        <v>3338</v>
      </c>
      <c r="L2804" t="s">
        <v>3342</v>
      </c>
      <c r="N2804" t="s">
        <v>3398</v>
      </c>
      <c r="O2804" t="s">
        <v>3399</v>
      </c>
      <c r="P2804">
        <v>40648835</v>
      </c>
    </row>
    <row r="2805" spans="1:16">
      <c r="A2805" t="s">
        <v>135</v>
      </c>
      <c r="B2805">
        <v>1</v>
      </c>
      <c r="E2805" t="s">
        <v>3395</v>
      </c>
      <c r="F2805" t="s">
        <v>3396</v>
      </c>
      <c r="G2805" t="s">
        <v>3397</v>
      </c>
      <c r="I2805" t="s">
        <v>3338</v>
      </c>
      <c r="J2805" t="s">
        <v>2232</v>
      </c>
      <c r="K2805" t="s">
        <v>2233</v>
      </c>
      <c r="L2805" t="s">
        <v>3342</v>
      </c>
      <c r="N2805" t="s">
        <v>3400</v>
      </c>
      <c r="O2805" t="s">
        <v>3401</v>
      </c>
      <c r="P2805">
        <v>40648835</v>
      </c>
    </row>
    <row r="2806" spans="1:16">
      <c r="A2806" t="s">
        <v>135</v>
      </c>
      <c r="B2806">
        <v>1</v>
      </c>
      <c r="E2806" t="s">
        <v>3395</v>
      </c>
      <c r="F2806" t="s">
        <v>3396</v>
      </c>
      <c r="G2806" t="s">
        <v>3397</v>
      </c>
      <c r="I2806" t="s">
        <v>3338</v>
      </c>
      <c r="L2806" t="s">
        <v>3342</v>
      </c>
      <c r="N2806" t="s">
        <v>3402</v>
      </c>
      <c r="O2806" t="s">
        <v>3403</v>
      </c>
      <c r="P2806">
        <v>40648835</v>
      </c>
    </row>
    <row r="2807" spans="1:16">
      <c r="A2807" t="s">
        <v>135</v>
      </c>
      <c r="B2807">
        <v>1</v>
      </c>
      <c r="E2807" t="s">
        <v>3395</v>
      </c>
      <c r="F2807" t="s">
        <v>3396</v>
      </c>
      <c r="G2807" t="s">
        <v>3397</v>
      </c>
      <c r="I2807" t="s">
        <v>3338</v>
      </c>
      <c r="L2807" t="s">
        <v>3342</v>
      </c>
      <c r="N2807" t="s">
        <v>3404</v>
      </c>
      <c r="O2807" t="s">
        <v>3405</v>
      </c>
      <c r="P2807">
        <v>40648835</v>
      </c>
    </row>
    <row r="2808" spans="1:16">
      <c r="A2808" t="s">
        <v>135</v>
      </c>
      <c r="B2808">
        <v>0</v>
      </c>
      <c r="G2808" t="s">
        <v>3338</v>
      </c>
      <c r="I2808" t="s">
        <v>3338</v>
      </c>
      <c r="N2808" t="s">
        <v>3406</v>
      </c>
      <c r="O2808" t="s">
        <v>3407</v>
      </c>
      <c r="P2808">
        <v>40648835</v>
      </c>
    </row>
    <row r="2809" spans="1:16">
      <c r="A2809" t="s">
        <v>135</v>
      </c>
      <c r="B2809">
        <v>1</v>
      </c>
      <c r="E2809" t="s">
        <v>3406</v>
      </c>
      <c r="F2809" t="s">
        <v>3407</v>
      </c>
      <c r="G2809" t="s">
        <v>3408</v>
      </c>
      <c r="I2809" t="s">
        <v>3338</v>
      </c>
      <c r="J2809" t="s">
        <v>2421</v>
      </c>
      <c r="K2809" t="s">
        <v>3354</v>
      </c>
      <c r="L2809" t="s">
        <v>3369</v>
      </c>
      <c r="N2809" t="s">
        <v>3409</v>
      </c>
      <c r="O2809" t="s">
        <v>3410</v>
      </c>
      <c r="P2809">
        <v>40648835</v>
      </c>
    </row>
    <row r="2810" spans="1:16">
      <c r="A2810" t="s">
        <v>135</v>
      </c>
      <c r="B2810">
        <v>1</v>
      </c>
      <c r="E2810" t="s">
        <v>3406</v>
      </c>
      <c r="F2810" t="s">
        <v>3407</v>
      </c>
      <c r="G2810" t="s">
        <v>3408</v>
      </c>
      <c r="I2810" t="s">
        <v>3338</v>
      </c>
      <c r="L2810" t="s">
        <v>193</v>
      </c>
      <c r="N2810" t="s">
        <v>3411</v>
      </c>
      <c r="O2810" t="s">
        <v>3412</v>
      </c>
      <c r="P2810">
        <v>40648835</v>
      </c>
    </row>
    <row r="2811" spans="1:16">
      <c r="A2811" t="s">
        <v>135</v>
      </c>
      <c r="B2811">
        <v>2</v>
      </c>
      <c r="E2811" t="s">
        <v>3411</v>
      </c>
      <c r="F2811" t="s">
        <v>3412</v>
      </c>
      <c r="G2811" t="s">
        <v>3413</v>
      </c>
      <c r="I2811" t="s">
        <v>3338</v>
      </c>
      <c r="L2811" t="s">
        <v>3342</v>
      </c>
      <c r="N2811" t="s">
        <v>3414</v>
      </c>
      <c r="O2811" t="s">
        <v>3415</v>
      </c>
      <c r="P2811">
        <v>40648835</v>
      </c>
    </row>
    <row r="2812" spans="1:16">
      <c r="A2812" t="s">
        <v>135</v>
      </c>
      <c r="B2812">
        <v>2</v>
      </c>
      <c r="E2812" t="s">
        <v>3411</v>
      </c>
      <c r="F2812" t="s">
        <v>3412</v>
      </c>
      <c r="G2812" t="s">
        <v>3413</v>
      </c>
      <c r="I2812" t="s">
        <v>3338</v>
      </c>
      <c r="J2812" t="s">
        <v>2232</v>
      </c>
      <c r="K2812" t="s">
        <v>2233</v>
      </c>
      <c r="L2812" t="s">
        <v>3342</v>
      </c>
      <c r="N2812" t="s">
        <v>3416</v>
      </c>
      <c r="O2812" t="s">
        <v>3417</v>
      </c>
      <c r="P2812">
        <v>40648835</v>
      </c>
    </row>
    <row r="2813" spans="1:16">
      <c r="A2813" t="s">
        <v>135</v>
      </c>
      <c r="B2813">
        <v>2</v>
      </c>
      <c r="E2813" t="s">
        <v>3411</v>
      </c>
      <c r="F2813" t="s">
        <v>3412</v>
      </c>
      <c r="G2813" t="s">
        <v>3413</v>
      </c>
      <c r="I2813" t="s">
        <v>3338</v>
      </c>
      <c r="J2813" t="s">
        <v>2232</v>
      </c>
      <c r="K2813" t="s">
        <v>2233</v>
      </c>
      <c r="L2813" t="s">
        <v>3342</v>
      </c>
      <c r="N2813" t="s">
        <v>3418</v>
      </c>
      <c r="O2813" t="s">
        <v>3419</v>
      </c>
      <c r="P2813">
        <v>40648835</v>
      </c>
    </row>
    <row r="2814" spans="1:16">
      <c r="A2814" t="s">
        <v>135</v>
      </c>
      <c r="B2814">
        <v>2</v>
      </c>
      <c r="E2814" t="s">
        <v>3411</v>
      </c>
      <c r="F2814" t="s">
        <v>3412</v>
      </c>
      <c r="G2814" t="s">
        <v>3413</v>
      </c>
      <c r="I2814" t="s">
        <v>3338</v>
      </c>
      <c r="L2814" t="s">
        <v>3342</v>
      </c>
      <c r="N2814" t="s">
        <v>3420</v>
      </c>
      <c r="O2814" t="s">
        <v>3421</v>
      </c>
      <c r="P2814">
        <v>40648835</v>
      </c>
    </row>
    <row r="2815" spans="1:16">
      <c r="A2815" t="s">
        <v>135</v>
      </c>
      <c r="B2815">
        <v>2</v>
      </c>
      <c r="E2815" t="s">
        <v>3411</v>
      </c>
      <c r="F2815" t="s">
        <v>3412</v>
      </c>
      <c r="G2815" t="s">
        <v>3413</v>
      </c>
      <c r="I2815" t="s">
        <v>3338</v>
      </c>
      <c r="J2815" t="s">
        <v>2232</v>
      </c>
      <c r="K2815" t="s">
        <v>2233</v>
      </c>
      <c r="L2815" t="s">
        <v>3342</v>
      </c>
      <c r="N2815" t="s">
        <v>3422</v>
      </c>
      <c r="O2815" t="s">
        <v>3423</v>
      </c>
      <c r="P2815">
        <v>40648835</v>
      </c>
    </row>
    <row r="2816" spans="1:16">
      <c r="A2816" t="s">
        <v>135</v>
      </c>
      <c r="B2816">
        <v>0</v>
      </c>
      <c r="G2816" t="s">
        <v>3338</v>
      </c>
      <c r="I2816" t="s">
        <v>3338</v>
      </c>
      <c r="N2816" t="s">
        <v>3424</v>
      </c>
      <c r="O2816" t="s">
        <v>3425</v>
      </c>
      <c r="P2816">
        <v>40648835</v>
      </c>
    </row>
    <row r="2817" spans="1:16">
      <c r="A2817" t="s">
        <v>135</v>
      </c>
      <c r="B2817">
        <v>1</v>
      </c>
      <c r="E2817" t="s">
        <v>3424</v>
      </c>
      <c r="F2817" t="s">
        <v>3425</v>
      </c>
      <c r="G2817" t="s">
        <v>3426</v>
      </c>
      <c r="I2817" t="s">
        <v>3338</v>
      </c>
      <c r="J2817" t="s">
        <v>2421</v>
      </c>
      <c r="K2817" t="s">
        <v>3354</v>
      </c>
      <c r="L2817" t="s">
        <v>3369</v>
      </c>
      <c r="N2817" t="s">
        <v>3427</v>
      </c>
      <c r="O2817" t="s">
        <v>3428</v>
      </c>
      <c r="P2817">
        <v>40648835</v>
      </c>
    </row>
    <row r="2818" spans="1:16">
      <c r="A2818" t="s">
        <v>135</v>
      </c>
      <c r="B2818">
        <v>1</v>
      </c>
      <c r="E2818" t="s">
        <v>3424</v>
      </c>
      <c r="F2818" t="s">
        <v>3425</v>
      </c>
      <c r="G2818" t="s">
        <v>3426</v>
      </c>
      <c r="I2818" t="s">
        <v>3338</v>
      </c>
      <c r="J2818" t="s">
        <v>2421</v>
      </c>
      <c r="K2818" t="s">
        <v>3354</v>
      </c>
      <c r="L2818" t="s">
        <v>3369</v>
      </c>
      <c r="N2818" t="s">
        <v>3429</v>
      </c>
      <c r="O2818" t="s">
        <v>3430</v>
      </c>
      <c r="P2818">
        <v>40648835</v>
      </c>
    </row>
    <row r="2819" spans="1:16">
      <c r="A2819" t="s">
        <v>135</v>
      </c>
      <c r="B2819">
        <v>1</v>
      </c>
      <c r="E2819" t="s">
        <v>3424</v>
      </c>
      <c r="F2819" t="s">
        <v>3425</v>
      </c>
      <c r="G2819" t="s">
        <v>3426</v>
      </c>
      <c r="I2819" t="s">
        <v>3338</v>
      </c>
      <c r="J2819" t="s">
        <v>2232</v>
      </c>
      <c r="K2819" t="s">
        <v>2233</v>
      </c>
      <c r="L2819" t="s">
        <v>3342</v>
      </c>
      <c r="N2819" t="s">
        <v>3431</v>
      </c>
      <c r="O2819" t="s">
        <v>3432</v>
      </c>
      <c r="P2819">
        <v>40648835</v>
      </c>
    </row>
    <row r="2820" spans="1:16">
      <c r="A2820" t="s">
        <v>135</v>
      </c>
      <c r="B2820">
        <v>0</v>
      </c>
      <c r="G2820" t="s">
        <v>3338</v>
      </c>
      <c r="I2820" t="s">
        <v>3338</v>
      </c>
      <c r="N2820" t="s">
        <v>3433</v>
      </c>
      <c r="O2820" t="s">
        <v>3434</v>
      </c>
      <c r="P2820">
        <v>40648835</v>
      </c>
    </row>
    <row r="2821" spans="1:16">
      <c r="A2821" t="s">
        <v>135</v>
      </c>
      <c r="B2821">
        <v>1</v>
      </c>
      <c r="E2821" t="s">
        <v>3433</v>
      </c>
      <c r="F2821" t="s">
        <v>3434</v>
      </c>
      <c r="G2821" t="s">
        <v>3435</v>
      </c>
      <c r="I2821" t="s">
        <v>3338</v>
      </c>
      <c r="J2821" t="s">
        <v>2232</v>
      </c>
      <c r="K2821" t="s">
        <v>2233</v>
      </c>
      <c r="L2821" t="s">
        <v>3342</v>
      </c>
      <c r="N2821" t="s">
        <v>3436</v>
      </c>
      <c r="O2821" t="s">
        <v>3437</v>
      </c>
      <c r="P2821">
        <v>40648835</v>
      </c>
    </row>
    <row r="2822" spans="1:16">
      <c r="A2822" t="s">
        <v>135</v>
      </c>
      <c r="B2822">
        <v>1</v>
      </c>
      <c r="E2822" t="s">
        <v>3433</v>
      </c>
      <c r="F2822" t="s">
        <v>3434</v>
      </c>
      <c r="G2822" t="s">
        <v>3435</v>
      </c>
      <c r="I2822" t="s">
        <v>3338</v>
      </c>
      <c r="J2822" t="s">
        <v>2232</v>
      </c>
      <c r="K2822" t="s">
        <v>2233</v>
      </c>
      <c r="L2822" t="s">
        <v>3342</v>
      </c>
      <c r="N2822" t="s">
        <v>3438</v>
      </c>
      <c r="O2822" t="s">
        <v>3439</v>
      </c>
      <c r="P2822">
        <v>40648835</v>
      </c>
    </row>
    <row r="2823" spans="1:16">
      <c r="A2823" t="s">
        <v>135</v>
      </c>
      <c r="B2823">
        <v>1</v>
      </c>
      <c r="E2823" t="s">
        <v>3433</v>
      </c>
      <c r="F2823" t="s">
        <v>3434</v>
      </c>
      <c r="G2823" t="s">
        <v>3435</v>
      </c>
      <c r="I2823" t="s">
        <v>3338</v>
      </c>
      <c r="J2823" t="s">
        <v>2232</v>
      </c>
      <c r="K2823" t="s">
        <v>2233</v>
      </c>
      <c r="L2823" t="s">
        <v>3342</v>
      </c>
      <c r="N2823" t="s">
        <v>3440</v>
      </c>
      <c r="O2823" t="s">
        <v>3441</v>
      </c>
      <c r="P2823">
        <v>40648835</v>
      </c>
    </row>
    <row r="2824" spans="1:16">
      <c r="A2824" t="s">
        <v>135</v>
      </c>
      <c r="B2824">
        <v>1</v>
      </c>
      <c r="E2824" t="s">
        <v>3433</v>
      </c>
      <c r="F2824" t="s">
        <v>3434</v>
      </c>
      <c r="G2824" t="s">
        <v>3435</v>
      </c>
      <c r="I2824" t="s">
        <v>3338</v>
      </c>
      <c r="J2824" t="s">
        <v>2232</v>
      </c>
      <c r="K2824" t="s">
        <v>2233</v>
      </c>
      <c r="L2824" t="s">
        <v>3342</v>
      </c>
      <c r="N2824" t="s">
        <v>3442</v>
      </c>
      <c r="O2824" t="s">
        <v>3443</v>
      </c>
      <c r="P2824">
        <v>40648835</v>
      </c>
    </row>
    <row r="2825" spans="1:16">
      <c r="A2825" t="s">
        <v>135</v>
      </c>
      <c r="B2825">
        <v>1</v>
      </c>
      <c r="E2825" t="s">
        <v>3433</v>
      </c>
      <c r="F2825" t="s">
        <v>3434</v>
      </c>
      <c r="G2825" t="s">
        <v>3435</v>
      </c>
      <c r="I2825" t="s">
        <v>3338</v>
      </c>
      <c r="J2825" t="s">
        <v>2232</v>
      </c>
      <c r="K2825" t="s">
        <v>2233</v>
      </c>
      <c r="L2825" t="s">
        <v>3342</v>
      </c>
      <c r="N2825" t="s">
        <v>3444</v>
      </c>
      <c r="O2825" t="s">
        <v>3445</v>
      </c>
      <c r="P2825">
        <v>40648835</v>
      </c>
    </row>
    <row r="2826" spans="1:16">
      <c r="A2826" t="s">
        <v>135</v>
      </c>
      <c r="B2826">
        <v>1</v>
      </c>
      <c r="E2826" t="s">
        <v>3433</v>
      </c>
      <c r="F2826" t="s">
        <v>3434</v>
      </c>
      <c r="G2826" t="s">
        <v>3435</v>
      </c>
      <c r="I2826" t="s">
        <v>3338</v>
      </c>
      <c r="J2826" t="s">
        <v>2232</v>
      </c>
      <c r="K2826" t="s">
        <v>2233</v>
      </c>
      <c r="L2826" t="s">
        <v>3342</v>
      </c>
      <c r="N2826" t="s">
        <v>3446</v>
      </c>
      <c r="O2826" t="s">
        <v>3447</v>
      </c>
      <c r="P2826">
        <v>40648835</v>
      </c>
    </row>
    <row r="2827" spans="1:16">
      <c r="A2827" t="s">
        <v>135</v>
      </c>
      <c r="B2827">
        <v>0</v>
      </c>
      <c r="G2827" t="s">
        <v>3338</v>
      </c>
      <c r="I2827" t="s">
        <v>3338</v>
      </c>
      <c r="N2827" t="s">
        <v>3448</v>
      </c>
      <c r="O2827" t="s">
        <v>3449</v>
      </c>
      <c r="P2827">
        <v>40648835</v>
      </c>
    </row>
    <row r="2828" spans="1:16">
      <c r="A2828" t="s">
        <v>135</v>
      </c>
      <c r="B2828">
        <v>1</v>
      </c>
      <c r="E2828" t="s">
        <v>3448</v>
      </c>
      <c r="F2828" t="s">
        <v>3449</v>
      </c>
      <c r="G2828" t="s">
        <v>3450</v>
      </c>
      <c r="I2828" t="s">
        <v>3338</v>
      </c>
      <c r="J2828" t="s">
        <v>2421</v>
      </c>
      <c r="K2828" t="s">
        <v>3354</v>
      </c>
      <c r="L2828" t="s">
        <v>3451</v>
      </c>
      <c r="N2828" t="s">
        <v>3452</v>
      </c>
      <c r="O2828" t="s">
        <v>3453</v>
      </c>
      <c r="P2828">
        <v>40648835</v>
      </c>
    </row>
    <row r="2829" spans="1:16">
      <c r="A2829" t="s">
        <v>135</v>
      </c>
      <c r="B2829">
        <v>0</v>
      </c>
      <c r="G2829" t="s">
        <v>3456</v>
      </c>
      <c r="I2829" t="s">
        <v>3456</v>
      </c>
      <c r="M2829" t="s">
        <v>3463</v>
      </c>
      <c r="N2829" t="s">
        <v>3479</v>
      </c>
      <c r="O2829" t="s">
        <v>3480</v>
      </c>
      <c r="P2829">
        <v>40648835</v>
      </c>
    </row>
    <row r="2830" spans="1:16">
      <c r="A2830" t="s">
        <v>135</v>
      </c>
      <c r="B2830">
        <v>0</v>
      </c>
      <c r="G2830" t="s">
        <v>3456</v>
      </c>
      <c r="I2830" t="s">
        <v>3456</v>
      </c>
      <c r="M2830" t="s">
        <v>3463</v>
      </c>
      <c r="N2830" t="s">
        <v>3483</v>
      </c>
      <c r="O2830" t="s">
        <v>3484</v>
      </c>
      <c r="P2830">
        <v>40648835</v>
      </c>
    </row>
    <row r="2831" spans="1:16">
      <c r="A2831" t="s">
        <v>135</v>
      </c>
      <c r="B2831">
        <v>0</v>
      </c>
      <c r="G2831" t="s">
        <v>3456</v>
      </c>
      <c r="I2831" t="s">
        <v>3456</v>
      </c>
      <c r="M2831" t="s">
        <v>3463</v>
      </c>
      <c r="N2831" t="s">
        <v>3493</v>
      </c>
      <c r="O2831" t="s">
        <v>3494</v>
      </c>
      <c r="P2831">
        <v>40648835</v>
      </c>
    </row>
    <row r="2832" spans="1:16">
      <c r="A2832" t="s">
        <v>137</v>
      </c>
      <c r="B2832">
        <v>0</v>
      </c>
      <c r="G2832" t="s">
        <v>3338</v>
      </c>
      <c r="I2832" t="s">
        <v>3338</v>
      </c>
      <c r="N2832" t="s">
        <v>3339</v>
      </c>
      <c r="O2832" t="s">
        <v>3340</v>
      </c>
      <c r="P2832">
        <v>40681023</v>
      </c>
    </row>
    <row r="2833" spans="1:16">
      <c r="A2833" t="s">
        <v>137</v>
      </c>
      <c r="B2833">
        <v>1</v>
      </c>
      <c r="E2833" t="s">
        <v>3339</v>
      </c>
      <c r="F2833" t="s">
        <v>3340</v>
      </c>
      <c r="G2833" t="s">
        <v>3341</v>
      </c>
      <c r="I2833" t="s">
        <v>3338</v>
      </c>
      <c r="J2833" t="s">
        <v>2232</v>
      </c>
      <c r="K2833" t="s">
        <v>2233</v>
      </c>
      <c r="L2833" t="s">
        <v>3342</v>
      </c>
      <c r="N2833" t="s">
        <v>3343</v>
      </c>
      <c r="O2833" t="s">
        <v>3344</v>
      </c>
      <c r="P2833">
        <v>40681023</v>
      </c>
    </row>
    <row r="2834" spans="1:16">
      <c r="A2834" t="s">
        <v>137</v>
      </c>
      <c r="B2834">
        <v>1</v>
      </c>
      <c r="E2834" t="s">
        <v>3339</v>
      </c>
      <c r="F2834" t="s">
        <v>3340</v>
      </c>
      <c r="G2834" t="s">
        <v>3341</v>
      </c>
      <c r="I2834" t="s">
        <v>3338</v>
      </c>
      <c r="J2834" t="s">
        <v>2232</v>
      </c>
      <c r="K2834" t="s">
        <v>2233</v>
      </c>
      <c r="L2834" t="s">
        <v>3342</v>
      </c>
      <c r="N2834" t="s">
        <v>3345</v>
      </c>
      <c r="O2834" t="s">
        <v>3346</v>
      </c>
      <c r="P2834">
        <v>40681023</v>
      </c>
    </row>
    <row r="2835" spans="1:16">
      <c r="A2835" t="s">
        <v>137</v>
      </c>
      <c r="B2835">
        <v>0</v>
      </c>
      <c r="G2835" t="s">
        <v>3338</v>
      </c>
      <c r="I2835" t="s">
        <v>3338</v>
      </c>
      <c r="N2835" t="s">
        <v>3347</v>
      </c>
      <c r="O2835" t="s">
        <v>3344</v>
      </c>
      <c r="P2835">
        <v>40681023</v>
      </c>
    </row>
    <row r="2836" spans="1:16">
      <c r="A2836" t="s">
        <v>137</v>
      </c>
      <c r="B2836">
        <v>1</v>
      </c>
      <c r="E2836" t="s">
        <v>3347</v>
      </c>
      <c r="F2836" t="s">
        <v>3344</v>
      </c>
      <c r="G2836" t="s">
        <v>3348</v>
      </c>
      <c r="I2836" t="s">
        <v>3338</v>
      </c>
      <c r="J2836" t="s">
        <v>2232</v>
      </c>
      <c r="K2836" t="s">
        <v>2233</v>
      </c>
      <c r="L2836" t="s">
        <v>3342</v>
      </c>
      <c r="N2836" t="s">
        <v>3349</v>
      </c>
      <c r="O2836" t="s">
        <v>3350</v>
      </c>
      <c r="P2836">
        <v>40681023</v>
      </c>
    </row>
    <row r="2837" spans="1:16">
      <c r="A2837" t="s">
        <v>137</v>
      </c>
      <c r="B2837">
        <v>1</v>
      </c>
      <c r="E2837" t="s">
        <v>3347</v>
      </c>
      <c r="F2837" t="s">
        <v>3344</v>
      </c>
      <c r="G2837" t="s">
        <v>3348</v>
      </c>
      <c r="I2837" t="s">
        <v>3338</v>
      </c>
      <c r="L2837" t="s">
        <v>193</v>
      </c>
      <c r="N2837" t="s">
        <v>3351</v>
      </c>
      <c r="O2837" t="s">
        <v>3352</v>
      </c>
      <c r="P2837">
        <v>40681023</v>
      </c>
    </row>
    <row r="2838" spans="1:16">
      <c r="A2838" t="s">
        <v>137</v>
      </c>
      <c r="B2838">
        <v>2</v>
      </c>
      <c r="E2838" t="s">
        <v>3351</v>
      </c>
      <c r="F2838" t="s">
        <v>3352</v>
      </c>
      <c r="G2838" t="s">
        <v>3353</v>
      </c>
      <c r="I2838" t="s">
        <v>3338</v>
      </c>
      <c r="J2838" t="s">
        <v>2421</v>
      </c>
      <c r="K2838" t="s">
        <v>3354</v>
      </c>
      <c r="L2838" t="s">
        <v>3355</v>
      </c>
      <c r="N2838" t="s">
        <v>3356</v>
      </c>
      <c r="O2838" t="s">
        <v>3357</v>
      </c>
      <c r="P2838">
        <v>40681023</v>
      </c>
    </row>
    <row r="2839" spans="1:16">
      <c r="A2839" t="s">
        <v>137</v>
      </c>
      <c r="B2839">
        <v>2</v>
      </c>
      <c r="E2839" t="s">
        <v>3351</v>
      </c>
      <c r="F2839" t="s">
        <v>3352</v>
      </c>
      <c r="G2839" t="s">
        <v>3353</v>
      </c>
      <c r="I2839" t="s">
        <v>3338</v>
      </c>
      <c r="J2839" t="s">
        <v>2421</v>
      </c>
      <c r="K2839" t="s">
        <v>3354</v>
      </c>
      <c r="L2839" t="s">
        <v>3355</v>
      </c>
      <c r="N2839" t="s">
        <v>3358</v>
      </c>
      <c r="O2839" t="s">
        <v>3359</v>
      </c>
      <c r="P2839">
        <v>40681023</v>
      </c>
    </row>
    <row r="2840" spans="1:16">
      <c r="A2840" t="s">
        <v>137</v>
      </c>
      <c r="B2840">
        <v>2</v>
      </c>
      <c r="E2840" t="s">
        <v>3351</v>
      </c>
      <c r="F2840" t="s">
        <v>3352</v>
      </c>
      <c r="G2840" t="s">
        <v>3353</v>
      </c>
      <c r="I2840" t="s">
        <v>3338</v>
      </c>
      <c r="J2840" t="s">
        <v>2421</v>
      </c>
      <c r="K2840" t="s">
        <v>3354</v>
      </c>
      <c r="L2840" t="s">
        <v>3355</v>
      </c>
      <c r="N2840" t="s">
        <v>3360</v>
      </c>
      <c r="O2840" t="s">
        <v>3361</v>
      </c>
      <c r="P2840">
        <v>40681023</v>
      </c>
    </row>
    <row r="2841" spans="1:16">
      <c r="A2841" t="s">
        <v>137</v>
      </c>
      <c r="B2841">
        <v>1</v>
      </c>
      <c r="E2841" t="s">
        <v>3347</v>
      </c>
      <c r="F2841" t="s">
        <v>3344</v>
      </c>
      <c r="G2841" t="s">
        <v>3348</v>
      </c>
      <c r="I2841" t="s">
        <v>3338</v>
      </c>
      <c r="J2841" t="s">
        <v>2236</v>
      </c>
      <c r="K2841" t="s">
        <v>3362</v>
      </c>
      <c r="L2841" t="s">
        <v>3363</v>
      </c>
      <c r="N2841" t="s">
        <v>3364</v>
      </c>
      <c r="O2841" t="s">
        <v>3365</v>
      </c>
      <c r="P2841">
        <v>40681023</v>
      </c>
    </row>
    <row r="2842" spans="1:16">
      <c r="A2842" t="s">
        <v>137</v>
      </c>
      <c r="B2842">
        <v>1</v>
      </c>
      <c r="E2842" t="s">
        <v>3347</v>
      </c>
      <c r="F2842" t="s">
        <v>3344</v>
      </c>
      <c r="G2842" t="s">
        <v>3348</v>
      </c>
      <c r="I2842" t="s">
        <v>3338</v>
      </c>
      <c r="L2842" t="s">
        <v>193</v>
      </c>
      <c r="N2842" t="s">
        <v>3366</v>
      </c>
      <c r="O2842" t="s">
        <v>3367</v>
      </c>
      <c r="P2842">
        <v>40681023</v>
      </c>
    </row>
    <row r="2843" spans="1:16">
      <c r="A2843" t="s">
        <v>137</v>
      </c>
      <c r="B2843">
        <v>2</v>
      </c>
      <c r="E2843" t="s">
        <v>3366</v>
      </c>
      <c r="F2843" t="s">
        <v>3367</v>
      </c>
      <c r="G2843" t="s">
        <v>3368</v>
      </c>
      <c r="I2843" t="s">
        <v>3338</v>
      </c>
      <c r="J2843" t="s">
        <v>2421</v>
      </c>
      <c r="K2843" t="s">
        <v>3354</v>
      </c>
      <c r="L2843" t="s">
        <v>3369</v>
      </c>
      <c r="N2843" t="s">
        <v>3370</v>
      </c>
      <c r="O2843" t="s">
        <v>3359</v>
      </c>
      <c r="P2843">
        <v>40681023</v>
      </c>
    </row>
    <row r="2844" spans="1:16">
      <c r="A2844" t="s">
        <v>137</v>
      </c>
      <c r="B2844">
        <v>2</v>
      </c>
      <c r="E2844" t="s">
        <v>3366</v>
      </c>
      <c r="F2844" t="s">
        <v>3367</v>
      </c>
      <c r="G2844" t="s">
        <v>3368</v>
      </c>
      <c r="I2844" t="s">
        <v>3338</v>
      </c>
      <c r="J2844" t="s">
        <v>2421</v>
      </c>
      <c r="K2844" t="s">
        <v>3354</v>
      </c>
      <c r="L2844" t="s">
        <v>3369</v>
      </c>
      <c r="N2844" t="s">
        <v>3371</v>
      </c>
      <c r="O2844" t="s">
        <v>3372</v>
      </c>
      <c r="P2844">
        <v>40681023</v>
      </c>
    </row>
    <row r="2845" spans="1:16">
      <c r="A2845" t="s">
        <v>137</v>
      </c>
      <c r="B2845">
        <v>2</v>
      </c>
      <c r="E2845" t="s">
        <v>3366</v>
      </c>
      <c r="F2845" t="s">
        <v>3367</v>
      </c>
      <c r="G2845" t="s">
        <v>3368</v>
      </c>
      <c r="I2845" t="s">
        <v>3338</v>
      </c>
      <c r="J2845" t="s">
        <v>2421</v>
      </c>
      <c r="K2845" t="s">
        <v>3354</v>
      </c>
      <c r="L2845" t="s">
        <v>3369</v>
      </c>
      <c r="N2845" t="s">
        <v>3373</v>
      </c>
      <c r="O2845" t="s">
        <v>3374</v>
      </c>
      <c r="P2845">
        <v>40681023</v>
      </c>
    </row>
    <row r="2846" spans="1:16">
      <c r="A2846" t="s">
        <v>137</v>
      </c>
      <c r="B2846">
        <v>2</v>
      </c>
      <c r="E2846" t="s">
        <v>3366</v>
      </c>
      <c r="F2846" t="s">
        <v>3367</v>
      </c>
      <c r="G2846" t="s">
        <v>3368</v>
      </c>
      <c r="I2846" t="s">
        <v>3338</v>
      </c>
      <c r="J2846" t="s">
        <v>2236</v>
      </c>
      <c r="K2846" t="s">
        <v>3362</v>
      </c>
      <c r="L2846" t="s">
        <v>3363</v>
      </c>
      <c r="N2846" t="s">
        <v>3375</v>
      </c>
      <c r="O2846" t="s">
        <v>3376</v>
      </c>
      <c r="P2846">
        <v>40681023</v>
      </c>
    </row>
    <row r="2847" spans="1:16">
      <c r="A2847" t="s">
        <v>137</v>
      </c>
      <c r="B2847">
        <v>0</v>
      </c>
      <c r="G2847" t="s">
        <v>3338</v>
      </c>
      <c r="I2847" t="s">
        <v>3338</v>
      </c>
      <c r="N2847" t="s">
        <v>3377</v>
      </c>
      <c r="O2847" t="s">
        <v>3346</v>
      </c>
      <c r="P2847">
        <v>40681023</v>
      </c>
    </row>
    <row r="2848" spans="1:16">
      <c r="A2848" t="s">
        <v>137</v>
      </c>
      <c r="B2848">
        <v>1</v>
      </c>
      <c r="E2848" t="s">
        <v>3377</v>
      </c>
      <c r="F2848" t="s">
        <v>3346</v>
      </c>
      <c r="G2848" t="s">
        <v>3378</v>
      </c>
      <c r="I2848" t="s">
        <v>3338</v>
      </c>
      <c r="L2848" t="s">
        <v>193</v>
      </c>
      <c r="N2848" t="s">
        <v>3379</v>
      </c>
      <c r="O2848" t="s">
        <v>3380</v>
      </c>
      <c r="P2848">
        <v>40681023</v>
      </c>
    </row>
    <row r="2849" spans="1:16">
      <c r="A2849" t="s">
        <v>137</v>
      </c>
      <c r="B2849">
        <v>2</v>
      </c>
      <c r="E2849" t="s">
        <v>3379</v>
      </c>
      <c r="F2849" t="s">
        <v>3380</v>
      </c>
      <c r="G2849" t="s">
        <v>3381</v>
      </c>
      <c r="I2849" t="s">
        <v>3338</v>
      </c>
      <c r="J2849" t="s">
        <v>2421</v>
      </c>
      <c r="K2849" t="s">
        <v>3354</v>
      </c>
      <c r="L2849" t="s">
        <v>3369</v>
      </c>
      <c r="N2849" t="s">
        <v>3382</v>
      </c>
      <c r="O2849" t="s">
        <v>3352</v>
      </c>
      <c r="P2849">
        <v>40681023</v>
      </c>
    </row>
    <row r="2850" spans="1:16">
      <c r="A2850" t="s">
        <v>137</v>
      </c>
      <c r="B2850">
        <v>2</v>
      </c>
      <c r="E2850" t="s">
        <v>3379</v>
      </c>
      <c r="F2850" t="s">
        <v>3380</v>
      </c>
      <c r="G2850" t="s">
        <v>3381</v>
      </c>
      <c r="I2850" t="s">
        <v>3338</v>
      </c>
      <c r="J2850" t="s">
        <v>2236</v>
      </c>
      <c r="K2850" t="s">
        <v>3362</v>
      </c>
      <c r="L2850" t="s">
        <v>3383</v>
      </c>
      <c r="N2850" t="s">
        <v>3384</v>
      </c>
      <c r="O2850" t="s">
        <v>3385</v>
      </c>
      <c r="P2850">
        <v>40681023</v>
      </c>
    </row>
    <row r="2851" spans="1:16">
      <c r="A2851" t="s">
        <v>137</v>
      </c>
      <c r="B2851">
        <v>2</v>
      </c>
      <c r="E2851" t="s">
        <v>3379</v>
      </c>
      <c r="F2851" t="s">
        <v>3380</v>
      </c>
      <c r="G2851" t="s">
        <v>3381</v>
      </c>
      <c r="I2851" t="s">
        <v>3338</v>
      </c>
      <c r="J2851" t="s">
        <v>2232</v>
      </c>
      <c r="K2851" t="s">
        <v>2233</v>
      </c>
      <c r="L2851" t="s">
        <v>3342</v>
      </c>
      <c r="N2851" t="s">
        <v>3386</v>
      </c>
      <c r="O2851" t="s">
        <v>3350</v>
      </c>
      <c r="P2851">
        <v>40681023</v>
      </c>
    </row>
    <row r="2852" spans="1:16">
      <c r="A2852" t="s">
        <v>137</v>
      </c>
      <c r="B2852">
        <v>0</v>
      </c>
      <c r="G2852" t="s">
        <v>3338</v>
      </c>
      <c r="I2852" t="s">
        <v>3338</v>
      </c>
      <c r="N2852" t="s">
        <v>3395</v>
      </c>
      <c r="O2852" t="s">
        <v>3396</v>
      </c>
      <c r="P2852">
        <v>40681023</v>
      </c>
    </row>
    <row r="2853" spans="1:16">
      <c r="A2853" t="s">
        <v>137</v>
      </c>
      <c r="B2853">
        <v>1</v>
      </c>
      <c r="E2853" t="s">
        <v>3395</v>
      </c>
      <c r="F2853" t="s">
        <v>3396</v>
      </c>
      <c r="G2853" t="s">
        <v>3397</v>
      </c>
      <c r="I2853" t="s">
        <v>3338</v>
      </c>
      <c r="L2853" t="s">
        <v>3342</v>
      </c>
      <c r="N2853" t="s">
        <v>3398</v>
      </c>
      <c r="O2853" t="s">
        <v>3399</v>
      </c>
      <c r="P2853">
        <v>40681023</v>
      </c>
    </row>
    <row r="2854" spans="1:16">
      <c r="A2854" t="s">
        <v>137</v>
      </c>
      <c r="B2854">
        <v>1</v>
      </c>
      <c r="E2854" t="s">
        <v>3395</v>
      </c>
      <c r="F2854" t="s">
        <v>3396</v>
      </c>
      <c r="G2854" t="s">
        <v>3397</v>
      </c>
      <c r="I2854" t="s">
        <v>3338</v>
      </c>
      <c r="J2854" t="s">
        <v>2232</v>
      </c>
      <c r="K2854" t="s">
        <v>2233</v>
      </c>
      <c r="L2854" t="s">
        <v>3342</v>
      </c>
      <c r="N2854" t="s">
        <v>3400</v>
      </c>
      <c r="O2854" t="s">
        <v>3401</v>
      </c>
      <c r="P2854">
        <v>40681023</v>
      </c>
    </row>
    <row r="2855" spans="1:16">
      <c r="A2855" t="s">
        <v>137</v>
      </c>
      <c r="B2855">
        <v>1</v>
      </c>
      <c r="E2855" t="s">
        <v>3395</v>
      </c>
      <c r="F2855" t="s">
        <v>3396</v>
      </c>
      <c r="G2855" t="s">
        <v>3397</v>
      </c>
      <c r="I2855" t="s">
        <v>3338</v>
      </c>
      <c r="L2855" t="s">
        <v>3342</v>
      </c>
      <c r="N2855" t="s">
        <v>3402</v>
      </c>
      <c r="O2855" t="s">
        <v>3403</v>
      </c>
      <c r="P2855">
        <v>40681023</v>
      </c>
    </row>
    <row r="2856" spans="1:16">
      <c r="A2856" t="s">
        <v>137</v>
      </c>
      <c r="B2856">
        <v>1</v>
      </c>
      <c r="E2856" t="s">
        <v>3395</v>
      </c>
      <c r="F2856" t="s">
        <v>3396</v>
      </c>
      <c r="G2856" t="s">
        <v>3397</v>
      </c>
      <c r="I2856" t="s">
        <v>3338</v>
      </c>
      <c r="L2856" t="s">
        <v>3342</v>
      </c>
      <c r="N2856" t="s">
        <v>3404</v>
      </c>
      <c r="O2856" t="s">
        <v>3405</v>
      </c>
      <c r="P2856">
        <v>40681023</v>
      </c>
    </row>
    <row r="2857" spans="1:16">
      <c r="A2857" t="s">
        <v>137</v>
      </c>
      <c r="B2857">
        <v>0</v>
      </c>
      <c r="G2857" t="s">
        <v>3338</v>
      </c>
      <c r="I2857" t="s">
        <v>3338</v>
      </c>
      <c r="N2857" t="s">
        <v>3406</v>
      </c>
      <c r="O2857" t="s">
        <v>3407</v>
      </c>
      <c r="P2857">
        <v>40681023</v>
      </c>
    </row>
    <row r="2858" spans="1:16">
      <c r="A2858" t="s">
        <v>137</v>
      </c>
      <c r="B2858">
        <v>1</v>
      </c>
      <c r="E2858" t="s">
        <v>3406</v>
      </c>
      <c r="F2858" t="s">
        <v>3407</v>
      </c>
      <c r="G2858" t="s">
        <v>3408</v>
      </c>
      <c r="I2858" t="s">
        <v>3338</v>
      </c>
      <c r="J2858" t="s">
        <v>2421</v>
      </c>
      <c r="K2858" t="s">
        <v>3354</v>
      </c>
      <c r="L2858" t="s">
        <v>3369</v>
      </c>
      <c r="N2858" t="s">
        <v>3409</v>
      </c>
      <c r="O2858" t="s">
        <v>3410</v>
      </c>
      <c r="P2858">
        <v>40681023</v>
      </c>
    </row>
    <row r="2859" spans="1:16">
      <c r="A2859" t="s">
        <v>137</v>
      </c>
      <c r="B2859">
        <v>1</v>
      </c>
      <c r="E2859" t="s">
        <v>3406</v>
      </c>
      <c r="F2859" t="s">
        <v>3407</v>
      </c>
      <c r="G2859" t="s">
        <v>3408</v>
      </c>
      <c r="I2859" t="s">
        <v>3338</v>
      </c>
      <c r="L2859" t="s">
        <v>193</v>
      </c>
      <c r="N2859" t="s">
        <v>3411</v>
      </c>
      <c r="O2859" t="s">
        <v>3412</v>
      </c>
      <c r="P2859">
        <v>40681023</v>
      </c>
    </row>
    <row r="2860" spans="1:16">
      <c r="A2860" t="s">
        <v>137</v>
      </c>
      <c r="B2860">
        <v>2</v>
      </c>
      <c r="E2860" t="s">
        <v>3411</v>
      </c>
      <c r="F2860" t="s">
        <v>3412</v>
      </c>
      <c r="G2860" t="s">
        <v>3413</v>
      </c>
      <c r="I2860" t="s">
        <v>3338</v>
      </c>
      <c r="J2860" t="s">
        <v>2232</v>
      </c>
      <c r="K2860" t="s">
        <v>2233</v>
      </c>
      <c r="L2860" t="s">
        <v>3342</v>
      </c>
      <c r="N2860" t="s">
        <v>3414</v>
      </c>
      <c r="O2860" t="s">
        <v>3415</v>
      </c>
      <c r="P2860">
        <v>40681023</v>
      </c>
    </row>
    <row r="2861" spans="1:16">
      <c r="A2861" t="s">
        <v>137</v>
      </c>
      <c r="B2861">
        <v>2</v>
      </c>
      <c r="E2861" t="s">
        <v>3411</v>
      </c>
      <c r="F2861" t="s">
        <v>3412</v>
      </c>
      <c r="G2861" t="s">
        <v>3413</v>
      </c>
      <c r="I2861" t="s">
        <v>3338</v>
      </c>
      <c r="J2861" t="s">
        <v>2232</v>
      </c>
      <c r="K2861" t="s">
        <v>2233</v>
      </c>
      <c r="L2861" t="s">
        <v>3342</v>
      </c>
      <c r="N2861" t="s">
        <v>3416</v>
      </c>
      <c r="O2861" t="s">
        <v>3417</v>
      </c>
      <c r="P2861">
        <v>40681023</v>
      </c>
    </row>
    <row r="2862" spans="1:16">
      <c r="A2862" t="s">
        <v>137</v>
      </c>
      <c r="B2862">
        <v>2</v>
      </c>
      <c r="E2862" t="s">
        <v>3411</v>
      </c>
      <c r="F2862" t="s">
        <v>3412</v>
      </c>
      <c r="G2862" t="s">
        <v>3413</v>
      </c>
      <c r="I2862" t="s">
        <v>3338</v>
      </c>
      <c r="J2862" t="s">
        <v>2232</v>
      </c>
      <c r="K2862" t="s">
        <v>2233</v>
      </c>
      <c r="L2862" t="s">
        <v>3342</v>
      </c>
      <c r="N2862" t="s">
        <v>3418</v>
      </c>
      <c r="O2862" t="s">
        <v>3419</v>
      </c>
      <c r="P2862">
        <v>40681023</v>
      </c>
    </row>
    <row r="2863" spans="1:16">
      <c r="A2863" t="s">
        <v>137</v>
      </c>
      <c r="B2863">
        <v>2</v>
      </c>
      <c r="E2863" t="s">
        <v>3411</v>
      </c>
      <c r="F2863" t="s">
        <v>3412</v>
      </c>
      <c r="G2863" t="s">
        <v>3413</v>
      </c>
      <c r="I2863" t="s">
        <v>3338</v>
      </c>
      <c r="J2863" t="s">
        <v>2232</v>
      </c>
      <c r="K2863" t="s">
        <v>2233</v>
      </c>
      <c r="L2863" t="s">
        <v>3342</v>
      </c>
      <c r="N2863" t="s">
        <v>3420</v>
      </c>
      <c r="O2863" t="s">
        <v>3421</v>
      </c>
      <c r="P2863">
        <v>40681023</v>
      </c>
    </row>
    <row r="2864" spans="1:16">
      <c r="A2864" t="s">
        <v>137</v>
      </c>
      <c r="B2864">
        <v>2</v>
      </c>
      <c r="E2864" t="s">
        <v>3411</v>
      </c>
      <c r="F2864" t="s">
        <v>3412</v>
      </c>
      <c r="G2864" t="s">
        <v>3413</v>
      </c>
      <c r="I2864" t="s">
        <v>3338</v>
      </c>
      <c r="J2864" t="s">
        <v>2232</v>
      </c>
      <c r="K2864" t="s">
        <v>2233</v>
      </c>
      <c r="L2864" t="s">
        <v>3342</v>
      </c>
      <c r="N2864" t="s">
        <v>3422</v>
      </c>
      <c r="O2864" t="s">
        <v>3423</v>
      </c>
      <c r="P2864">
        <v>40681023</v>
      </c>
    </row>
    <row r="2865" spans="1:16">
      <c r="A2865" t="s">
        <v>137</v>
      </c>
      <c r="B2865">
        <v>0</v>
      </c>
      <c r="G2865" t="s">
        <v>3338</v>
      </c>
      <c r="I2865" t="s">
        <v>3338</v>
      </c>
      <c r="N2865" t="s">
        <v>3424</v>
      </c>
      <c r="O2865" t="s">
        <v>3425</v>
      </c>
      <c r="P2865">
        <v>40681023</v>
      </c>
    </row>
    <row r="2866" spans="1:16">
      <c r="A2866" t="s">
        <v>137</v>
      </c>
      <c r="B2866">
        <v>1</v>
      </c>
      <c r="E2866" t="s">
        <v>3424</v>
      </c>
      <c r="F2866" t="s">
        <v>3425</v>
      </c>
      <c r="G2866" t="s">
        <v>3426</v>
      </c>
      <c r="I2866" t="s">
        <v>3338</v>
      </c>
      <c r="J2866" t="s">
        <v>2421</v>
      </c>
      <c r="K2866" t="s">
        <v>3354</v>
      </c>
      <c r="L2866" t="s">
        <v>3369</v>
      </c>
      <c r="N2866" t="s">
        <v>3427</v>
      </c>
      <c r="O2866" t="s">
        <v>3428</v>
      </c>
      <c r="P2866">
        <v>40681023</v>
      </c>
    </row>
    <row r="2867" spans="1:16">
      <c r="A2867" t="s">
        <v>137</v>
      </c>
      <c r="B2867">
        <v>1</v>
      </c>
      <c r="E2867" t="s">
        <v>3424</v>
      </c>
      <c r="F2867" t="s">
        <v>3425</v>
      </c>
      <c r="G2867" t="s">
        <v>3426</v>
      </c>
      <c r="I2867" t="s">
        <v>3338</v>
      </c>
      <c r="J2867" t="s">
        <v>2421</v>
      </c>
      <c r="K2867" t="s">
        <v>3354</v>
      </c>
      <c r="L2867" t="s">
        <v>3369</v>
      </c>
      <c r="N2867" t="s">
        <v>3429</v>
      </c>
      <c r="O2867" t="s">
        <v>3430</v>
      </c>
      <c r="P2867">
        <v>40681023</v>
      </c>
    </row>
    <row r="2868" spans="1:16">
      <c r="A2868" t="s">
        <v>137</v>
      </c>
      <c r="B2868">
        <v>1</v>
      </c>
      <c r="E2868" t="s">
        <v>3424</v>
      </c>
      <c r="F2868" t="s">
        <v>3425</v>
      </c>
      <c r="G2868" t="s">
        <v>3426</v>
      </c>
      <c r="I2868" t="s">
        <v>3338</v>
      </c>
      <c r="J2868" t="s">
        <v>2232</v>
      </c>
      <c r="K2868" t="s">
        <v>2233</v>
      </c>
      <c r="L2868" t="s">
        <v>3342</v>
      </c>
      <c r="N2868" t="s">
        <v>3431</v>
      </c>
      <c r="O2868" t="s">
        <v>3432</v>
      </c>
      <c r="P2868">
        <v>40681023</v>
      </c>
    </row>
    <row r="2869" spans="1:16">
      <c r="A2869" t="s">
        <v>137</v>
      </c>
      <c r="B2869">
        <v>0</v>
      </c>
      <c r="G2869" t="s">
        <v>3338</v>
      </c>
      <c r="I2869" t="s">
        <v>3338</v>
      </c>
      <c r="N2869" t="s">
        <v>3433</v>
      </c>
      <c r="O2869" t="s">
        <v>3434</v>
      </c>
      <c r="P2869">
        <v>40681023</v>
      </c>
    </row>
    <row r="2870" spans="1:16">
      <c r="A2870" t="s">
        <v>137</v>
      </c>
      <c r="B2870">
        <v>1</v>
      </c>
      <c r="E2870" t="s">
        <v>3433</v>
      </c>
      <c r="F2870" t="s">
        <v>3434</v>
      </c>
      <c r="G2870" t="s">
        <v>3435</v>
      </c>
      <c r="I2870" t="s">
        <v>3338</v>
      </c>
      <c r="J2870" t="s">
        <v>2232</v>
      </c>
      <c r="K2870" t="s">
        <v>2233</v>
      </c>
      <c r="L2870" t="s">
        <v>3342</v>
      </c>
      <c r="N2870" t="s">
        <v>3436</v>
      </c>
      <c r="O2870" t="s">
        <v>3437</v>
      </c>
      <c r="P2870">
        <v>40681023</v>
      </c>
    </row>
    <row r="2871" spans="1:16">
      <c r="A2871" t="s">
        <v>137</v>
      </c>
      <c r="B2871">
        <v>1</v>
      </c>
      <c r="E2871" t="s">
        <v>3433</v>
      </c>
      <c r="F2871" t="s">
        <v>3434</v>
      </c>
      <c r="G2871" t="s">
        <v>3435</v>
      </c>
      <c r="I2871" t="s">
        <v>3338</v>
      </c>
      <c r="J2871" t="s">
        <v>2232</v>
      </c>
      <c r="K2871" t="s">
        <v>2233</v>
      </c>
      <c r="L2871" t="s">
        <v>3342</v>
      </c>
      <c r="N2871" t="s">
        <v>3438</v>
      </c>
      <c r="O2871" t="s">
        <v>3439</v>
      </c>
      <c r="P2871">
        <v>40681023</v>
      </c>
    </row>
    <row r="2872" spans="1:16">
      <c r="A2872" t="s">
        <v>137</v>
      </c>
      <c r="B2872">
        <v>1</v>
      </c>
      <c r="E2872" t="s">
        <v>3433</v>
      </c>
      <c r="F2872" t="s">
        <v>3434</v>
      </c>
      <c r="G2872" t="s">
        <v>3435</v>
      </c>
      <c r="I2872" t="s">
        <v>3338</v>
      </c>
      <c r="J2872" t="s">
        <v>2232</v>
      </c>
      <c r="K2872" t="s">
        <v>2233</v>
      </c>
      <c r="L2872" t="s">
        <v>3342</v>
      </c>
      <c r="N2872" t="s">
        <v>3440</v>
      </c>
      <c r="O2872" t="s">
        <v>3441</v>
      </c>
      <c r="P2872">
        <v>40681023</v>
      </c>
    </row>
    <row r="2873" spans="1:16">
      <c r="A2873" t="s">
        <v>137</v>
      </c>
      <c r="B2873">
        <v>1</v>
      </c>
      <c r="E2873" t="s">
        <v>3433</v>
      </c>
      <c r="F2873" t="s">
        <v>3434</v>
      </c>
      <c r="G2873" t="s">
        <v>3435</v>
      </c>
      <c r="I2873" t="s">
        <v>3338</v>
      </c>
      <c r="J2873" t="s">
        <v>2232</v>
      </c>
      <c r="K2873" t="s">
        <v>2233</v>
      </c>
      <c r="L2873" t="s">
        <v>3342</v>
      </c>
      <c r="N2873" t="s">
        <v>3442</v>
      </c>
      <c r="O2873" t="s">
        <v>3443</v>
      </c>
      <c r="P2873">
        <v>40681023</v>
      </c>
    </row>
    <row r="2874" spans="1:16">
      <c r="A2874" t="s">
        <v>137</v>
      </c>
      <c r="B2874">
        <v>1</v>
      </c>
      <c r="E2874" t="s">
        <v>3433</v>
      </c>
      <c r="F2874" t="s">
        <v>3434</v>
      </c>
      <c r="G2874" t="s">
        <v>3435</v>
      </c>
      <c r="I2874" t="s">
        <v>3338</v>
      </c>
      <c r="J2874" t="s">
        <v>2232</v>
      </c>
      <c r="K2874" t="s">
        <v>2233</v>
      </c>
      <c r="L2874" t="s">
        <v>3342</v>
      </c>
      <c r="N2874" t="s">
        <v>3444</v>
      </c>
      <c r="O2874" t="s">
        <v>3445</v>
      </c>
      <c r="P2874">
        <v>40681023</v>
      </c>
    </row>
    <row r="2875" spans="1:16">
      <c r="A2875" t="s">
        <v>137</v>
      </c>
      <c r="B2875">
        <v>1</v>
      </c>
      <c r="E2875" t="s">
        <v>3433</v>
      </c>
      <c r="F2875" t="s">
        <v>3434</v>
      </c>
      <c r="G2875" t="s">
        <v>3435</v>
      </c>
      <c r="I2875" t="s">
        <v>3338</v>
      </c>
      <c r="J2875" t="s">
        <v>2232</v>
      </c>
      <c r="K2875" t="s">
        <v>2233</v>
      </c>
      <c r="L2875" t="s">
        <v>3342</v>
      </c>
      <c r="N2875" t="s">
        <v>3446</v>
      </c>
      <c r="O2875" t="s">
        <v>3447</v>
      </c>
      <c r="P2875">
        <v>40681023</v>
      </c>
    </row>
    <row r="2876" spans="1:16">
      <c r="A2876" t="s">
        <v>137</v>
      </c>
      <c r="B2876">
        <v>0</v>
      </c>
      <c r="G2876" t="s">
        <v>3338</v>
      </c>
      <c r="I2876" t="s">
        <v>3338</v>
      </c>
      <c r="N2876" t="s">
        <v>3470</v>
      </c>
      <c r="O2876" t="s">
        <v>3471</v>
      </c>
      <c r="P2876">
        <v>40681023</v>
      </c>
    </row>
    <row r="2877" spans="1:16">
      <c r="A2877" t="s">
        <v>137</v>
      </c>
      <c r="B2877">
        <v>1</v>
      </c>
      <c r="E2877" t="s">
        <v>3470</v>
      </c>
      <c r="F2877" t="s">
        <v>3471</v>
      </c>
      <c r="G2877" t="s">
        <v>3472</v>
      </c>
      <c r="I2877" t="s">
        <v>3338</v>
      </c>
      <c r="J2877" t="s">
        <v>2232</v>
      </c>
      <c r="K2877" t="s">
        <v>2233</v>
      </c>
      <c r="L2877" t="s">
        <v>3342</v>
      </c>
      <c r="N2877" t="s">
        <v>3473</v>
      </c>
      <c r="O2877" t="s">
        <v>3474</v>
      </c>
      <c r="P2877">
        <v>40681023</v>
      </c>
    </row>
    <row r="2878" spans="1:16">
      <c r="A2878" t="s">
        <v>137</v>
      </c>
      <c r="B2878">
        <v>1</v>
      </c>
      <c r="E2878" t="s">
        <v>3470</v>
      </c>
      <c r="F2878" t="s">
        <v>3471</v>
      </c>
      <c r="G2878" t="s">
        <v>3472</v>
      </c>
      <c r="I2878" t="s">
        <v>3338</v>
      </c>
      <c r="J2878" t="s">
        <v>2232</v>
      </c>
      <c r="K2878" t="s">
        <v>2233</v>
      </c>
      <c r="L2878" t="s">
        <v>3342</v>
      </c>
      <c r="N2878" t="s">
        <v>3475</v>
      </c>
      <c r="O2878" t="s">
        <v>3476</v>
      </c>
      <c r="P2878">
        <v>40681023</v>
      </c>
    </row>
    <row r="2879" spans="1:16">
      <c r="A2879" t="s">
        <v>137</v>
      </c>
      <c r="B2879">
        <v>1</v>
      </c>
      <c r="E2879" t="s">
        <v>3470</v>
      </c>
      <c r="F2879" t="s">
        <v>3471</v>
      </c>
      <c r="G2879" t="s">
        <v>3472</v>
      </c>
      <c r="I2879" t="s">
        <v>3338</v>
      </c>
      <c r="J2879" t="s">
        <v>2232</v>
      </c>
      <c r="K2879" t="s">
        <v>2233</v>
      </c>
      <c r="L2879" t="s">
        <v>3342</v>
      </c>
      <c r="N2879" t="s">
        <v>3477</v>
      </c>
      <c r="O2879" t="s">
        <v>3478</v>
      </c>
      <c r="P2879">
        <v>40681023</v>
      </c>
    </row>
    <row r="2880" spans="1:16">
      <c r="A2880" t="s">
        <v>137</v>
      </c>
      <c r="B2880">
        <v>0</v>
      </c>
      <c r="G2880" t="s">
        <v>3338</v>
      </c>
      <c r="I2880" t="s">
        <v>3338</v>
      </c>
      <c r="N2880" t="s">
        <v>3448</v>
      </c>
      <c r="O2880" t="s">
        <v>3449</v>
      </c>
      <c r="P2880">
        <v>40681023</v>
      </c>
    </row>
    <row r="2881" spans="1:16">
      <c r="A2881" t="s">
        <v>137</v>
      </c>
      <c r="B2881">
        <v>1</v>
      </c>
      <c r="E2881" t="s">
        <v>3448</v>
      </c>
      <c r="F2881" t="s">
        <v>3449</v>
      </c>
      <c r="G2881" t="s">
        <v>3450</v>
      </c>
      <c r="I2881" t="s">
        <v>3338</v>
      </c>
      <c r="J2881" t="s">
        <v>2421</v>
      </c>
      <c r="K2881" t="s">
        <v>3354</v>
      </c>
      <c r="L2881" t="s">
        <v>3451</v>
      </c>
      <c r="N2881" t="s">
        <v>3452</v>
      </c>
      <c r="O2881" t="s">
        <v>3453</v>
      </c>
      <c r="P2881">
        <v>40681023</v>
      </c>
    </row>
    <row r="2882" spans="1:16">
      <c r="A2882" t="s">
        <v>139</v>
      </c>
      <c r="B2882">
        <v>0</v>
      </c>
      <c r="G2882" t="s">
        <v>3338</v>
      </c>
      <c r="I2882" t="s">
        <v>3338</v>
      </c>
      <c r="N2882" t="s">
        <v>3339</v>
      </c>
      <c r="O2882" t="s">
        <v>3340</v>
      </c>
      <c r="P2882">
        <v>40525443</v>
      </c>
    </row>
    <row r="2883" spans="1:16">
      <c r="A2883" t="s">
        <v>139</v>
      </c>
      <c r="B2883">
        <v>1</v>
      </c>
      <c r="E2883" t="s">
        <v>3339</v>
      </c>
      <c r="F2883" t="s">
        <v>3340</v>
      </c>
      <c r="G2883" t="s">
        <v>3341</v>
      </c>
      <c r="I2883" t="s">
        <v>3338</v>
      </c>
      <c r="J2883" t="s">
        <v>2232</v>
      </c>
      <c r="K2883" t="s">
        <v>2233</v>
      </c>
      <c r="L2883" t="s">
        <v>3342</v>
      </c>
      <c r="N2883" t="s">
        <v>3343</v>
      </c>
      <c r="O2883" t="s">
        <v>3344</v>
      </c>
      <c r="P2883">
        <v>40525443</v>
      </c>
    </row>
    <row r="2884" spans="1:16">
      <c r="A2884" t="s">
        <v>139</v>
      </c>
      <c r="B2884">
        <v>1</v>
      </c>
      <c r="E2884" t="s">
        <v>3339</v>
      </c>
      <c r="F2884" t="s">
        <v>3340</v>
      </c>
      <c r="G2884" t="s">
        <v>3341</v>
      </c>
      <c r="I2884" t="s">
        <v>3338</v>
      </c>
      <c r="J2884" t="s">
        <v>2232</v>
      </c>
      <c r="K2884" t="s">
        <v>2233</v>
      </c>
      <c r="L2884" t="s">
        <v>3342</v>
      </c>
      <c r="N2884" t="s">
        <v>3345</v>
      </c>
      <c r="O2884" t="s">
        <v>3346</v>
      </c>
      <c r="P2884">
        <v>40525443</v>
      </c>
    </row>
    <row r="2885" spans="1:16">
      <c r="A2885" t="s">
        <v>139</v>
      </c>
      <c r="B2885">
        <v>0</v>
      </c>
      <c r="G2885" t="s">
        <v>3338</v>
      </c>
      <c r="I2885" t="s">
        <v>3338</v>
      </c>
      <c r="N2885" t="s">
        <v>3347</v>
      </c>
      <c r="O2885" t="s">
        <v>3344</v>
      </c>
      <c r="P2885">
        <v>40525443</v>
      </c>
    </row>
    <row r="2886" spans="1:16">
      <c r="A2886" t="s">
        <v>139</v>
      </c>
      <c r="B2886">
        <v>1</v>
      </c>
      <c r="E2886" t="s">
        <v>3347</v>
      </c>
      <c r="F2886" t="s">
        <v>3344</v>
      </c>
      <c r="G2886" t="s">
        <v>3348</v>
      </c>
      <c r="I2886" t="s">
        <v>3338</v>
      </c>
      <c r="J2886" t="s">
        <v>2232</v>
      </c>
      <c r="K2886" t="s">
        <v>2233</v>
      </c>
      <c r="L2886" t="s">
        <v>3342</v>
      </c>
      <c r="N2886" t="s">
        <v>3349</v>
      </c>
      <c r="O2886" t="s">
        <v>3350</v>
      </c>
      <c r="P2886">
        <v>40525443</v>
      </c>
    </row>
    <row r="2887" spans="1:16">
      <c r="A2887" t="s">
        <v>139</v>
      </c>
      <c r="B2887">
        <v>1</v>
      </c>
      <c r="E2887" t="s">
        <v>3347</v>
      </c>
      <c r="F2887" t="s">
        <v>3344</v>
      </c>
      <c r="G2887" t="s">
        <v>3348</v>
      </c>
      <c r="I2887" t="s">
        <v>3338</v>
      </c>
      <c r="L2887" t="s">
        <v>193</v>
      </c>
      <c r="N2887" t="s">
        <v>3351</v>
      </c>
      <c r="O2887" t="s">
        <v>3352</v>
      </c>
      <c r="P2887">
        <v>40525443</v>
      </c>
    </row>
    <row r="2888" spans="1:16">
      <c r="A2888" t="s">
        <v>139</v>
      </c>
      <c r="B2888">
        <v>2</v>
      </c>
      <c r="E2888" t="s">
        <v>3351</v>
      </c>
      <c r="F2888" t="s">
        <v>3352</v>
      </c>
      <c r="G2888" t="s">
        <v>3353</v>
      </c>
      <c r="I2888" t="s">
        <v>3338</v>
      </c>
      <c r="J2888" t="s">
        <v>2421</v>
      </c>
      <c r="K2888" t="s">
        <v>3354</v>
      </c>
      <c r="L2888" t="s">
        <v>3355</v>
      </c>
      <c r="N2888" t="s">
        <v>3356</v>
      </c>
      <c r="O2888" t="s">
        <v>3357</v>
      </c>
      <c r="P2888">
        <v>40525443</v>
      </c>
    </row>
    <row r="2889" spans="1:16">
      <c r="A2889" t="s">
        <v>139</v>
      </c>
      <c r="B2889">
        <v>2</v>
      </c>
      <c r="E2889" t="s">
        <v>3351</v>
      </c>
      <c r="F2889" t="s">
        <v>3352</v>
      </c>
      <c r="G2889" t="s">
        <v>3353</v>
      </c>
      <c r="I2889" t="s">
        <v>3338</v>
      </c>
      <c r="J2889" t="s">
        <v>2421</v>
      </c>
      <c r="K2889" t="s">
        <v>3354</v>
      </c>
      <c r="L2889" t="s">
        <v>3355</v>
      </c>
      <c r="N2889" t="s">
        <v>3358</v>
      </c>
      <c r="O2889" t="s">
        <v>3359</v>
      </c>
      <c r="P2889">
        <v>40525443</v>
      </c>
    </row>
    <row r="2890" spans="1:16">
      <c r="A2890" t="s">
        <v>139</v>
      </c>
      <c r="B2890">
        <v>2</v>
      </c>
      <c r="E2890" t="s">
        <v>3351</v>
      </c>
      <c r="F2890" t="s">
        <v>3352</v>
      </c>
      <c r="G2890" t="s">
        <v>3353</v>
      </c>
      <c r="I2890" t="s">
        <v>3338</v>
      </c>
      <c r="J2890" t="s">
        <v>2421</v>
      </c>
      <c r="K2890" t="s">
        <v>3354</v>
      </c>
      <c r="L2890" t="s">
        <v>3355</v>
      </c>
      <c r="N2890" t="s">
        <v>3360</v>
      </c>
      <c r="O2890" t="s">
        <v>3361</v>
      </c>
      <c r="P2890">
        <v>40525443</v>
      </c>
    </row>
    <row r="2891" spans="1:16">
      <c r="A2891" t="s">
        <v>139</v>
      </c>
      <c r="B2891">
        <v>1</v>
      </c>
      <c r="E2891" t="s">
        <v>3347</v>
      </c>
      <c r="F2891" t="s">
        <v>3344</v>
      </c>
      <c r="G2891" t="s">
        <v>3348</v>
      </c>
      <c r="I2891" t="s">
        <v>3338</v>
      </c>
      <c r="J2891" t="s">
        <v>2236</v>
      </c>
      <c r="K2891" t="s">
        <v>3362</v>
      </c>
      <c r="L2891" t="s">
        <v>3363</v>
      </c>
      <c r="N2891" t="s">
        <v>3364</v>
      </c>
      <c r="O2891" t="s">
        <v>3365</v>
      </c>
      <c r="P2891">
        <v>40525443</v>
      </c>
    </row>
    <row r="2892" spans="1:16">
      <c r="A2892" t="s">
        <v>139</v>
      </c>
      <c r="B2892">
        <v>1</v>
      </c>
      <c r="E2892" t="s">
        <v>3347</v>
      </c>
      <c r="F2892" t="s">
        <v>3344</v>
      </c>
      <c r="G2892" t="s">
        <v>3348</v>
      </c>
      <c r="I2892" t="s">
        <v>3338</v>
      </c>
      <c r="L2892" t="s">
        <v>193</v>
      </c>
      <c r="N2892" t="s">
        <v>3366</v>
      </c>
      <c r="O2892" t="s">
        <v>3367</v>
      </c>
      <c r="P2892">
        <v>40525443</v>
      </c>
    </row>
    <row r="2893" spans="1:16">
      <c r="A2893" t="s">
        <v>139</v>
      </c>
      <c r="B2893">
        <v>2</v>
      </c>
      <c r="E2893" t="s">
        <v>3366</v>
      </c>
      <c r="F2893" t="s">
        <v>3367</v>
      </c>
      <c r="G2893" t="s">
        <v>3368</v>
      </c>
      <c r="I2893" t="s">
        <v>3338</v>
      </c>
      <c r="J2893" t="s">
        <v>2421</v>
      </c>
      <c r="K2893" t="s">
        <v>3354</v>
      </c>
      <c r="L2893" t="s">
        <v>3369</v>
      </c>
      <c r="N2893" t="s">
        <v>3370</v>
      </c>
      <c r="O2893" t="s">
        <v>3359</v>
      </c>
      <c r="P2893">
        <v>40525443</v>
      </c>
    </row>
    <row r="2894" spans="1:16">
      <c r="A2894" t="s">
        <v>139</v>
      </c>
      <c r="B2894">
        <v>2</v>
      </c>
      <c r="E2894" t="s">
        <v>3366</v>
      </c>
      <c r="F2894" t="s">
        <v>3367</v>
      </c>
      <c r="G2894" t="s">
        <v>3368</v>
      </c>
      <c r="I2894" t="s">
        <v>3338</v>
      </c>
      <c r="J2894" t="s">
        <v>2421</v>
      </c>
      <c r="K2894" t="s">
        <v>3354</v>
      </c>
      <c r="L2894" t="s">
        <v>3369</v>
      </c>
      <c r="N2894" t="s">
        <v>3371</v>
      </c>
      <c r="O2894" t="s">
        <v>3372</v>
      </c>
      <c r="P2894">
        <v>40525443</v>
      </c>
    </row>
    <row r="2895" spans="1:16">
      <c r="A2895" t="s">
        <v>139</v>
      </c>
      <c r="B2895">
        <v>2</v>
      </c>
      <c r="E2895" t="s">
        <v>3366</v>
      </c>
      <c r="F2895" t="s">
        <v>3367</v>
      </c>
      <c r="G2895" t="s">
        <v>3368</v>
      </c>
      <c r="I2895" t="s">
        <v>3338</v>
      </c>
      <c r="J2895" t="s">
        <v>2421</v>
      </c>
      <c r="K2895" t="s">
        <v>3354</v>
      </c>
      <c r="L2895" t="s">
        <v>3369</v>
      </c>
      <c r="N2895" t="s">
        <v>3373</v>
      </c>
      <c r="O2895" t="s">
        <v>3374</v>
      </c>
      <c r="P2895">
        <v>40525443</v>
      </c>
    </row>
    <row r="2896" spans="1:16">
      <c r="A2896" t="s">
        <v>139</v>
      </c>
      <c r="B2896">
        <v>2</v>
      </c>
      <c r="E2896" t="s">
        <v>3366</v>
      </c>
      <c r="F2896" t="s">
        <v>3367</v>
      </c>
      <c r="G2896" t="s">
        <v>3368</v>
      </c>
      <c r="I2896" t="s">
        <v>3338</v>
      </c>
      <c r="J2896" t="s">
        <v>2236</v>
      </c>
      <c r="K2896" t="s">
        <v>3362</v>
      </c>
      <c r="L2896" t="s">
        <v>3363</v>
      </c>
      <c r="N2896" t="s">
        <v>3375</v>
      </c>
      <c r="O2896" t="s">
        <v>3376</v>
      </c>
      <c r="P2896">
        <v>40525443</v>
      </c>
    </row>
    <row r="2897" spans="1:16">
      <c r="A2897" t="s">
        <v>139</v>
      </c>
      <c r="B2897">
        <v>0</v>
      </c>
      <c r="G2897" t="s">
        <v>3338</v>
      </c>
      <c r="I2897" t="s">
        <v>3338</v>
      </c>
      <c r="N2897" t="s">
        <v>3377</v>
      </c>
      <c r="O2897" t="s">
        <v>3346</v>
      </c>
      <c r="P2897">
        <v>40525443</v>
      </c>
    </row>
    <row r="2898" spans="1:16">
      <c r="A2898" t="s">
        <v>139</v>
      </c>
      <c r="B2898">
        <v>1</v>
      </c>
      <c r="E2898" t="s">
        <v>3377</v>
      </c>
      <c r="F2898" t="s">
        <v>3346</v>
      </c>
      <c r="G2898" t="s">
        <v>3378</v>
      </c>
      <c r="I2898" t="s">
        <v>3338</v>
      </c>
      <c r="L2898" t="s">
        <v>193</v>
      </c>
      <c r="N2898" t="s">
        <v>3379</v>
      </c>
      <c r="O2898" t="s">
        <v>3380</v>
      </c>
      <c r="P2898">
        <v>40525443</v>
      </c>
    </row>
    <row r="2899" spans="1:16">
      <c r="A2899" t="s">
        <v>139</v>
      </c>
      <c r="B2899">
        <v>2</v>
      </c>
      <c r="E2899" t="s">
        <v>3379</v>
      </c>
      <c r="F2899" t="s">
        <v>3380</v>
      </c>
      <c r="G2899" t="s">
        <v>3381</v>
      </c>
      <c r="I2899" t="s">
        <v>3338</v>
      </c>
      <c r="J2899" t="s">
        <v>2421</v>
      </c>
      <c r="K2899" t="s">
        <v>3354</v>
      </c>
      <c r="L2899" t="s">
        <v>3369</v>
      </c>
      <c r="N2899" t="s">
        <v>3382</v>
      </c>
      <c r="O2899" t="s">
        <v>3352</v>
      </c>
      <c r="P2899">
        <v>40525443</v>
      </c>
    </row>
    <row r="2900" spans="1:16">
      <c r="A2900" t="s">
        <v>139</v>
      </c>
      <c r="B2900">
        <v>2</v>
      </c>
      <c r="E2900" t="s">
        <v>3379</v>
      </c>
      <c r="F2900" t="s">
        <v>3380</v>
      </c>
      <c r="G2900" t="s">
        <v>3381</v>
      </c>
      <c r="I2900" t="s">
        <v>3338</v>
      </c>
      <c r="L2900" t="s">
        <v>3383</v>
      </c>
      <c r="N2900" t="s">
        <v>3384</v>
      </c>
      <c r="O2900" t="s">
        <v>3385</v>
      </c>
      <c r="P2900">
        <v>40525443</v>
      </c>
    </row>
    <row r="2901" spans="1:16">
      <c r="A2901" t="s">
        <v>139</v>
      </c>
      <c r="B2901">
        <v>2</v>
      </c>
      <c r="E2901" t="s">
        <v>3379</v>
      </c>
      <c r="F2901" t="s">
        <v>3380</v>
      </c>
      <c r="G2901" t="s">
        <v>3381</v>
      </c>
      <c r="I2901" t="s">
        <v>3338</v>
      </c>
      <c r="J2901" t="s">
        <v>2232</v>
      </c>
      <c r="K2901" t="s">
        <v>2233</v>
      </c>
      <c r="L2901" t="s">
        <v>3342</v>
      </c>
      <c r="N2901" t="s">
        <v>3386</v>
      </c>
      <c r="O2901" t="s">
        <v>3350</v>
      </c>
      <c r="P2901">
        <v>40525443</v>
      </c>
    </row>
    <row r="2902" spans="1:16">
      <c r="A2902" t="s">
        <v>139</v>
      </c>
      <c r="B2902">
        <v>0</v>
      </c>
      <c r="G2902" t="s">
        <v>3338</v>
      </c>
      <c r="I2902" t="s">
        <v>3338</v>
      </c>
      <c r="N2902" t="s">
        <v>3395</v>
      </c>
      <c r="O2902" t="s">
        <v>3396</v>
      </c>
      <c r="P2902">
        <v>40525443</v>
      </c>
    </row>
    <row r="2903" spans="1:16">
      <c r="A2903" t="s">
        <v>139</v>
      </c>
      <c r="B2903">
        <v>1</v>
      </c>
      <c r="E2903" t="s">
        <v>3395</v>
      </c>
      <c r="F2903" t="s">
        <v>3396</v>
      </c>
      <c r="G2903" t="s">
        <v>3397</v>
      </c>
      <c r="I2903" t="s">
        <v>3338</v>
      </c>
      <c r="L2903" t="s">
        <v>3342</v>
      </c>
      <c r="N2903" t="s">
        <v>3398</v>
      </c>
      <c r="O2903" t="s">
        <v>3399</v>
      </c>
      <c r="P2903">
        <v>40525443</v>
      </c>
    </row>
    <row r="2904" spans="1:16">
      <c r="A2904" t="s">
        <v>139</v>
      </c>
      <c r="B2904">
        <v>1</v>
      </c>
      <c r="E2904" t="s">
        <v>3395</v>
      </c>
      <c r="F2904" t="s">
        <v>3396</v>
      </c>
      <c r="G2904" t="s">
        <v>3397</v>
      </c>
      <c r="I2904" t="s">
        <v>3338</v>
      </c>
      <c r="J2904" t="s">
        <v>2232</v>
      </c>
      <c r="K2904" t="s">
        <v>2233</v>
      </c>
      <c r="L2904" t="s">
        <v>3342</v>
      </c>
      <c r="N2904" t="s">
        <v>3400</v>
      </c>
      <c r="O2904" t="s">
        <v>3401</v>
      </c>
      <c r="P2904">
        <v>40525443</v>
      </c>
    </row>
    <row r="2905" spans="1:16">
      <c r="A2905" t="s">
        <v>139</v>
      </c>
      <c r="B2905">
        <v>1</v>
      </c>
      <c r="E2905" t="s">
        <v>3395</v>
      </c>
      <c r="F2905" t="s">
        <v>3396</v>
      </c>
      <c r="G2905" t="s">
        <v>3397</v>
      </c>
      <c r="I2905" t="s">
        <v>3338</v>
      </c>
      <c r="L2905" t="s">
        <v>3342</v>
      </c>
      <c r="N2905" t="s">
        <v>3402</v>
      </c>
      <c r="O2905" t="s">
        <v>3403</v>
      </c>
      <c r="P2905">
        <v>40525443</v>
      </c>
    </row>
    <row r="2906" spans="1:16">
      <c r="A2906" t="s">
        <v>139</v>
      </c>
      <c r="B2906">
        <v>1</v>
      </c>
      <c r="E2906" t="s">
        <v>3395</v>
      </c>
      <c r="F2906" t="s">
        <v>3396</v>
      </c>
      <c r="G2906" t="s">
        <v>3397</v>
      </c>
      <c r="I2906" t="s">
        <v>3338</v>
      </c>
      <c r="J2906" t="s">
        <v>2232</v>
      </c>
      <c r="K2906" t="s">
        <v>2233</v>
      </c>
      <c r="L2906" t="s">
        <v>3342</v>
      </c>
      <c r="N2906" t="s">
        <v>3404</v>
      </c>
      <c r="O2906" t="s">
        <v>3405</v>
      </c>
      <c r="P2906">
        <v>40525443</v>
      </c>
    </row>
    <row r="2907" spans="1:16">
      <c r="A2907" t="s">
        <v>139</v>
      </c>
      <c r="B2907">
        <v>0</v>
      </c>
      <c r="G2907" t="s">
        <v>3338</v>
      </c>
      <c r="I2907" t="s">
        <v>3338</v>
      </c>
      <c r="N2907" t="s">
        <v>3406</v>
      </c>
      <c r="O2907" t="s">
        <v>3407</v>
      </c>
      <c r="P2907">
        <v>40525443</v>
      </c>
    </row>
    <row r="2908" spans="1:16">
      <c r="A2908" t="s">
        <v>139</v>
      </c>
      <c r="B2908">
        <v>1</v>
      </c>
      <c r="E2908" t="s">
        <v>3406</v>
      </c>
      <c r="F2908" t="s">
        <v>3407</v>
      </c>
      <c r="G2908" t="s">
        <v>3408</v>
      </c>
      <c r="I2908" t="s">
        <v>3338</v>
      </c>
      <c r="J2908" t="s">
        <v>2421</v>
      </c>
      <c r="K2908" t="s">
        <v>3354</v>
      </c>
      <c r="L2908" t="s">
        <v>3369</v>
      </c>
      <c r="N2908" t="s">
        <v>3409</v>
      </c>
      <c r="O2908" t="s">
        <v>3410</v>
      </c>
      <c r="P2908">
        <v>40525443</v>
      </c>
    </row>
    <row r="2909" spans="1:16">
      <c r="A2909" t="s">
        <v>139</v>
      </c>
      <c r="B2909">
        <v>1</v>
      </c>
      <c r="E2909" t="s">
        <v>3406</v>
      </c>
      <c r="F2909" t="s">
        <v>3407</v>
      </c>
      <c r="G2909" t="s">
        <v>3408</v>
      </c>
      <c r="I2909" t="s">
        <v>3338</v>
      </c>
      <c r="L2909" t="s">
        <v>193</v>
      </c>
      <c r="N2909" t="s">
        <v>3411</v>
      </c>
      <c r="O2909" t="s">
        <v>3412</v>
      </c>
      <c r="P2909">
        <v>40525443</v>
      </c>
    </row>
    <row r="2910" spans="1:16">
      <c r="A2910" t="s">
        <v>139</v>
      </c>
      <c r="B2910">
        <v>2</v>
      </c>
      <c r="E2910" t="s">
        <v>3411</v>
      </c>
      <c r="F2910" t="s">
        <v>3412</v>
      </c>
      <c r="G2910" t="s">
        <v>3413</v>
      </c>
      <c r="I2910" t="s">
        <v>3338</v>
      </c>
      <c r="L2910" t="s">
        <v>3342</v>
      </c>
      <c r="N2910" t="s">
        <v>3414</v>
      </c>
      <c r="O2910" t="s">
        <v>3415</v>
      </c>
      <c r="P2910">
        <v>40525443</v>
      </c>
    </row>
    <row r="2911" spans="1:16">
      <c r="A2911" t="s">
        <v>139</v>
      </c>
      <c r="B2911">
        <v>2</v>
      </c>
      <c r="E2911" t="s">
        <v>3411</v>
      </c>
      <c r="F2911" t="s">
        <v>3412</v>
      </c>
      <c r="G2911" t="s">
        <v>3413</v>
      </c>
      <c r="I2911" t="s">
        <v>3338</v>
      </c>
      <c r="J2911" t="s">
        <v>2232</v>
      </c>
      <c r="K2911" t="s">
        <v>2233</v>
      </c>
      <c r="L2911" t="s">
        <v>3342</v>
      </c>
      <c r="N2911" t="s">
        <v>3416</v>
      </c>
      <c r="O2911" t="s">
        <v>3417</v>
      </c>
      <c r="P2911">
        <v>40525443</v>
      </c>
    </row>
    <row r="2912" spans="1:16">
      <c r="A2912" t="s">
        <v>139</v>
      </c>
      <c r="B2912">
        <v>2</v>
      </c>
      <c r="E2912" t="s">
        <v>3411</v>
      </c>
      <c r="F2912" t="s">
        <v>3412</v>
      </c>
      <c r="G2912" t="s">
        <v>3413</v>
      </c>
      <c r="I2912" t="s">
        <v>3338</v>
      </c>
      <c r="J2912" t="s">
        <v>2232</v>
      </c>
      <c r="K2912" t="s">
        <v>2233</v>
      </c>
      <c r="L2912" t="s">
        <v>3342</v>
      </c>
      <c r="N2912" t="s">
        <v>3418</v>
      </c>
      <c r="O2912" t="s">
        <v>3419</v>
      </c>
      <c r="P2912">
        <v>40525443</v>
      </c>
    </row>
    <row r="2913" spans="1:16">
      <c r="A2913" t="s">
        <v>139</v>
      </c>
      <c r="B2913">
        <v>2</v>
      </c>
      <c r="E2913" t="s">
        <v>3411</v>
      </c>
      <c r="F2913" t="s">
        <v>3412</v>
      </c>
      <c r="G2913" t="s">
        <v>3413</v>
      </c>
      <c r="I2913" t="s">
        <v>3338</v>
      </c>
      <c r="L2913" t="s">
        <v>3342</v>
      </c>
      <c r="N2913" t="s">
        <v>3420</v>
      </c>
      <c r="O2913" t="s">
        <v>3421</v>
      </c>
      <c r="P2913">
        <v>40525443</v>
      </c>
    </row>
    <row r="2914" spans="1:16">
      <c r="A2914" t="s">
        <v>139</v>
      </c>
      <c r="B2914">
        <v>2</v>
      </c>
      <c r="E2914" t="s">
        <v>3411</v>
      </c>
      <c r="F2914" t="s">
        <v>3412</v>
      </c>
      <c r="G2914" t="s">
        <v>3413</v>
      </c>
      <c r="I2914" t="s">
        <v>3338</v>
      </c>
      <c r="J2914" t="s">
        <v>2232</v>
      </c>
      <c r="K2914" t="s">
        <v>2233</v>
      </c>
      <c r="L2914" t="s">
        <v>3342</v>
      </c>
      <c r="N2914" t="s">
        <v>3422</v>
      </c>
      <c r="O2914" t="s">
        <v>3423</v>
      </c>
      <c r="P2914">
        <v>40525443</v>
      </c>
    </row>
    <row r="2915" spans="1:16">
      <c r="A2915" t="s">
        <v>139</v>
      </c>
      <c r="B2915">
        <v>0</v>
      </c>
      <c r="G2915" t="s">
        <v>3338</v>
      </c>
      <c r="I2915" t="s">
        <v>3338</v>
      </c>
      <c r="N2915" t="s">
        <v>3424</v>
      </c>
      <c r="O2915" t="s">
        <v>3425</v>
      </c>
      <c r="P2915">
        <v>40525443</v>
      </c>
    </row>
    <row r="2916" spans="1:16">
      <c r="A2916" t="s">
        <v>139</v>
      </c>
      <c r="B2916">
        <v>1</v>
      </c>
      <c r="E2916" t="s">
        <v>3424</v>
      </c>
      <c r="F2916" t="s">
        <v>3425</v>
      </c>
      <c r="G2916" t="s">
        <v>3426</v>
      </c>
      <c r="I2916" t="s">
        <v>3338</v>
      </c>
      <c r="J2916" t="s">
        <v>2421</v>
      </c>
      <c r="K2916" t="s">
        <v>3354</v>
      </c>
      <c r="L2916" t="s">
        <v>3369</v>
      </c>
      <c r="N2916" t="s">
        <v>3427</v>
      </c>
      <c r="O2916" t="s">
        <v>3428</v>
      </c>
      <c r="P2916">
        <v>40525443</v>
      </c>
    </row>
    <row r="2917" spans="1:16">
      <c r="A2917" t="s">
        <v>139</v>
      </c>
      <c r="B2917">
        <v>1</v>
      </c>
      <c r="E2917" t="s">
        <v>3424</v>
      </c>
      <c r="F2917" t="s">
        <v>3425</v>
      </c>
      <c r="G2917" t="s">
        <v>3426</v>
      </c>
      <c r="I2917" t="s">
        <v>3338</v>
      </c>
      <c r="J2917" t="s">
        <v>2421</v>
      </c>
      <c r="K2917" t="s">
        <v>3354</v>
      </c>
      <c r="L2917" t="s">
        <v>3369</v>
      </c>
      <c r="N2917" t="s">
        <v>3429</v>
      </c>
      <c r="O2917" t="s">
        <v>3430</v>
      </c>
      <c r="P2917">
        <v>40525443</v>
      </c>
    </row>
    <row r="2918" spans="1:16">
      <c r="A2918" t="s">
        <v>139</v>
      </c>
      <c r="B2918">
        <v>1</v>
      </c>
      <c r="E2918" t="s">
        <v>3424</v>
      </c>
      <c r="F2918" t="s">
        <v>3425</v>
      </c>
      <c r="G2918" t="s">
        <v>3426</v>
      </c>
      <c r="I2918" t="s">
        <v>3338</v>
      </c>
      <c r="J2918" t="s">
        <v>2232</v>
      </c>
      <c r="K2918" t="s">
        <v>2233</v>
      </c>
      <c r="L2918" t="s">
        <v>3342</v>
      </c>
      <c r="N2918" t="s">
        <v>3431</v>
      </c>
      <c r="O2918" t="s">
        <v>3432</v>
      </c>
      <c r="P2918">
        <v>40525443</v>
      </c>
    </row>
    <row r="2919" spans="1:16">
      <c r="A2919" t="s">
        <v>139</v>
      </c>
      <c r="B2919">
        <v>0</v>
      </c>
      <c r="G2919" t="s">
        <v>3338</v>
      </c>
      <c r="I2919" t="s">
        <v>3338</v>
      </c>
      <c r="N2919" t="s">
        <v>3433</v>
      </c>
      <c r="O2919" t="s">
        <v>3434</v>
      </c>
      <c r="P2919">
        <v>40525443</v>
      </c>
    </row>
    <row r="2920" spans="1:16">
      <c r="A2920" t="s">
        <v>139</v>
      </c>
      <c r="B2920">
        <v>1</v>
      </c>
      <c r="E2920" t="s">
        <v>3433</v>
      </c>
      <c r="F2920" t="s">
        <v>3434</v>
      </c>
      <c r="G2920" t="s">
        <v>3435</v>
      </c>
      <c r="I2920" t="s">
        <v>3338</v>
      </c>
      <c r="J2920" t="s">
        <v>2232</v>
      </c>
      <c r="K2920" t="s">
        <v>2233</v>
      </c>
      <c r="L2920" t="s">
        <v>3342</v>
      </c>
      <c r="N2920" t="s">
        <v>3436</v>
      </c>
      <c r="O2920" t="s">
        <v>3437</v>
      </c>
      <c r="P2920">
        <v>40525443</v>
      </c>
    </row>
    <row r="2921" spans="1:16">
      <c r="A2921" t="s">
        <v>139</v>
      </c>
      <c r="B2921">
        <v>1</v>
      </c>
      <c r="E2921" t="s">
        <v>3433</v>
      </c>
      <c r="F2921" t="s">
        <v>3434</v>
      </c>
      <c r="G2921" t="s">
        <v>3435</v>
      </c>
      <c r="I2921" t="s">
        <v>3338</v>
      </c>
      <c r="J2921" t="s">
        <v>2232</v>
      </c>
      <c r="K2921" t="s">
        <v>2233</v>
      </c>
      <c r="L2921" t="s">
        <v>3342</v>
      </c>
      <c r="N2921" t="s">
        <v>3438</v>
      </c>
      <c r="O2921" t="s">
        <v>3439</v>
      </c>
      <c r="P2921">
        <v>40525443</v>
      </c>
    </row>
    <row r="2922" spans="1:16">
      <c r="A2922" t="s">
        <v>139</v>
      </c>
      <c r="B2922">
        <v>1</v>
      </c>
      <c r="E2922" t="s">
        <v>3433</v>
      </c>
      <c r="F2922" t="s">
        <v>3434</v>
      </c>
      <c r="G2922" t="s">
        <v>3435</v>
      </c>
      <c r="I2922" t="s">
        <v>3338</v>
      </c>
      <c r="J2922" t="s">
        <v>2232</v>
      </c>
      <c r="K2922" t="s">
        <v>2233</v>
      </c>
      <c r="L2922" t="s">
        <v>3342</v>
      </c>
      <c r="N2922" t="s">
        <v>3440</v>
      </c>
      <c r="O2922" t="s">
        <v>3441</v>
      </c>
      <c r="P2922">
        <v>40525443</v>
      </c>
    </row>
    <row r="2923" spans="1:16">
      <c r="A2923" t="s">
        <v>139</v>
      </c>
      <c r="B2923">
        <v>1</v>
      </c>
      <c r="E2923" t="s">
        <v>3433</v>
      </c>
      <c r="F2923" t="s">
        <v>3434</v>
      </c>
      <c r="G2923" t="s">
        <v>3435</v>
      </c>
      <c r="I2923" t="s">
        <v>3338</v>
      </c>
      <c r="J2923" t="s">
        <v>2232</v>
      </c>
      <c r="K2923" t="s">
        <v>2233</v>
      </c>
      <c r="L2923" t="s">
        <v>3342</v>
      </c>
      <c r="N2923" t="s">
        <v>3442</v>
      </c>
      <c r="O2923" t="s">
        <v>3443</v>
      </c>
      <c r="P2923">
        <v>40525443</v>
      </c>
    </row>
    <row r="2924" spans="1:16">
      <c r="A2924" t="s">
        <v>139</v>
      </c>
      <c r="B2924">
        <v>1</v>
      </c>
      <c r="E2924" t="s">
        <v>3433</v>
      </c>
      <c r="F2924" t="s">
        <v>3434</v>
      </c>
      <c r="G2924" t="s">
        <v>3435</v>
      </c>
      <c r="I2924" t="s">
        <v>3338</v>
      </c>
      <c r="J2924" t="s">
        <v>2232</v>
      </c>
      <c r="K2924" t="s">
        <v>2233</v>
      </c>
      <c r="L2924" t="s">
        <v>3342</v>
      </c>
      <c r="N2924" t="s">
        <v>3444</v>
      </c>
      <c r="O2924" t="s">
        <v>3445</v>
      </c>
      <c r="P2924">
        <v>40525443</v>
      </c>
    </row>
    <row r="2925" spans="1:16">
      <c r="A2925" t="s">
        <v>139</v>
      </c>
      <c r="B2925">
        <v>1</v>
      </c>
      <c r="E2925" t="s">
        <v>3433</v>
      </c>
      <c r="F2925" t="s">
        <v>3434</v>
      </c>
      <c r="G2925" t="s">
        <v>3435</v>
      </c>
      <c r="I2925" t="s">
        <v>3338</v>
      </c>
      <c r="J2925" t="s">
        <v>2232</v>
      </c>
      <c r="K2925" t="s">
        <v>2233</v>
      </c>
      <c r="L2925" t="s">
        <v>3342</v>
      </c>
      <c r="N2925" t="s">
        <v>3446</v>
      </c>
      <c r="O2925" t="s">
        <v>3447</v>
      </c>
      <c r="P2925">
        <v>40525443</v>
      </c>
    </row>
    <row r="2926" spans="1:16">
      <c r="A2926" t="s">
        <v>139</v>
      </c>
      <c r="B2926">
        <v>0</v>
      </c>
      <c r="G2926" t="s">
        <v>3338</v>
      </c>
      <c r="I2926" t="s">
        <v>3338</v>
      </c>
      <c r="N2926" t="s">
        <v>3448</v>
      </c>
      <c r="O2926" t="s">
        <v>3449</v>
      </c>
      <c r="P2926">
        <v>40525443</v>
      </c>
    </row>
    <row r="2927" spans="1:16">
      <c r="A2927" t="s">
        <v>139</v>
      </c>
      <c r="B2927">
        <v>1</v>
      </c>
      <c r="E2927" t="s">
        <v>3448</v>
      </c>
      <c r="F2927" t="s">
        <v>3449</v>
      </c>
      <c r="G2927" t="s">
        <v>3450</v>
      </c>
      <c r="I2927" t="s">
        <v>3338</v>
      </c>
      <c r="J2927" t="s">
        <v>2421</v>
      </c>
      <c r="K2927" t="s">
        <v>3354</v>
      </c>
      <c r="L2927" t="s">
        <v>3451</v>
      </c>
      <c r="N2927" t="s">
        <v>3452</v>
      </c>
      <c r="O2927" t="s">
        <v>3453</v>
      </c>
      <c r="P2927">
        <v>40525443</v>
      </c>
    </row>
    <row r="2928" spans="1:16">
      <c r="A2928" t="s">
        <v>139</v>
      </c>
      <c r="B2928">
        <v>0</v>
      </c>
      <c r="G2928" t="s">
        <v>3456</v>
      </c>
      <c r="I2928" t="s">
        <v>3456</v>
      </c>
      <c r="M2928" t="s">
        <v>3463</v>
      </c>
      <c r="N2928" t="s">
        <v>3479</v>
      </c>
      <c r="O2928" t="s">
        <v>3480</v>
      </c>
      <c r="P2928">
        <v>40525443</v>
      </c>
    </row>
    <row r="2929" spans="1:16">
      <c r="A2929" t="s">
        <v>139</v>
      </c>
      <c r="B2929">
        <v>0</v>
      </c>
      <c r="G2929" t="s">
        <v>3456</v>
      </c>
      <c r="I2929" t="s">
        <v>3456</v>
      </c>
      <c r="M2929" t="s">
        <v>3463</v>
      </c>
      <c r="N2929" t="s">
        <v>3461</v>
      </c>
      <c r="O2929" t="s">
        <v>3462</v>
      </c>
      <c r="P2929">
        <v>40525443</v>
      </c>
    </row>
    <row r="2930" spans="1:16">
      <c r="A2930" t="s">
        <v>139</v>
      </c>
      <c r="B2930">
        <v>0</v>
      </c>
      <c r="G2930" t="s">
        <v>3456</v>
      </c>
      <c r="I2930" t="s">
        <v>3456</v>
      </c>
      <c r="M2930" t="s">
        <v>3463</v>
      </c>
      <c r="N2930" t="s">
        <v>3489</v>
      </c>
      <c r="O2930" t="s">
        <v>3490</v>
      </c>
      <c r="P2930">
        <v>40525443</v>
      </c>
    </row>
    <row r="2931" spans="1:16">
      <c r="A2931" t="s">
        <v>139</v>
      </c>
      <c r="B2931">
        <v>0</v>
      </c>
      <c r="G2931" t="s">
        <v>3456</v>
      </c>
      <c r="I2931" t="s">
        <v>3456</v>
      </c>
      <c r="M2931" t="s">
        <v>3463</v>
      </c>
      <c r="N2931" t="s">
        <v>3481</v>
      </c>
      <c r="O2931" t="s">
        <v>3482</v>
      </c>
      <c r="P2931">
        <v>40525443</v>
      </c>
    </row>
    <row r="2932" spans="1:16">
      <c r="A2932" t="s">
        <v>141</v>
      </c>
      <c r="B2932">
        <v>0</v>
      </c>
      <c r="G2932" t="s">
        <v>3338</v>
      </c>
      <c r="I2932" t="s">
        <v>3338</v>
      </c>
      <c r="N2932" t="s">
        <v>3339</v>
      </c>
      <c r="O2932" t="s">
        <v>3340</v>
      </c>
      <c r="P2932">
        <v>39159625</v>
      </c>
    </row>
    <row r="2933" spans="1:16">
      <c r="A2933" t="s">
        <v>141</v>
      </c>
      <c r="B2933">
        <v>1</v>
      </c>
      <c r="E2933" t="s">
        <v>3339</v>
      </c>
      <c r="F2933" t="s">
        <v>3340</v>
      </c>
      <c r="G2933" t="s">
        <v>3341</v>
      </c>
      <c r="I2933" t="s">
        <v>3338</v>
      </c>
      <c r="J2933" t="s">
        <v>2232</v>
      </c>
      <c r="K2933" t="s">
        <v>2233</v>
      </c>
      <c r="L2933" t="s">
        <v>3342</v>
      </c>
      <c r="N2933" t="s">
        <v>3343</v>
      </c>
      <c r="O2933" t="s">
        <v>3344</v>
      </c>
      <c r="P2933">
        <v>39159625</v>
      </c>
    </row>
    <row r="2934" spans="1:16">
      <c r="A2934" t="s">
        <v>141</v>
      </c>
      <c r="B2934">
        <v>1</v>
      </c>
      <c r="E2934" t="s">
        <v>3339</v>
      </c>
      <c r="F2934" t="s">
        <v>3340</v>
      </c>
      <c r="G2934" t="s">
        <v>3341</v>
      </c>
      <c r="I2934" t="s">
        <v>3338</v>
      </c>
      <c r="J2934" t="s">
        <v>2232</v>
      </c>
      <c r="K2934" t="s">
        <v>2233</v>
      </c>
      <c r="L2934" t="s">
        <v>3342</v>
      </c>
      <c r="N2934" t="s">
        <v>3345</v>
      </c>
      <c r="O2934" t="s">
        <v>3346</v>
      </c>
      <c r="P2934">
        <v>39159625</v>
      </c>
    </row>
    <row r="2935" spans="1:16">
      <c r="A2935" t="s">
        <v>141</v>
      </c>
      <c r="B2935">
        <v>0</v>
      </c>
      <c r="G2935" t="s">
        <v>3338</v>
      </c>
      <c r="I2935" t="s">
        <v>3338</v>
      </c>
      <c r="N2935" t="s">
        <v>3347</v>
      </c>
      <c r="O2935" t="s">
        <v>3344</v>
      </c>
      <c r="P2935">
        <v>39159625</v>
      </c>
    </row>
    <row r="2936" spans="1:16">
      <c r="A2936" t="s">
        <v>141</v>
      </c>
      <c r="B2936">
        <v>1</v>
      </c>
      <c r="E2936" t="s">
        <v>3347</v>
      </c>
      <c r="F2936" t="s">
        <v>3344</v>
      </c>
      <c r="G2936" t="s">
        <v>3348</v>
      </c>
      <c r="I2936" t="s">
        <v>3338</v>
      </c>
      <c r="J2936" t="s">
        <v>2232</v>
      </c>
      <c r="K2936" t="s">
        <v>2233</v>
      </c>
      <c r="L2936" t="s">
        <v>3342</v>
      </c>
      <c r="N2936" t="s">
        <v>3349</v>
      </c>
      <c r="O2936" t="s">
        <v>3350</v>
      </c>
      <c r="P2936">
        <v>39159625</v>
      </c>
    </row>
    <row r="2937" spans="1:16">
      <c r="A2937" t="s">
        <v>141</v>
      </c>
      <c r="B2937">
        <v>1</v>
      </c>
      <c r="E2937" t="s">
        <v>3347</v>
      </c>
      <c r="F2937" t="s">
        <v>3344</v>
      </c>
      <c r="G2937" t="s">
        <v>3348</v>
      </c>
      <c r="I2937" t="s">
        <v>3338</v>
      </c>
      <c r="L2937" t="s">
        <v>193</v>
      </c>
      <c r="N2937" t="s">
        <v>3351</v>
      </c>
      <c r="O2937" t="s">
        <v>3352</v>
      </c>
      <c r="P2937">
        <v>39159625</v>
      </c>
    </row>
    <row r="2938" spans="1:16">
      <c r="A2938" t="s">
        <v>141</v>
      </c>
      <c r="B2938">
        <v>2</v>
      </c>
      <c r="E2938" t="s">
        <v>3351</v>
      </c>
      <c r="F2938" t="s">
        <v>3352</v>
      </c>
      <c r="G2938" t="s">
        <v>3353</v>
      </c>
      <c r="I2938" t="s">
        <v>3338</v>
      </c>
      <c r="J2938" t="s">
        <v>2421</v>
      </c>
      <c r="K2938" t="s">
        <v>3354</v>
      </c>
      <c r="L2938" t="s">
        <v>3355</v>
      </c>
      <c r="N2938" t="s">
        <v>3356</v>
      </c>
      <c r="O2938" t="s">
        <v>3357</v>
      </c>
      <c r="P2938">
        <v>39159625</v>
      </c>
    </row>
    <row r="2939" spans="1:16">
      <c r="A2939" t="s">
        <v>141</v>
      </c>
      <c r="B2939">
        <v>2</v>
      </c>
      <c r="E2939" t="s">
        <v>3351</v>
      </c>
      <c r="F2939" t="s">
        <v>3352</v>
      </c>
      <c r="G2939" t="s">
        <v>3353</v>
      </c>
      <c r="I2939" t="s">
        <v>3338</v>
      </c>
      <c r="J2939" t="s">
        <v>2421</v>
      </c>
      <c r="K2939" t="s">
        <v>3354</v>
      </c>
      <c r="L2939" t="s">
        <v>3355</v>
      </c>
      <c r="N2939" t="s">
        <v>3358</v>
      </c>
      <c r="O2939" t="s">
        <v>3359</v>
      </c>
      <c r="P2939">
        <v>39159625</v>
      </c>
    </row>
    <row r="2940" spans="1:16">
      <c r="A2940" t="s">
        <v>141</v>
      </c>
      <c r="B2940">
        <v>2</v>
      </c>
      <c r="E2940" t="s">
        <v>3351</v>
      </c>
      <c r="F2940" t="s">
        <v>3352</v>
      </c>
      <c r="G2940" t="s">
        <v>3353</v>
      </c>
      <c r="I2940" t="s">
        <v>3338</v>
      </c>
      <c r="J2940" t="s">
        <v>2421</v>
      </c>
      <c r="K2940" t="s">
        <v>3354</v>
      </c>
      <c r="L2940" t="s">
        <v>3355</v>
      </c>
      <c r="N2940" t="s">
        <v>3360</v>
      </c>
      <c r="O2940" t="s">
        <v>3361</v>
      </c>
      <c r="P2940">
        <v>39159625</v>
      </c>
    </row>
    <row r="2941" spans="1:16">
      <c r="A2941" t="s">
        <v>141</v>
      </c>
      <c r="B2941">
        <v>1</v>
      </c>
      <c r="E2941" t="s">
        <v>3347</v>
      </c>
      <c r="F2941" t="s">
        <v>3344</v>
      </c>
      <c r="G2941" t="s">
        <v>3348</v>
      </c>
      <c r="I2941" t="s">
        <v>3338</v>
      </c>
      <c r="J2941" t="s">
        <v>2236</v>
      </c>
      <c r="K2941" t="s">
        <v>3362</v>
      </c>
      <c r="L2941" t="s">
        <v>3363</v>
      </c>
      <c r="N2941" t="s">
        <v>3364</v>
      </c>
      <c r="O2941" t="s">
        <v>3365</v>
      </c>
      <c r="P2941">
        <v>39159625</v>
      </c>
    </row>
    <row r="2942" spans="1:16">
      <c r="A2942" t="s">
        <v>141</v>
      </c>
      <c r="B2942">
        <v>1</v>
      </c>
      <c r="E2942" t="s">
        <v>3347</v>
      </c>
      <c r="F2942" t="s">
        <v>3344</v>
      </c>
      <c r="G2942" t="s">
        <v>3348</v>
      </c>
      <c r="I2942" t="s">
        <v>3338</v>
      </c>
      <c r="L2942" t="s">
        <v>193</v>
      </c>
      <c r="N2942" t="s">
        <v>3366</v>
      </c>
      <c r="O2942" t="s">
        <v>3367</v>
      </c>
      <c r="P2942">
        <v>39159625</v>
      </c>
    </row>
    <row r="2943" spans="1:16">
      <c r="A2943" t="s">
        <v>141</v>
      </c>
      <c r="B2943">
        <v>2</v>
      </c>
      <c r="E2943" t="s">
        <v>3366</v>
      </c>
      <c r="F2943" t="s">
        <v>3367</v>
      </c>
      <c r="G2943" t="s">
        <v>3368</v>
      </c>
      <c r="I2943" t="s">
        <v>3338</v>
      </c>
      <c r="J2943" t="s">
        <v>2421</v>
      </c>
      <c r="K2943" t="s">
        <v>3354</v>
      </c>
      <c r="L2943" t="s">
        <v>3369</v>
      </c>
      <c r="N2943" t="s">
        <v>3370</v>
      </c>
      <c r="O2943" t="s">
        <v>3359</v>
      </c>
      <c r="P2943">
        <v>39159625</v>
      </c>
    </row>
    <row r="2944" spans="1:16">
      <c r="A2944" t="s">
        <v>141</v>
      </c>
      <c r="B2944">
        <v>2</v>
      </c>
      <c r="E2944" t="s">
        <v>3366</v>
      </c>
      <c r="F2944" t="s">
        <v>3367</v>
      </c>
      <c r="G2944" t="s">
        <v>3368</v>
      </c>
      <c r="I2944" t="s">
        <v>3338</v>
      </c>
      <c r="J2944" t="s">
        <v>2421</v>
      </c>
      <c r="K2944" t="s">
        <v>3354</v>
      </c>
      <c r="L2944" t="s">
        <v>3369</v>
      </c>
      <c r="N2944" t="s">
        <v>3371</v>
      </c>
      <c r="O2944" t="s">
        <v>3372</v>
      </c>
      <c r="P2944">
        <v>39159625</v>
      </c>
    </row>
    <row r="2945" spans="1:16">
      <c r="A2945" t="s">
        <v>141</v>
      </c>
      <c r="B2945">
        <v>2</v>
      </c>
      <c r="E2945" t="s">
        <v>3366</v>
      </c>
      <c r="F2945" t="s">
        <v>3367</v>
      </c>
      <c r="G2945" t="s">
        <v>3368</v>
      </c>
      <c r="I2945" t="s">
        <v>3338</v>
      </c>
      <c r="J2945" t="s">
        <v>2421</v>
      </c>
      <c r="K2945" t="s">
        <v>3354</v>
      </c>
      <c r="L2945" t="s">
        <v>3369</v>
      </c>
      <c r="N2945" t="s">
        <v>3373</v>
      </c>
      <c r="O2945" t="s">
        <v>3374</v>
      </c>
      <c r="P2945">
        <v>39159625</v>
      </c>
    </row>
    <row r="2946" spans="1:16">
      <c r="A2946" t="s">
        <v>141</v>
      </c>
      <c r="B2946">
        <v>2</v>
      </c>
      <c r="E2946" t="s">
        <v>3366</v>
      </c>
      <c r="F2946" t="s">
        <v>3367</v>
      </c>
      <c r="G2946" t="s">
        <v>3368</v>
      </c>
      <c r="I2946" t="s">
        <v>3338</v>
      </c>
      <c r="J2946" t="s">
        <v>2236</v>
      </c>
      <c r="K2946" t="s">
        <v>3362</v>
      </c>
      <c r="L2946" t="s">
        <v>3363</v>
      </c>
      <c r="N2946" t="s">
        <v>3375</v>
      </c>
      <c r="O2946" t="s">
        <v>3376</v>
      </c>
      <c r="P2946">
        <v>39159625</v>
      </c>
    </row>
    <row r="2947" spans="1:16">
      <c r="A2947" t="s">
        <v>141</v>
      </c>
      <c r="B2947">
        <v>0</v>
      </c>
      <c r="G2947" t="s">
        <v>3338</v>
      </c>
      <c r="I2947" t="s">
        <v>3338</v>
      </c>
      <c r="N2947" t="s">
        <v>3377</v>
      </c>
      <c r="O2947" t="s">
        <v>3346</v>
      </c>
      <c r="P2947">
        <v>39159625</v>
      </c>
    </row>
    <row r="2948" spans="1:16">
      <c r="A2948" t="s">
        <v>141</v>
      </c>
      <c r="B2948">
        <v>1</v>
      </c>
      <c r="E2948" t="s">
        <v>3377</v>
      </c>
      <c r="F2948" t="s">
        <v>3346</v>
      </c>
      <c r="G2948" t="s">
        <v>3378</v>
      </c>
      <c r="I2948" t="s">
        <v>3338</v>
      </c>
      <c r="L2948" t="s">
        <v>193</v>
      </c>
      <c r="N2948" t="s">
        <v>3379</v>
      </c>
      <c r="O2948" t="s">
        <v>3380</v>
      </c>
      <c r="P2948">
        <v>39159625</v>
      </c>
    </row>
    <row r="2949" spans="1:16">
      <c r="A2949" t="s">
        <v>141</v>
      </c>
      <c r="B2949">
        <v>2</v>
      </c>
      <c r="E2949" t="s">
        <v>3379</v>
      </c>
      <c r="F2949" t="s">
        <v>3380</v>
      </c>
      <c r="G2949" t="s">
        <v>3381</v>
      </c>
      <c r="I2949" t="s">
        <v>3338</v>
      </c>
      <c r="J2949" t="s">
        <v>2421</v>
      </c>
      <c r="K2949" t="s">
        <v>3354</v>
      </c>
      <c r="L2949" t="s">
        <v>3369</v>
      </c>
      <c r="N2949" t="s">
        <v>3382</v>
      </c>
      <c r="O2949" t="s">
        <v>3352</v>
      </c>
      <c r="P2949">
        <v>39159625</v>
      </c>
    </row>
    <row r="2950" spans="1:16">
      <c r="A2950" t="s">
        <v>141</v>
      </c>
      <c r="B2950">
        <v>2</v>
      </c>
      <c r="E2950" t="s">
        <v>3379</v>
      </c>
      <c r="F2950" t="s">
        <v>3380</v>
      </c>
      <c r="G2950" t="s">
        <v>3381</v>
      </c>
      <c r="I2950" t="s">
        <v>3338</v>
      </c>
      <c r="J2950" t="s">
        <v>2236</v>
      </c>
      <c r="K2950" t="s">
        <v>3362</v>
      </c>
      <c r="L2950" t="s">
        <v>3383</v>
      </c>
      <c r="N2950" t="s">
        <v>3384</v>
      </c>
      <c r="O2950" t="s">
        <v>3385</v>
      </c>
      <c r="P2950">
        <v>39159625</v>
      </c>
    </row>
    <row r="2951" spans="1:16">
      <c r="A2951" t="s">
        <v>141</v>
      </c>
      <c r="B2951">
        <v>2</v>
      </c>
      <c r="E2951" t="s">
        <v>3379</v>
      </c>
      <c r="F2951" t="s">
        <v>3380</v>
      </c>
      <c r="G2951" t="s">
        <v>3381</v>
      </c>
      <c r="I2951" t="s">
        <v>3338</v>
      </c>
      <c r="J2951" t="s">
        <v>2232</v>
      </c>
      <c r="K2951" t="s">
        <v>2233</v>
      </c>
      <c r="L2951" t="s">
        <v>3342</v>
      </c>
      <c r="N2951" t="s">
        <v>3386</v>
      </c>
      <c r="O2951" t="s">
        <v>3350</v>
      </c>
      <c r="P2951">
        <v>39159625</v>
      </c>
    </row>
    <row r="2952" spans="1:16">
      <c r="A2952" t="s">
        <v>141</v>
      </c>
      <c r="B2952">
        <v>1</v>
      </c>
      <c r="E2952" t="s">
        <v>3377</v>
      </c>
      <c r="F2952" t="s">
        <v>3346</v>
      </c>
      <c r="G2952" t="s">
        <v>3378</v>
      </c>
      <c r="I2952" t="s">
        <v>3338</v>
      </c>
      <c r="L2952" t="s">
        <v>193</v>
      </c>
      <c r="N2952" t="s">
        <v>3387</v>
      </c>
      <c r="O2952" t="s">
        <v>3388</v>
      </c>
      <c r="P2952">
        <v>39159625</v>
      </c>
    </row>
    <row r="2953" spans="1:16">
      <c r="A2953" t="s">
        <v>141</v>
      </c>
      <c r="B2953">
        <v>2</v>
      </c>
      <c r="E2953" t="s">
        <v>3387</v>
      </c>
      <c r="F2953" t="s">
        <v>3388</v>
      </c>
      <c r="G2953" t="s">
        <v>3389</v>
      </c>
      <c r="I2953" t="s">
        <v>3338</v>
      </c>
      <c r="L2953" t="s">
        <v>3369</v>
      </c>
      <c r="N2953" t="s">
        <v>3390</v>
      </c>
      <c r="O2953" t="s">
        <v>3352</v>
      </c>
      <c r="P2953">
        <v>39159625</v>
      </c>
    </row>
    <row r="2954" spans="1:16">
      <c r="A2954" t="s">
        <v>141</v>
      </c>
      <c r="B2954">
        <v>2</v>
      </c>
      <c r="E2954" t="s">
        <v>3387</v>
      </c>
      <c r="F2954" t="s">
        <v>3388</v>
      </c>
      <c r="G2954" t="s">
        <v>3389</v>
      </c>
      <c r="I2954" t="s">
        <v>3338</v>
      </c>
      <c r="L2954" t="s">
        <v>3342</v>
      </c>
      <c r="N2954" t="s">
        <v>3391</v>
      </c>
      <c r="O2954" t="s">
        <v>3392</v>
      </c>
      <c r="P2954">
        <v>39159625</v>
      </c>
    </row>
    <row r="2955" spans="1:16">
      <c r="A2955" t="s">
        <v>141</v>
      </c>
      <c r="B2955">
        <v>2</v>
      </c>
      <c r="E2955" t="s">
        <v>3387</v>
      </c>
      <c r="F2955" t="s">
        <v>3388</v>
      </c>
      <c r="G2955" t="s">
        <v>3389</v>
      </c>
      <c r="I2955" t="s">
        <v>3338</v>
      </c>
      <c r="L2955" t="s">
        <v>3383</v>
      </c>
      <c r="N2955" t="s">
        <v>3393</v>
      </c>
      <c r="O2955" t="s">
        <v>3385</v>
      </c>
      <c r="P2955">
        <v>39159625</v>
      </c>
    </row>
    <row r="2956" spans="1:16">
      <c r="A2956" t="s">
        <v>141</v>
      </c>
      <c r="B2956">
        <v>2</v>
      </c>
      <c r="E2956" t="s">
        <v>3387</v>
      </c>
      <c r="F2956" t="s">
        <v>3388</v>
      </c>
      <c r="G2956" t="s">
        <v>3389</v>
      </c>
      <c r="I2956" t="s">
        <v>3338</v>
      </c>
      <c r="L2956" t="s">
        <v>3342</v>
      </c>
      <c r="N2956" t="s">
        <v>3394</v>
      </c>
      <c r="O2956" t="s">
        <v>3350</v>
      </c>
      <c r="P2956">
        <v>39159625</v>
      </c>
    </row>
    <row r="2957" spans="1:16">
      <c r="A2957" t="s">
        <v>141</v>
      </c>
      <c r="B2957">
        <v>0</v>
      </c>
      <c r="G2957" t="s">
        <v>3338</v>
      </c>
      <c r="I2957" t="s">
        <v>3338</v>
      </c>
      <c r="N2957" t="s">
        <v>3395</v>
      </c>
      <c r="O2957" t="s">
        <v>3396</v>
      </c>
      <c r="P2957">
        <v>39159625</v>
      </c>
    </row>
    <row r="2958" spans="1:16">
      <c r="A2958" t="s">
        <v>141</v>
      </c>
      <c r="B2958">
        <v>1</v>
      </c>
      <c r="E2958" t="s">
        <v>3395</v>
      </c>
      <c r="F2958" t="s">
        <v>3396</v>
      </c>
      <c r="G2958" t="s">
        <v>3397</v>
      </c>
      <c r="I2958" t="s">
        <v>3338</v>
      </c>
      <c r="J2958" t="s">
        <v>2232</v>
      </c>
      <c r="K2958" t="s">
        <v>2233</v>
      </c>
      <c r="L2958" t="s">
        <v>3342</v>
      </c>
      <c r="N2958" t="s">
        <v>3398</v>
      </c>
      <c r="O2958" t="s">
        <v>3399</v>
      </c>
      <c r="P2958">
        <v>39159625</v>
      </c>
    </row>
    <row r="2959" spans="1:16">
      <c r="A2959" t="s">
        <v>141</v>
      </c>
      <c r="B2959">
        <v>1</v>
      </c>
      <c r="E2959" t="s">
        <v>3395</v>
      </c>
      <c r="F2959" t="s">
        <v>3396</v>
      </c>
      <c r="G2959" t="s">
        <v>3397</v>
      </c>
      <c r="I2959" t="s">
        <v>3338</v>
      </c>
      <c r="J2959" t="s">
        <v>2232</v>
      </c>
      <c r="K2959" t="s">
        <v>2233</v>
      </c>
      <c r="L2959" t="s">
        <v>3342</v>
      </c>
      <c r="N2959" t="s">
        <v>3400</v>
      </c>
      <c r="O2959" t="s">
        <v>3401</v>
      </c>
      <c r="P2959">
        <v>39159625</v>
      </c>
    </row>
    <row r="2960" spans="1:16">
      <c r="A2960" t="s">
        <v>141</v>
      </c>
      <c r="B2960">
        <v>1</v>
      </c>
      <c r="E2960" t="s">
        <v>3395</v>
      </c>
      <c r="F2960" t="s">
        <v>3396</v>
      </c>
      <c r="G2960" t="s">
        <v>3397</v>
      </c>
      <c r="I2960" t="s">
        <v>3338</v>
      </c>
      <c r="J2960" t="s">
        <v>2232</v>
      </c>
      <c r="K2960" t="s">
        <v>2233</v>
      </c>
      <c r="L2960" t="s">
        <v>3342</v>
      </c>
      <c r="N2960" t="s">
        <v>3402</v>
      </c>
      <c r="O2960" t="s">
        <v>3403</v>
      </c>
      <c r="P2960">
        <v>39159625</v>
      </c>
    </row>
    <row r="2961" spans="1:16">
      <c r="A2961" t="s">
        <v>141</v>
      </c>
      <c r="B2961">
        <v>1</v>
      </c>
      <c r="E2961" t="s">
        <v>3395</v>
      </c>
      <c r="F2961" t="s">
        <v>3396</v>
      </c>
      <c r="G2961" t="s">
        <v>3397</v>
      </c>
      <c r="I2961" t="s">
        <v>3338</v>
      </c>
      <c r="J2961" t="s">
        <v>2232</v>
      </c>
      <c r="K2961" t="s">
        <v>2233</v>
      </c>
      <c r="L2961" t="s">
        <v>3342</v>
      </c>
      <c r="N2961" t="s">
        <v>3404</v>
      </c>
      <c r="O2961" t="s">
        <v>3405</v>
      </c>
      <c r="P2961">
        <v>39159625</v>
      </c>
    </row>
    <row r="2962" spans="1:16">
      <c r="A2962" t="s">
        <v>141</v>
      </c>
      <c r="B2962">
        <v>0</v>
      </c>
      <c r="G2962" t="s">
        <v>3338</v>
      </c>
      <c r="I2962" t="s">
        <v>3338</v>
      </c>
      <c r="N2962" t="s">
        <v>3406</v>
      </c>
      <c r="O2962" t="s">
        <v>3407</v>
      </c>
      <c r="P2962">
        <v>39159625</v>
      </c>
    </row>
    <row r="2963" spans="1:16">
      <c r="A2963" t="s">
        <v>141</v>
      </c>
      <c r="B2963">
        <v>1</v>
      </c>
      <c r="E2963" t="s">
        <v>3406</v>
      </c>
      <c r="F2963" t="s">
        <v>3407</v>
      </c>
      <c r="G2963" t="s">
        <v>3408</v>
      </c>
      <c r="I2963" t="s">
        <v>3338</v>
      </c>
      <c r="J2963" t="s">
        <v>2421</v>
      </c>
      <c r="K2963" t="s">
        <v>3354</v>
      </c>
      <c r="L2963" t="s">
        <v>3369</v>
      </c>
      <c r="N2963" t="s">
        <v>3409</v>
      </c>
      <c r="O2963" t="s">
        <v>3410</v>
      </c>
      <c r="P2963">
        <v>39159625</v>
      </c>
    </row>
    <row r="2964" spans="1:16">
      <c r="A2964" t="s">
        <v>141</v>
      </c>
      <c r="B2964">
        <v>1</v>
      </c>
      <c r="E2964" t="s">
        <v>3406</v>
      </c>
      <c r="F2964" t="s">
        <v>3407</v>
      </c>
      <c r="G2964" t="s">
        <v>3408</v>
      </c>
      <c r="I2964" t="s">
        <v>3338</v>
      </c>
      <c r="L2964" t="s">
        <v>193</v>
      </c>
      <c r="N2964" t="s">
        <v>3411</v>
      </c>
      <c r="O2964" t="s">
        <v>3412</v>
      </c>
      <c r="P2964">
        <v>39159625</v>
      </c>
    </row>
    <row r="2965" spans="1:16">
      <c r="A2965" t="s">
        <v>141</v>
      </c>
      <c r="B2965">
        <v>2</v>
      </c>
      <c r="E2965" t="s">
        <v>3411</v>
      </c>
      <c r="F2965" t="s">
        <v>3412</v>
      </c>
      <c r="G2965" t="s">
        <v>3413</v>
      </c>
      <c r="I2965" t="s">
        <v>3338</v>
      </c>
      <c r="J2965" t="s">
        <v>2232</v>
      </c>
      <c r="K2965" t="s">
        <v>2233</v>
      </c>
      <c r="L2965" t="s">
        <v>3342</v>
      </c>
      <c r="N2965" t="s">
        <v>3414</v>
      </c>
      <c r="O2965" t="s">
        <v>3415</v>
      </c>
      <c r="P2965">
        <v>39159625</v>
      </c>
    </row>
    <row r="2966" spans="1:16">
      <c r="A2966" t="s">
        <v>141</v>
      </c>
      <c r="B2966">
        <v>2</v>
      </c>
      <c r="E2966" t="s">
        <v>3411</v>
      </c>
      <c r="F2966" t="s">
        <v>3412</v>
      </c>
      <c r="G2966" t="s">
        <v>3413</v>
      </c>
      <c r="I2966" t="s">
        <v>3338</v>
      </c>
      <c r="J2966" t="s">
        <v>2232</v>
      </c>
      <c r="K2966" t="s">
        <v>2233</v>
      </c>
      <c r="L2966" t="s">
        <v>3342</v>
      </c>
      <c r="N2966" t="s">
        <v>3416</v>
      </c>
      <c r="O2966" t="s">
        <v>3417</v>
      </c>
      <c r="P2966">
        <v>39159625</v>
      </c>
    </row>
    <row r="2967" spans="1:16">
      <c r="A2967" t="s">
        <v>141</v>
      </c>
      <c r="B2967">
        <v>2</v>
      </c>
      <c r="E2967" t="s">
        <v>3411</v>
      </c>
      <c r="F2967" t="s">
        <v>3412</v>
      </c>
      <c r="G2967" t="s">
        <v>3413</v>
      </c>
      <c r="I2967" t="s">
        <v>3338</v>
      </c>
      <c r="J2967" t="s">
        <v>2232</v>
      </c>
      <c r="K2967" t="s">
        <v>2233</v>
      </c>
      <c r="L2967" t="s">
        <v>3342</v>
      </c>
      <c r="N2967" t="s">
        <v>3418</v>
      </c>
      <c r="O2967" t="s">
        <v>3419</v>
      </c>
      <c r="P2967">
        <v>39159625</v>
      </c>
    </row>
    <row r="2968" spans="1:16">
      <c r="A2968" t="s">
        <v>141</v>
      </c>
      <c r="B2968">
        <v>2</v>
      </c>
      <c r="E2968" t="s">
        <v>3411</v>
      </c>
      <c r="F2968" t="s">
        <v>3412</v>
      </c>
      <c r="G2968" t="s">
        <v>3413</v>
      </c>
      <c r="I2968" t="s">
        <v>3338</v>
      </c>
      <c r="J2968" t="s">
        <v>2232</v>
      </c>
      <c r="K2968" t="s">
        <v>2233</v>
      </c>
      <c r="L2968" t="s">
        <v>3342</v>
      </c>
      <c r="N2968" t="s">
        <v>3420</v>
      </c>
      <c r="O2968" t="s">
        <v>3421</v>
      </c>
      <c r="P2968">
        <v>39159625</v>
      </c>
    </row>
    <row r="2969" spans="1:16">
      <c r="A2969" t="s">
        <v>141</v>
      </c>
      <c r="B2969">
        <v>2</v>
      </c>
      <c r="E2969" t="s">
        <v>3411</v>
      </c>
      <c r="F2969" t="s">
        <v>3412</v>
      </c>
      <c r="G2969" t="s">
        <v>3413</v>
      </c>
      <c r="I2969" t="s">
        <v>3338</v>
      </c>
      <c r="J2969" t="s">
        <v>2232</v>
      </c>
      <c r="K2969" t="s">
        <v>2233</v>
      </c>
      <c r="L2969" t="s">
        <v>3342</v>
      </c>
      <c r="N2969" t="s">
        <v>3422</v>
      </c>
      <c r="O2969" t="s">
        <v>3423</v>
      </c>
      <c r="P2969">
        <v>39159625</v>
      </c>
    </row>
    <row r="2970" spans="1:16">
      <c r="A2970" t="s">
        <v>141</v>
      </c>
      <c r="B2970">
        <v>0</v>
      </c>
      <c r="G2970" t="s">
        <v>3338</v>
      </c>
      <c r="I2970" t="s">
        <v>3338</v>
      </c>
      <c r="N2970" t="s">
        <v>3424</v>
      </c>
      <c r="O2970" t="s">
        <v>3425</v>
      </c>
      <c r="P2970">
        <v>39159625</v>
      </c>
    </row>
    <row r="2971" spans="1:16">
      <c r="A2971" t="s">
        <v>141</v>
      </c>
      <c r="B2971">
        <v>1</v>
      </c>
      <c r="E2971" t="s">
        <v>3424</v>
      </c>
      <c r="F2971" t="s">
        <v>3425</v>
      </c>
      <c r="G2971" t="s">
        <v>3426</v>
      </c>
      <c r="I2971" t="s">
        <v>3338</v>
      </c>
      <c r="J2971" t="s">
        <v>2421</v>
      </c>
      <c r="K2971" t="s">
        <v>3354</v>
      </c>
      <c r="L2971" t="s">
        <v>3369</v>
      </c>
      <c r="N2971" t="s">
        <v>3427</v>
      </c>
      <c r="O2971" t="s">
        <v>3428</v>
      </c>
      <c r="P2971">
        <v>39159625</v>
      </c>
    </row>
    <row r="2972" spans="1:16">
      <c r="A2972" t="s">
        <v>141</v>
      </c>
      <c r="B2972">
        <v>1</v>
      </c>
      <c r="E2972" t="s">
        <v>3424</v>
      </c>
      <c r="F2972" t="s">
        <v>3425</v>
      </c>
      <c r="G2972" t="s">
        <v>3426</v>
      </c>
      <c r="I2972" t="s">
        <v>3338</v>
      </c>
      <c r="J2972" t="s">
        <v>2421</v>
      </c>
      <c r="K2972" t="s">
        <v>3354</v>
      </c>
      <c r="L2972" t="s">
        <v>3369</v>
      </c>
      <c r="N2972" t="s">
        <v>3429</v>
      </c>
      <c r="O2972" t="s">
        <v>3430</v>
      </c>
      <c r="P2972">
        <v>39159625</v>
      </c>
    </row>
    <row r="2973" spans="1:16">
      <c r="A2973" t="s">
        <v>141</v>
      </c>
      <c r="B2973">
        <v>1</v>
      </c>
      <c r="E2973" t="s">
        <v>3424</v>
      </c>
      <c r="F2973" t="s">
        <v>3425</v>
      </c>
      <c r="G2973" t="s">
        <v>3426</v>
      </c>
      <c r="I2973" t="s">
        <v>3338</v>
      </c>
      <c r="J2973" t="s">
        <v>2232</v>
      </c>
      <c r="K2973" t="s">
        <v>2233</v>
      </c>
      <c r="L2973" t="s">
        <v>3342</v>
      </c>
      <c r="N2973" t="s">
        <v>3431</v>
      </c>
      <c r="O2973" t="s">
        <v>3432</v>
      </c>
      <c r="P2973">
        <v>39159625</v>
      </c>
    </row>
    <row r="2974" spans="1:16">
      <c r="A2974" t="s">
        <v>141</v>
      </c>
      <c r="B2974">
        <v>0</v>
      </c>
      <c r="G2974" t="s">
        <v>3338</v>
      </c>
      <c r="I2974" t="s">
        <v>3338</v>
      </c>
      <c r="N2974" t="s">
        <v>3433</v>
      </c>
      <c r="O2974" t="s">
        <v>3434</v>
      </c>
      <c r="P2974">
        <v>39159625</v>
      </c>
    </row>
    <row r="2975" spans="1:16">
      <c r="A2975" t="s">
        <v>141</v>
      </c>
      <c r="B2975">
        <v>1</v>
      </c>
      <c r="E2975" t="s">
        <v>3433</v>
      </c>
      <c r="F2975" t="s">
        <v>3434</v>
      </c>
      <c r="G2975" t="s">
        <v>3435</v>
      </c>
      <c r="I2975" t="s">
        <v>3338</v>
      </c>
      <c r="J2975" t="s">
        <v>2232</v>
      </c>
      <c r="K2975" t="s">
        <v>2233</v>
      </c>
      <c r="L2975" t="s">
        <v>3342</v>
      </c>
      <c r="N2975" t="s">
        <v>3436</v>
      </c>
      <c r="O2975" t="s">
        <v>3437</v>
      </c>
      <c r="P2975">
        <v>39159625</v>
      </c>
    </row>
    <row r="2976" spans="1:16">
      <c r="A2976" t="s">
        <v>141</v>
      </c>
      <c r="B2976">
        <v>1</v>
      </c>
      <c r="E2976" t="s">
        <v>3433</v>
      </c>
      <c r="F2976" t="s">
        <v>3434</v>
      </c>
      <c r="G2976" t="s">
        <v>3435</v>
      </c>
      <c r="I2976" t="s">
        <v>3338</v>
      </c>
      <c r="J2976" t="s">
        <v>2232</v>
      </c>
      <c r="K2976" t="s">
        <v>2233</v>
      </c>
      <c r="L2976" t="s">
        <v>3342</v>
      </c>
      <c r="N2976" t="s">
        <v>3438</v>
      </c>
      <c r="O2976" t="s">
        <v>3439</v>
      </c>
      <c r="P2976">
        <v>39159625</v>
      </c>
    </row>
    <row r="2977" spans="1:16">
      <c r="A2977" t="s">
        <v>141</v>
      </c>
      <c r="B2977">
        <v>1</v>
      </c>
      <c r="E2977" t="s">
        <v>3433</v>
      </c>
      <c r="F2977" t="s">
        <v>3434</v>
      </c>
      <c r="G2977" t="s">
        <v>3435</v>
      </c>
      <c r="I2977" t="s">
        <v>3338</v>
      </c>
      <c r="J2977" t="s">
        <v>2232</v>
      </c>
      <c r="K2977" t="s">
        <v>2233</v>
      </c>
      <c r="L2977" t="s">
        <v>3342</v>
      </c>
      <c r="N2977" t="s">
        <v>3440</v>
      </c>
      <c r="O2977" t="s">
        <v>3441</v>
      </c>
      <c r="P2977">
        <v>39159625</v>
      </c>
    </row>
    <row r="2978" spans="1:16">
      <c r="A2978" t="s">
        <v>141</v>
      </c>
      <c r="B2978">
        <v>1</v>
      </c>
      <c r="E2978" t="s">
        <v>3433</v>
      </c>
      <c r="F2978" t="s">
        <v>3434</v>
      </c>
      <c r="G2978" t="s">
        <v>3435</v>
      </c>
      <c r="I2978" t="s">
        <v>3338</v>
      </c>
      <c r="J2978" t="s">
        <v>2232</v>
      </c>
      <c r="K2978" t="s">
        <v>2233</v>
      </c>
      <c r="L2978" t="s">
        <v>3342</v>
      </c>
      <c r="N2978" t="s">
        <v>3442</v>
      </c>
      <c r="O2978" t="s">
        <v>3443</v>
      </c>
      <c r="P2978">
        <v>39159625</v>
      </c>
    </row>
    <row r="2979" spans="1:16">
      <c r="A2979" t="s">
        <v>141</v>
      </c>
      <c r="B2979">
        <v>1</v>
      </c>
      <c r="E2979" t="s">
        <v>3433</v>
      </c>
      <c r="F2979" t="s">
        <v>3434</v>
      </c>
      <c r="G2979" t="s">
        <v>3435</v>
      </c>
      <c r="I2979" t="s">
        <v>3338</v>
      </c>
      <c r="J2979" t="s">
        <v>2232</v>
      </c>
      <c r="K2979" t="s">
        <v>2233</v>
      </c>
      <c r="L2979" t="s">
        <v>3342</v>
      </c>
      <c r="N2979" t="s">
        <v>3444</v>
      </c>
      <c r="O2979" t="s">
        <v>3445</v>
      </c>
      <c r="P2979">
        <v>39159625</v>
      </c>
    </row>
    <row r="2980" spans="1:16">
      <c r="A2980" t="s">
        <v>141</v>
      </c>
      <c r="B2980">
        <v>1</v>
      </c>
      <c r="E2980" t="s">
        <v>3433</v>
      </c>
      <c r="F2980" t="s">
        <v>3434</v>
      </c>
      <c r="G2980" t="s">
        <v>3435</v>
      </c>
      <c r="I2980" t="s">
        <v>3338</v>
      </c>
      <c r="J2980" t="s">
        <v>2232</v>
      </c>
      <c r="K2980" t="s">
        <v>2233</v>
      </c>
      <c r="L2980" t="s">
        <v>3342</v>
      </c>
      <c r="N2980" t="s">
        <v>3446</v>
      </c>
      <c r="O2980" t="s">
        <v>3447</v>
      </c>
      <c r="P2980">
        <v>39159625</v>
      </c>
    </row>
    <row r="2981" spans="1:16">
      <c r="A2981" t="s">
        <v>141</v>
      </c>
      <c r="B2981">
        <v>0</v>
      </c>
      <c r="G2981" t="s">
        <v>3338</v>
      </c>
      <c r="I2981" t="s">
        <v>3338</v>
      </c>
      <c r="N2981" t="s">
        <v>3448</v>
      </c>
      <c r="O2981" t="s">
        <v>3449</v>
      </c>
      <c r="P2981">
        <v>39159625</v>
      </c>
    </row>
    <row r="2982" spans="1:16">
      <c r="A2982" t="s">
        <v>141</v>
      </c>
      <c r="B2982">
        <v>1</v>
      </c>
      <c r="E2982" t="s">
        <v>3448</v>
      </c>
      <c r="F2982" t="s">
        <v>3449</v>
      </c>
      <c r="G2982" t="s">
        <v>3450</v>
      </c>
      <c r="I2982" t="s">
        <v>3338</v>
      </c>
      <c r="J2982" t="s">
        <v>2421</v>
      </c>
      <c r="K2982" t="s">
        <v>3354</v>
      </c>
      <c r="L2982" t="s">
        <v>3451</v>
      </c>
      <c r="N2982" t="s">
        <v>3452</v>
      </c>
      <c r="O2982" t="s">
        <v>3453</v>
      </c>
      <c r="P2982">
        <v>39159625</v>
      </c>
    </row>
    <row r="2983" spans="1:16">
      <c r="A2983" t="s">
        <v>141</v>
      </c>
      <c r="B2983">
        <v>0</v>
      </c>
      <c r="G2983" t="s">
        <v>3456</v>
      </c>
      <c r="I2983" t="s">
        <v>3456</v>
      </c>
      <c r="M2983" t="s">
        <v>3460</v>
      </c>
      <c r="N2983" t="s">
        <v>3498</v>
      </c>
      <c r="O2983" t="s">
        <v>3499</v>
      </c>
      <c r="P2983">
        <v>39159625</v>
      </c>
    </row>
    <row r="2984" spans="1:16">
      <c r="A2984" t="s">
        <v>141</v>
      </c>
      <c r="B2984">
        <v>0</v>
      </c>
      <c r="G2984" t="s">
        <v>3456</v>
      </c>
      <c r="I2984" t="s">
        <v>3456</v>
      </c>
      <c r="M2984" t="s">
        <v>3460</v>
      </c>
      <c r="N2984" t="s">
        <v>3500</v>
      </c>
      <c r="O2984" t="s">
        <v>3501</v>
      </c>
      <c r="P2984">
        <v>39159625</v>
      </c>
    </row>
    <row r="2985" spans="1:16">
      <c r="A2985" t="s">
        <v>141</v>
      </c>
      <c r="B2985">
        <v>0</v>
      </c>
      <c r="G2985" t="s">
        <v>3456</v>
      </c>
      <c r="I2985" t="s">
        <v>3456</v>
      </c>
      <c r="M2985" t="s">
        <v>3463</v>
      </c>
      <c r="N2985" t="s">
        <v>3461</v>
      </c>
      <c r="O2985" t="s">
        <v>3462</v>
      </c>
      <c r="P2985">
        <v>39159625</v>
      </c>
    </row>
    <row r="2986" spans="1:16">
      <c r="A2986" t="s">
        <v>141</v>
      </c>
      <c r="B2986">
        <v>0</v>
      </c>
      <c r="G2986" t="s">
        <v>3456</v>
      </c>
      <c r="I2986" t="s">
        <v>3456</v>
      </c>
      <c r="M2986" t="s">
        <v>3463</v>
      </c>
      <c r="N2986" t="s">
        <v>3464</v>
      </c>
      <c r="O2986" t="s">
        <v>3465</v>
      </c>
      <c r="P2986">
        <v>39159625</v>
      </c>
    </row>
    <row r="2987" spans="1:16">
      <c r="A2987" t="s">
        <v>141</v>
      </c>
      <c r="B2987">
        <v>0</v>
      </c>
      <c r="G2987" t="s">
        <v>3456</v>
      </c>
      <c r="I2987" t="s">
        <v>3456</v>
      </c>
      <c r="M2987" t="s">
        <v>3460</v>
      </c>
      <c r="N2987" t="s">
        <v>3502</v>
      </c>
      <c r="O2987" t="s">
        <v>3503</v>
      </c>
      <c r="P2987">
        <v>39159625</v>
      </c>
    </row>
    <row r="2988" spans="1:16">
      <c r="A2988" t="s">
        <v>143</v>
      </c>
      <c r="B2988">
        <v>0</v>
      </c>
      <c r="G2988" t="s">
        <v>3338</v>
      </c>
      <c r="I2988" t="s">
        <v>3338</v>
      </c>
      <c r="N2988" t="s">
        <v>3339</v>
      </c>
      <c r="O2988" t="s">
        <v>3340</v>
      </c>
      <c r="P2988">
        <v>39927353</v>
      </c>
    </row>
    <row r="2989" spans="1:16">
      <c r="A2989" t="s">
        <v>143</v>
      </c>
      <c r="B2989">
        <v>1</v>
      </c>
      <c r="E2989" t="s">
        <v>3339</v>
      </c>
      <c r="F2989" t="s">
        <v>3340</v>
      </c>
      <c r="G2989" t="s">
        <v>3341</v>
      </c>
      <c r="I2989" t="s">
        <v>3338</v>
      </c>
      <c r="J2989" t="s">
        <v>2232</v>
      </c>
      <c r="K2989" t="s">
        <v>2233</v>
      </c>
      <c r="L2989" t="s">
        <v>3342</v>
      </c>
      <c r="N2989" t="s">
        <v>3343</v>
      </c>
      <c r="O2989" t="s">
        <v>3344</v>
      </c>
      <c r="P2989">
        <v>39927353</v>
      </c>
    </row>
    <row r="2990" spans="1:16">
      <c r="A2990" t="s">
        <v>143</v>
      </c>
      <c r="B2990">
        <v>1</v>
      </c>
      <c r="E2990" t="s">
        <v>3339</v>
      </c>
      <c r="F2990" t="s">
        <v>3340</v>
      </c>
      <c r="G2990" t="s">
        <v>3341</v>
      </c>
      <c r="I2990" t="s">
        <v>3338</v>
      </c>
      <c r="J2990" t="s">
        <v>2232</v>
      </c>
      <c r="K2990" t="s">
        <v>2233</v>
      </c>
      <c r="L2990" t="s">
        <v>3342</v>
      </c>
      <c r="N2990" t="s">
        <v>3345</v>
      </c>
      <c r="O2990" t="s">
        <v>3346</v>
      </c>
      <c r="P2990">
        <v>39927353</v>
      </c>
    </row>
    <row r="2991" spans="1:16">
      <c r="A2991" t="s">
        <v>143</v>
      </c>
      <c r="B2991">
        <v>0</v>
      </c>
      <c r="G2991" t="s">
        <v>3338</v>
      </c>
      <c r="I2991" t="s">
        <v>3338</v>
      </c>
      <c r="N2991" t="s">
        <v>3347</v>
      </c>
      <c r="O2991" t="s">
        <v>3344</v>
      </c>
      <c r="P2991">
        <v>39927353</v>
      </c>
    </row>
    <row r="2992" spans="1:16">
      <c r="A2992" t="s">
        <v>143</v>
      </c>
      <c r="B2992">
        <v>1</v>
      </c>
      <c r="E2992" t="s">
        <v>3347</v>
      </c>
      <c r="F2992" t="s">
        <v>3344</v>
      </c>
      <c r="G2992" t="s">
        <v>3348</v>
      </c>
      <c r="I2992" t="s">
        <v>3338</v>
      </c>
      <c r="J2992" t="s">
        <v>2232</v>
      </c>
      <c r="K2992" t="s">
        <v>2233</v>
      </c>
      <c r="L2992" t="s">
        <v>3342</v>
      </c>
      <c r="N2992" t="s">
        <v>3349</v>
      </c>
      <c r="O2992" t="s">
        <v>3350</v>
      </c>
      <c r="P2992">
        <v>39927353</v>
      </c>
    </row>
    <row r="2993" spans="1:16">
      <c r="A2993" t="s">
        <v>143</v>
      </c>
      <c r="B2993">
        <v>1</v>
      </c>
      <c r="E2993" t="s">
        <v>3347</v>
      </c>
      <c r="F2993" t="s">
        <v>3344</v>
      </c>
      <c r="G2993" t="s">
        <v>3348</v>
      </c>
      <c r="I2993" t="s">
        <v>3338</v>
      </c>
      <c r="L2993" t="s">
        <v>193</v>
      </c>
      <c r="N2993" t="s">
        <v>3351</v>
      </c>
      <c r="O2993" t="s">
        <v>3352</v>
      </c>
      <c r="P2993">
        <v>39927353</v>
      </c>
    </row>
    <row r="2994" spans="1:16">
      <c r="A2994" t="s">
        <v>143</v>
      </c>
      <c r="B2994">
        <v>2</v>
      </c>
      <c r="E2994" t="s">
        <v>3351</v>
      </c>
      <c r="F2994" t="s">
        <v>3352</v>
      </c>
      <c r="G2994" t="s">
        <v>3353</v>
      </c>
      <c r="I2994" t="s">
        <v>3338</v>
      </c>
      <c r="J2994" t="s">
        <v>2421</v>
      </c>
      <c r="K2994" t="s">
        <v>3354</v>
      </c>
      <c r="L2994" t="s">
        <v>3355</v>
      </c>
      <c r="N2994" t="s">
        <v>3356</v>
      </c>
      <c r="O2994" t="s">
        <v>3357</v>
      </c>
      <c r="P2994">
        <v>39927353</v>
      </c>
    </row>
    <row r="2995" spans="1:16">
      <c r="A2995" t="s">
        <v>143</v>
      </c>
      <c r="B2995">
        <v>2</v>
      </c>
      <c r="E2995" t="s">
        <v>3351</v>
      </c>
      <c r="F2995" t="s">
        <v>3352</v>
      </c>
      <c r="G2995" t="s">
        <v>3353</v>
      </c>
      <c r="I2995" t="s">
        <v>3338</v>
      </c>
      <c r="J2995" t="s">
        <v>2421</v>
      </c>
      <c r="K2995" t="s">
        <v>3354</v>
      </c>
      <c r="L2995" t="s">
        <v>3355</v>
      </c>
      <c r="N2995" t="s">
        <v>3358</v>
      </c>
      <c r="O2995" t="s">
        <v>3359</v>
      </c>
      <c r="P2995">
        <v>39927353</v>
      </c>
    </row>
    <row r="2996" spans="1:16">
      <c r="A2996" t="s">
        <v>143</v>
      </c>
      <c r="B2996">
        <v>2</v>
      </c>
      <c r="E2996" t="s">
        <v>3351</v>
      </c>
      <c r="F2996" t="s">
        <v>3352</v>
      </c>
      <c r="G2996" t="s">
        <v>3353</v>
      </c>
      <c r="I2996" t="s">
        <v>3338</v>
      </c>
      <c r="J2996" t="s">
        <v>2421</v>
      </c>
      <c r="K2996" t="s">
        <v>3354</v>
      </c>
      <c r="L2996" t="s">
        <v>3355</v>
      </c>
      <c r="N2996" t="s">
        <v>3360</v>
      </c>
      <c r="O2996" t="s">
        <v>3361</v>
      </c>
      <c r="P2996">
        <v>39927353</v>
      </c>
    </row>
    <row r="2997" spans="1:16">
      <c r="A2997" t="s">
        <v>143</v>
      </c>
      <c r="B2997">
        <v>1</v>
      </c>
      <c r="E2997" t="s">
        <v>3347</v>
      </c>
      <c r="F2997" t="s">
        <v>3344</v>
      </c>
      <c r="G2997" t="s">
        <v>3348</v>
      </c>
      <c r="I2997" t="s">
        <v>3338</v>
      </c>
      <c r="J2997" t="s">
        <v>2236</v>
      </c>
      <c r="K2997" t="s">
        <v>3362</v>
      </c>
      <c r="L2997" t="s">
        <v>3363</v>
      </c>
      <c r="N2997" t="s">
        <v>3364</v>
      </c>
      <c r="O2997" t="s">
        <v>3365</v>
      </c>
      <c r="P2997">
        <v>39927353</v>
      </c>
    </row>
    <row r="2998" spans="1:16">
      <c r="A2998" t="s">
        <v>143</v>
      </c>
      <c r="B2998">
        <v>1</v>
      </c>
      <c r="E2998" t="s">
        <v>3347</v>
      </c>
      <c r="F2998" t="s">
        <v>3344</v>
      </c>
      <c r="G2998" t="s">
        <v>3348</v>
      </c>
      <c r="I2998" t="s">
        <v>3338</v>
      </c>
      <c r="L2998" t="s">
        <v>193</v>
      </c>
      <c r="N2998" t="s">
        <v>3366</v>
      </c>
      <c r="O2998" t="s">
        <v>3367</v>
      </c>
      <c r="P2998">
        <v>39927353</v>
      </c>
    </row>
    <row r="2999" spans="1:16">
      <c r="A2999" t="s">
        <v>143</v>
      </c>
      <c r="B2999">
        <v>2</v>
      </c>
      <c r="E2999" t="s">
        <v>3366</v>
      </c>
      <c r="F2999" t="s">
        <v>3367</v>
      </c>
      <c r="G2999" t="s">
        <v>3368</v>
      </c>
      <c r="I2999" t="s">
        <v>3338</v>
      </c>
      <c r="J2999" t="s">
        <v>2421</v>
      </c>
      <c r="K2999" t="s">
        <v>3354</v>
      </c>
      <c r="L2999" t="s">
        <v>3369</v>
      </c>
      <c r="N2999" t="s">
        <v>3370</v>
      </c>
      <c r="O2999" t="s">
        <v>3359</v>
      </c>
      <c r="P2999">
        <v>39927353</v>
      </c>
    </row>
    <row r="3000" spans="1:16">
      <c r="A3000" t="s">
        <v>143</v>
      </c>
      <c r="B3000">
        <v>2</v>
      </c>
      <c r="E3000" t="s">
        <v>3366</v>
      </c>
      <c r="F3000" t="s">
        <v>3367</v>
      </c>
      <c r="G3000" t="s">
        <v>3368</v>
      </c>
      <c r="I3000" t="s">
        <v>3338</v>
      </c>
      <c r="J3000" t="s">
        <v>2421</v>
      </c>
      <c r="K3000" t="s">
        <v>3354</v>
      </c>
      <c r="L3000" t="s">
        <v>3369</v>
      </c>
      <c r="N3000" t="s">
        <v>3371</v>
      </c>
      <c r="O3000" t="s">
        <v>3372</v>
      </c>
      <c r="P3000">
        <v>39927353</v>
      </c>
    </row>
    <row r="3001" spans="1:16">
      <c r="A3001" t="s">
        <v>143</v>
      </c>
      <c r="B3001">
        <v>2</v>
      </c>
      <c r="E3001" t="s">
        <v>3366</v>
      </c>
      <c r="F3001" t="s">
        <v>3367</v>
      </c>
      <c r="G3001" t="s">
        <v>3368</v>
      </c>
      <c r="I3001" t="s">
        <v>3338</v>
      </c>
      <c r="J3001" t="s">
        <v>2421</v>
      </c>
      <c r="K3001" t="s">
        <v>3354</v>
      </c>
      <c r="L3001" t="s">
        <v>3369</v>
      </c>
      <c r="N3001" t="s">
        <v>3373</v>
      </c>
      <c r="O3001" t="s">
        <v>3374</v>
      </c>
      <c r="P3001">
        <v>39927353</v>
      </c>
    </row>
    <row r="3002" spans="1:16">
      <c r="A3002" t="s">
        <v>143</v>
      </c>
      <c r="B3002">
        <v>2</v>
      </c>
      <c r="E3002" t="s">
        <v>3366</v>
      </c>
      <c r="F3002" t="s">
        <v>3367</v>
      </c>
      <c r="G3002" t="s">
        <v>3368</v>
      </c>
      <c r="I3002" t="s">
        <v>3338</v>
      </c>
      <c r="J3002" t="s">
        <v>2236</v>
      </c>
      <c r="K3002" t="s">
        <v>3362</v>
      </c>
      <c r="L3002" t="s">
        <v>3363</v>
      </c>
      <c r="N3002" t="s">
        <v>3375</v>
      </c>
      <c r="O3002" t="s">
        <v>3376</v>
      </c>
      <c r="P3002">
        <v>39927353</v>
      </c>
    </row>
    <row r="3003" spans="1:16">
      <c r="A3003" t="s">
        <v>143</v>
      </c>
      <c r="B3003">
        <v>0</v>
      </c>
      <c r="G3003" t="s">
        <v>3338</v>
      </c>
      <c r="I3003" t="s">
        <v>3338</v>
      </c>
      <c r="N3003" t="s">
        <v>3377</v>
      </c>
      <c r="O3003" t="s">
        <v>3346</v>
      </c>
      <c r="P3003">
        <v>39927353</v>
      </c>
    </row>
    <row r="3004" spans="1:16">
      <c r="A3004" t="s">
        <v>143</v>
      </c>
      <c r="B3004">
        <v>1</v>
      </c>
      <c r="E3004" t="s">
        <v>3377</v>
      </c>
      <c r="F3004" t="s">
        <v>3346</v>
      </c>
      <c r="G3004" t="s">
        <v>3378</v>
      </c>
      <c r="I3004" t="s">
        <v>3338</v>
      </c>
      <c r="L3004" t="s">
        <v>193</v>
      </c>
      <c r="N3004" t="s">
        <v>3379</v>
      </c>
      <c r="O3004" t="s">
        <v>3380</v>
      </c>
      <c r="P3004">
        <v>39927353</v>
      </c>
    </row>
    <row r="3005" spans="1:16">
      <c r="A3005" t="s">
        <v>143</v>
      </c>
      <c r="B3005">
        <v>2</v>
      </c>
      <c r="E3005" t="s">
        <v>3379</v>
      </c>
      <c r="F3005" t="s">
        <v>3380</v>
      </c>
      <c r="G3005" t="s">
        <v>3381</v>
      </c>
      <c r="I3005" t="s">
        <v>3338</v>
      </c>
      <c r="J3005" t="s">
        <v>2421</v>
      </c>
      <c r="K3005" t="s">
        <v>3354</v>
      </c>
      <c r="L3005" t="s">
        <v>3369</v>
      </c>
      <c r="N3005" t="s">
        <v>3382</v>
      </c>
      <c r="O3005" t="s">
        <v>3352</v>
      </c>
      <c r="P3005">
        <v>39927353</v>
      </c>
    </row>
    <row r="3006" spans="1:16">
      <c r="A3006" t="s">
        <v>143</v>
      </c>
      <c r="B3006">
        <v>2</v>
      </c>
      <c r="E3006" t="s">
        <v>3379</v>
      </c>
      <c r="F3006" t="s">
        <v>3380</v>
      </c>
      <c r="G3006" t="s">
        <v>3381</v>
      </c>
      <c r="I3006" t="s">
        <v>3338</v>
      </c>
      <c r="L3006" t="s">
        <v>3383</v>
      </c>
      <c r="N3006" t="s">
        <v>3384</v>
      </c>
      <c r="O3006" t="s">
        <v>3385</v>
      </c>
      <c r="P3006">
        <v>39927353</v>
      </c>
    </row>
    <row r="3007" spans="1:16">
      <c r="A3007" t="s">
        <v>143</v>
      </c>
      <c r="B3007">
        <v>2</v>
      </c>
      <c r="E3007" t="s">
        <v>3379</v>
      </c>
      <c r="F3007" t="s">
        <v>3380</v>
      </c>
      <c r="G3007" t="s">
        <v>3381</v>
      </c>
      <c r="I3007" t="s">
        <v>3338</v>
      </c>
      <c r="J3007" t="s">
        <v>2232</v>
      </c>
      <c r="K3007" t="s">
        <v>2233</v>
      </c>
      <c r="L3007" t="s">
        <v>3342</v>
      </c>
      <c r="N3007" t="s">
        <v>3386</v>
      </c>
      <c r="O3007" t="s">
        <v>3350</v>
      </c>
      <c r="P3007">
        <v>39927353</v>
      </c>
    </row>
    <row r="3008" spans="1:16">
      <c r="A3008" t="s">
        <v>143</v>
      </c>
      <c r="B3008">
        <v>0</v>
      </c>
      <c r="G3008" t="s">
        <v>3338</v>
      </c>
      <c r="I3008" t="s">
        <v>3338</v>
      </c>
      <c r="N3008" t="s">
        <v>3395</v>
      </c>
      <c r="O3008" t="s">
        <v>3396</v>
      </c>
      <c r="P3008">
        <v>39927353</v>
      </c>
    </row>
    <row r="3009" spans="1:16">
      <c r="A3009" t="s">
        <v>143</v>
      </c>
      <c r="B3009">
        <v>1</v>
      </c>
      <c r="E3009" t="s">
        <v>3395</v>
      </c>
      <c r="F3009" t="s">
        <v>3396</v>
      </c>
      <c r="G3009" t="s">
        <v>3397</v>
      </c>
      <c r="I3009" t="s">
        <v>3338</v>
      </c>
      <c r="L3009" t="s">
        <v>3342</v>
      </c>
      <c r="N3009" t="s">
        <v>3398</v>
      </c>
      <c r="O3009" t="s">
        <v>3399</v>
      </c>
      <c r="P3009">
        <v>39927353</v>
      </c>
    </row>
    <row r="3010" spans="1:16">
      <c r="A3010" t="s">
        <v>143</v>
      </c>
      <c r="B3010">
        <v>1</v>
      </c>
      <c r="E3010" t="s">
        <v>3395</v>
      </c>
      <c r="F3010" t="s">
        <v>3396</v>
      </c>
      <c r="G3010" t="s">
        <v>3397</v>
      </c>
      <c r="I3010" t="s">
        <v>3338</v>
      </c>
      <c r="J3010" t="s">
        <v>2232</v>
      </c>
      <c r="K3010" t="s">
        <v>2233</v>
      </c>
      <c r="L3010" t="s">
        <v>3342</v>
      </c>
      <c r="N3010" t="s">
        <v>3400</v>
      </c>
      <c r="O3010" t="s">
        <v>3401</v>
      </c>
      <c r="P3010">
        <v>39927353</v>
      </c>
    </row>
    <row r="3011" spans="1:16">
      <c r="A3011" t="s">
        <v>143</v>
      </c>
      <c r="B3011">
        <v>1</v>
      </c>
      <c r="E3011" t="s">
        <v>3395</v>
      </c>
      <c r="F3011" t="s">
        <v>3396</v>
      </c>
      <c r="G3011" t="s">
        <v>3397</v>
      </c>
      <c r="I3011" t="s">
        <v>3338</v>
      </c>
      <c r="L3011" t="s">
        <v>3342</v>
      </c>
      <c r="N3011" t="s">
        <v>3402</v>
      </c>
      <c r="O3011" t="s">
        <v>3403</v>
      </c>
      <c r="P3011">
        <v>39927353</v>
      </c>
    </row>
    <row r="3012" spans="1:16">
      <c r="A3012" t="s">
        <v>143</v>
      </c>
      <c r="B3012">
        <v>1</v>
      </c>
      <c r="E3012" t="s">
        <v>3395</v>
      </c>
      <c r="F3012" t="s">
        <v>3396</v>
      </c>
      <c r="G3012" t="s">
        <v>3397</v>
      </c>
      <c r="I3012" t="s">
        <v>3338</v>
      </c>
      <c r="J3012" t="s">
        <v>2232</v>
      </c>
      <c r="K3012" t="s">
        <v>2233</v>
      </c>
      <c r="L3012" t="s">
        <v>3342</v>
      </c>
      <c r="N3012" t="s">
        <v>3404</v>
      </c>
      <c r="O3012" t="s">
        <v>3405</v>
      </c>
      <c r="P3012">
        <v>39927353</v>
      </c>
    </row>
    <row r="3013" spans="1:16">
      <c r="A3013" t="s">
        <v>143</v>
      </c>
      <c r="B3013">
        <v>0</v>
      </c>
      <c r="G3013" t="s">
        <v>3338</v>
      </c>
      <c r="I3013" t="s">
        <v>3338</v>
      </c>
      <c r="N3013" t="s">
        <v>3406</v>
      </c>
      <c r="O3013" t="s">
        <v>3407</v>
      </c>
      <c r="P3013">
        <v>39927353</v>
      </c>
    </row>
    <row r="3014" spans="1:16">
      <c r="A3014" t="s">
        <v>143</v>
      </c>
      <c r="B3014">
        <v>1</v>
      </c>
      <c r="E3014" t="s">
        <v>3406</v>
      </c>
      <c r="F3014" t="s">
        <v>3407</v>
      </c>
      <c r="G3014" t="s">
        <v>3408</v>
      </c>
      <c r="I3014" t="s">
        <v>3338</v>
      </c>
      <c r="J3014" t="s">
        <v>2421</v>
      </c>
      <c r="K3014" t="s">
        <v>3354</v>
      </c>
      <c r="L3014" t="s">
        <v>3369</v>
      </c>
      <c r="N3014" t="s">
        <v>3409</v>
      </c>
      <c r="O3014" t="s">
        <v>3410</v>
      </c>
      <c r="P3014">
        <v>39927353</v>
      </c>
    </row>
    <row r="3015" spans="1:16">
      <c r="A3015" t="s">
        <v>143</v>
      </c>
      <c r="B3015">
        <v>1</v>
      </c>
      <c r="E3015" t="s">
        <v>3406</v>
      </c>
      <c r="F3015" t="s">
        <v>3407</v>
      </c>
      <c r="G3015" t="s">
        <v>3408</v>
      </c>
      <c r="I3015" t="s">
        <v>3338</v>
      </c>
      <c r="L3015" t="s">
        <v>193</v>
      </c>
      <c r="N3015" t="s">
        <v>3411</v>
      </c>
      <c r="O3015" t="s">
        <v>3412</v>
      </c>
      <c r="P3015">
        <v>39927353</v>
      </c>
    </row>
    <row r="3016" spans="1:16">
      <c r="A3016" t="s">
        <v>143</v>
      </c>
      <c r="B3016">
        <v>2</v>
      </c>
      <c r="E3016" t="s">
        <v>3411</v>
      </c>
      <c r="F3016" t="s">
        <v>3412</v>
      </c>
      <c r="G3016" t="s">
        <v>3413</v>
      </c>
      <c r="I3016" t="s">
        <v>3338</v>
      </c>
      <c r="L3016" t="s">
        <v>3342</v>
      </c>
      <c r="N3016" t="s">
        <v>3414</v>
      </c>
      <c r="O3016" t="s">
        <v>3415</v>
      </c>
      <c r="P3016">
        <v>39927353</v>
      </c>
    </row>
    <row r="3017" spans="1:16">
      <c r="A3017" t="s">
        <v>143</v>
      </c>
      <c r="B3017">
        <v>2</v>
      </c>
      <c r="E3017" t="s">
        <v>3411</v>
      </c>
      <c r="F3017" t="s">
        <v>3412</v>
      </c>
      <c r="G3017" t="s">
        <v>3413</v>
      </c>
      <c r="I3017" t="s">
        <v>3338</v>
      </c>
      <c r="J3017" t="s">
        <v>2232</v>
      </c>
      <c r="K3017" t="s">
        <v>2233</v>
      </c>
      <c r="L3017" t="s">
        <v>3342</v>
      </c>
      <c r="N3017" t="s">
        <v>3416</v>
      </c>
      <c r="O3017" t="s">
        <v>3417</v>
      </c>
      <c r="P3017">
        <v>39927353</v>
      </c>
    </row>
    <row r="3018" spans="1:16">
      <c r="A3018" t="s">
        <v>143</v>
      </c>
      <c r="B3018">
        <v>2</v>
      </c>
      <c r="E3018" t="s">
        <v>3411</v>
      </c>
      <c r="F3018" t="s">
        <v>3412</v>
      </c>
      <c r="G3018" t="s">
        <v>3413</v>
      </c>
      <c r="I3018" t="s">
        <v>3338</v>
      </c>
      <c r="J3018" t="s">
        <v>2232</v>
      </c>
      <c r="K3018" t="s">
        <v>2233</v>
      </c>
      <c r="L3018" t="s">
        <v>3342</v>
      </c>
      <c r="N3018" t="s">
        <v>3418</v>
      </c>
      <c r="O3018" t="s">
        <v>3419</v>
      </c>
      <c r="P3018">
        <v>39927353</v>
      </c>
    </row>
    <row r="3019" spans="1:16">
      <c r="A3019" t="s">
        <v>143</v>
      </c>
      <c r="B3019">
        <v>2</v>
      </c>
      <c r="E3019" t="s">
        <v>3411</v>
      </c>
      <c r="F3019" t="s">
        <v>3412</v>
      </c>
      <c r="G3019" t="s">
        <v>3413</v>
      </c>
      <c r="I3019" t="s">
        <v>3338</v>
      </c>
      <c r="L3019" t="s">
        <v>3342</v>
      </c>
      <c r="N3019" t="s">
        <v>3420</v>
      </c>
      <c r="O3019" t="s">
        <v>3421</v>
      </c>
      <c r="P3019">
        <v>39927353</v>
      </c>
    </row>
    <row r="3020" spans="1:16">
      <c r="A3020" t="s">
        <v>143</v>
      </c>
      <c r="B3020">
        <v>2</v>
      </c>
      <c r="E3020" t="s">
        <v>3411</v>
      </c>
      <c r="F3020" t="s">
        <v>3412</v>
      </c>
      <c r="G3020" t="s">
        <v>3413</v>
      </c>
      <c r="I3020" t="s">
        <v>3338</v>
      </c>
      <c r="J3020" t="s">
        <v>2232</v>
      </c>
      <c r="K3020" t="s">
        <v>2233</v>
      </c>
      <c r="L3020" t="s">
        <v>3342</v>
      </c>
      <c r="N3020" t="s">
        <v>3422</v>
      </c>
      <c r="O3020" t="s">
        <v>3423</v>
      </c>
      <c r="P3020">
        <v>39927353</v>
      </c>
    </row>
    <row r="3021" spans="1:16">
      <c r="A3021" t="s">
        <v>143</v>
      </c>
      <c r="B3021">
        <v>0</v>
      </c>
      <c r="G3021" t="s">
        <v>3338</v>
      </c>
      <c r="I3021" t="s">
        <v>3338</v>
      </c>
      <c r="N3021" t="s">
        <v>3424</v>
      </c>
      <c r="O3021" t="s">
        <v>3425</v>
      </c>
      <c r="P3021">
        <v>39927353</v>
      </c>
    </row>
    <row r="3022" spans="1:16">
      <c r="A3022" t="s">
        <v>143</v>
      </c>
      <c r="B3022">
        <v>1</v>
      </c>
      <c r="E3022" t="s">
        <v>3424</v>
      </c>
      <c r="F3022" t="s">
        <v>3425</v>
      </c>
      <c r="G3022" t="s">
        <v>3426</v>
      </c>
      <c r="I3022" t="s">
        <v>3338</v>
      </c>
      <c r="J3022" t="s">
        <v>2421</v>
      </c>
      <c r="K3022" t="s">
        <v>3354</v>
      </c>
      <c r="L3022" t="s">
        <v>3369</v>
      </c>
      <c r="N3022" t="s">
        <v>3427</v>
      </c>
      <c r="O3022" t="s">
        <v>3428</v>
      </c>
      <c r="P3022">
        <v>39927353</v>
      </c>
    </row>
    <row r="3023" spans="1:16">
      <c r="A3023" t="s">
        <v>143</v>
      </c>
      <c r="B3023">
        <v>1</v>
      </c>
      <c r="E3023" t="s">
        <v>3424</v>
      </c>
      <c r="F3023" t="s">
        <v>3425</v>
      </c>
      <c r="G3023" t="s">
        <v>3426</v>
      </c>
      <c r="I3023" t="s">
        <v>3338</v>
      </c>
      <c r="J3023" t="s">
        <v>2421</v>
      </c>
      <c r="K3023" t="s">
        <v>3354</v>
      </c>
      <c r="L3023" t="s">
        <v>3369</v>
      </c>
      <c r="N3023" t="s">
        <v>3429</v>
      </c>
      <c r="O3023" t="s">
        <v>3430</v>
      </c>
      <c r="P3023">
        <v>39927353</v>
      </c>
    </row>
    <row r="3024" spans="1:16">
      <c r="A3024" t="s">
        <v>143</v>
      </c>
      <c r="B3024">
        <v>1</v>
      </c>
      <c r="E3024" t="s">
        <v>3424</v>
      </c>
      <c r="F3024" t="s">
        <v>3425</v>
      </c>
      <c r="G3024" t="s">
        <v>3426</v>
      </c>
      <c r="I3024" t="s">
        <v>3338</v>
      </c>
      <c r="J3024" t="s">
        <v>2232</v>
      </c>
      <c r="K3024" t="s">
        <v>2233</v>
      </c>
      <c r="L3024" t="s">
        <v>3342</v>
      </c>
      <c r="N3024" t="s">
        <v>3431</v>
      </c>
      <c r="O3024" t="s">
        <v>3432</v>
      </c>
      <c r="P3024">
        <v>39927353</v>
      </c>
    </row>
    <row r="3025" spans="1:16">
      <c r="A3025" t="s">
        <v>143</v>
      </c>
      <c r="B3025">
        <v>0</v>
      </c>
      <c r="G3025" t="s">
        <v>3338</v>
      </c>
      <c r="I3025" t="s">
        <v>3338</v>
      </c>
      <c r="N3025" t="s">
        <v>3433</v>
      </c>
      <c r="O3025" t="s">
        <v>3434</v>
      </c>
      <c r="P3025">
        <v>39927353</v>
      </c>
    </row>
    <row r="3026" spans="1:16">
      <c r="A3026" t="s">
        <v>143</v>
      </c>
      <c r="B3026">
        <v>1</v>
      </c>
      <c r="E3026" t="s">
        <v>3433</v>
      </c>
      <c r="F3026" t="s">
        <v>3434</v>
      </c>
      <c r="G3026" t="s">
        <v>3435</v>
      </c>
      <c r="I3026" t="s">
        <v>3338</v>
      </c>
      <c r="J3026" t="s">
        <v>2232</v>
      </c>
      <c r="K3026" t="s">
        <v>2233</v>
      </c>
      <c r="L3026" t="s">
        <v>3342</v>
      </c>
      <c r="N3026" t="s">
        <v>3436</v>
      </c>
      <c r="O3026" t="s">
        <v>3437</v>
      </c>
      <c r="P3026">
        <v>39927353</v>
      </c>
    </row>
    <row r="3027" spans="1:16">
      <c r="A3027" t="s">
        <v>143</v>
      </c>
      <c r="B3027">
        <v>1</v>
      </c>
      <c r="E3027" t="s">
        <v>3433</v>
      </c>
      <c r="F3027" t="s">
        <v>3434</v>
      </c>
      <c r="G3027" t="s">
        <v>3435</v>
      </c>
      <c r="I3027" t="s">
        <v>3338</v>
      </c>
      <c r="J3027" t="s">
        <v>2232</v>
      </c>
      <c r="K3027" t="s">
        <v>2233</v>
      </c>
      <c r="L3027" t="s">
        <v>3342</v>
      </c>
      <c r="N3027" t="s">
        <v>3438</v>
      </c>
      <c r="O3027" t="s">
        <v>3439</v>
      </c>
      <c r="P3027">
        <v>39927353</v>
      </c>
    </row>
    <row r="3028" spans="1:16">
      <c r="A3028" t="s">
        <v>143</v>
      </c>
      <c r="B3028">
        <v>1</v>
      </c>
      <c r="E3028" t="s">
        <v>3433</v>
      </c>
      <c r="F3028" t="s">
        <v>3434</v>
      </c>
      <c r="G3028" t="s">
        <v>3435</v>
      </c>
      <c r="I3028" t="s">
        <v>3338</v>
      </c>
      <c r="J3028" t="s">
        <v>2232</v>
      </c>
      <c r="K3028" t="s">
        <v>2233</v>
      </c>
      <c r="L3028" t="s">
        <v>3342</v>
      </c>
      <c r="N3028" t="s">
        <v>3440</v>
      </c>
      <c r="O3028" t="s">
        <v>3441</v>
      </c>
      <c r="P3028">
        <v>39927353</v>
      </c>
    </row>
    <row r="3029" spans="1:16">
      <c r="A3029" t="s">
        <v>143</v>
      </c>
      <c r="B3029">
        <v>1</v>
      </c>
      <c r="E3029" t="s">
        <v>3433</v>
      </c>
      <c r="F3029" t="s">
        <v>3434</v>
      </c>
      <c r="G3029" t="s">
        <v>3435</v>
      </c>
      <c r="I3029" t="s">
        <v>3338</v>
      </c>
      <c r="J3029" t="s">
        <v>2232</v>
      </c>
      <c r="K3029" t="s">
        <v>2233</v>
      </c>
      <c r="L3029" t="s">
        <v>3342</v>
      </c>
      <c r="N3029" t="s">
        <v>3442</v>
      </c>
      <c r="O3029" t="s">
        <v>3443</v>
      </c>
      <c r="P3029">
        <v>39927353</v>
      </c>
    </row>
    <row r="3030" spans="1:16">
      <c r="A3030" t="s">
        <v>143</v>
      </c>
      <c r="B3030">
        <v>1</v>
      </c>
      <c r="E3030" t="s">
        <v>3433</v>
      </c>
      <c r="F3030" t="s">
        <v>3434</v>
      </c>
      <c r="G3030" t="s">
        <v>3435</v>
      </c>
      <c r="I3030" t="s">
        <v>3338</v>
      </c>
      <c r="J3030" t="s">
        <v>2232</v>
      </c>
      <c r="K3030" t="s">
        <v>2233</v>
      </c>
      <c r="L3030" t="s">
        <v>3342</v>
      </c>
      <c r="N3030" t="s">
        <v>3444</v>
      </c>
      <c r="O3030" t="s">
        <v>3445</v>
      </c>
      <c r="P3030">
        <v>39927353</v>
      </c>
    </row>
    <row r="3031" spans="1:16">
      <c r="A3031" t="s">
        <v>143</v>
      </c>
      <c r="B3031">
        <v>1</v>
      </c>
      <c r="E3031" t="s">
        <v>3433</v>
      </c>
      <c r="F3031" t="s">
        <v>3434</v>
      </c>
      <c r="G3031" t="s">
        <v>3435</v>
      </c>
      <c r="I3031" t="s">
        <v>3338</v>
      </c>
      <c r="J3031" t="s">
        <v>2232</v>
      </c>
      <c r="K3031" t="s">
        <v>2233</v>
      </c>
      <c r="L3031" t="s">
        <v>3342</v>
      </c>
      <c r="N3031" t="s">
        <v>3446</v>
      </c>
      <c r="O3031" t="s">
        <v>3447</v>
      </c>
      <c r="P3031">
        <v>39927353</v>
      </c>
    </row>
    <row r="3032" spans="1:16">
      <c r="A3032" t="s">
        <v>143</v>
      </c>
      <c r="B3032">
        <v>0</v>
      </c>
      <c r="G3032" t="s">
        <v>3338</v>
      </c>
      <c r="I3032" t="s">
        <v>3338</v>
      </c>
      <c r="N3032" t="s">
        <v>3448</v>
      </c>
      <c r="O3032" t="s">
        <v>3449</v>
      </c>
      <c r="P3032">
        <v>39927353</v>
      </c>
    </row>
    <row r="3033" spans="1:16">
      <c r="A3033" t="s">
        <v>143</v>
      </c>
      <c r="B3033">
        <v>1</v>
      </c>
      <c r="E3033" t="s">
        <v>3448</v>
      </c>
      <c r="F3033" t="s">
        <v>3449</v>
      </c>
      <c r="G3033" t="s">
        <v>3450</v>
      </c>
      <c r="I3033" t="s">
        <v>3338</v>
      </c>
      <c r="J3033" t="s">
        <v>2421</v>
      </c>
      <c r="K3033" t="s">
        <v>3354</v>
      </c>
      <c r="L3033" t="s">
        <v>3451</v>
      </c>
      <c r="N3033" t="s">
        <v>3452</v>
      </c>
      <c r="O3033" t="s">
        <v>3453</v>
      </c>
      <c r="P3033">
        <v>39927353</v>
      </c>
    </row>
    <row r="3034" spans="1:16">
      <c r="A3034" t="s">
        <v>143</v>
      </c>
      <c r="B3034">
        <v>0</v>
      </c>
      <c r="G3034" t="s">
        <v>3456</v>
      </c>
      <c r="I3034" t="s">
        <v>3456</v>
      </c>
      <c r="M3034" t="s">
        <v>3463</v>
      </c>
      <c r="N3034" t="s">
        <v>3479</v>
      </c>
      <c r="O3034" t="s">
        <v>3480</v>
      </c>
      <c r="P3034">
        <v>39927353</v>
      </c>
    </row>
    <row r="3035" spans="1:16">
      <c r="A3035" t="s">
        <v>143</v>
      </c>
      <c r="B3035">
        <v>0</v>
      </c>
      <c r="G3035" t="s">
        <v>3456</v>
      </c>
      <c r="I3035" t="s">
        <v>3456</v>
      </c>
      <c r="M3035" t="s">
        <v>3463</v>
      </c>
      <c r="N3035" t="s">
        <v>3481</v>
      </c>
      <c r="O3035" t="s">
        <v>3482</v>
      </c>
      <c r="P3035">
        <v>39927353</v>
      </c>
    </row>
    <row r="3036" spans="1:16">
      <c r="A3036" t="s">
        <v>147</v>
      </c>
      <c r="B3036">
        <v>0</v>
      </c>
      <c r="G3036" t="s">
        <v>3338</v>
      </c>
      <c r="I3036" t="s">
        <v>3338</v>
      </c>
      <c r="N3036" t="s">
        <v>3339</v>
      </c>
      <c r="O3036" t="s">
        <v>3340</v>
      </c>
      <c r="P3036">
        <v>40730683</v>
      </c>
    </row>
    <row r="3037" spans="1:16">
      <c r="A3037" t="s">
        <v>147</v>
      </c>
      <c r="B3037">
        <v>1</v>
      </c>
      <c r="E3037" t="s">
        <v>3339</v>
      </c>
      <c r="F3037" t="s">
        <v>3340</v>
      </c>
      <c r="G3037" t="s">
        <v>3341</v>
      </c>
      <c r="I3037" t="s">
        <v>3338</v>
      </c>
      <c r="J3037" t="s">
        <v>2232</v>
      </c>
      <c r="K3037" t="s">
        <v>2233</v>
      </c>
      <c r="L3037" t="s">
        <v>3342</v>
      </c>
      <c r="N3037" t="s">
        <v>3343</v>
      </c>
      <c r="O3037" t="s">
        <v>3344</v>
      </c>
      <c r="P3037">
        <v>40730683</v>
      </c>
    </row>
    <row r="3038" spans="1:16">
      <c r="A3038" t="s">
        <v>147</v>
      </c>
      <c r="B3038">
        <v>1</v>
      </c>
      <c r="E3038" t="s">
        <v>3339</v>
      </c>
      <c r="F3038" t="s">
        <v>3340</v>
      </c>
      <c r="G3038" t="s">
        <v>3341</v>
      </c>
      <c r="I3038" t="s">
        <v>3338</v>
      </c>
      <c r="J3038" t="s">
        <v>2232</v>
      </c>
      <c r="K3038" t="s">
        <v>2233</v>
      </c>
      <c r="L3038" t="s">
        <v>3342</v>
      </c>
      <c r="N3038" t="s">
        <v>3345</v>
      </c>
      <c r="O3038" t="s">
        <v>3346</v>
      </c>
      <c r="P3038">
        <v>40730683</v>
      </c>
    </row>
    <row r="3039" spans="1:16">
      <c r="A3039" t="s">
        <v>147</v>
      </c>
      <c r="B3039">
        <v>0</v>
      </c>
      <c r="G3039" t="s">
        <v>3338</v>
      </c>
      <c r="I3039" t="s">
        <v>3338</v>
      </c>
      <c r="N3039" t="s">
        <v>3347</v>
      </c>
      <c r="O3039" t="s">
        <v>3344</v>
      </c>
      <c r="P3039">
        <v>40730683</v>
      </c>
    </row>
    <row r="3040" spans="1:16">
      <c r="A3040" t="s">
        <v>147</v>
      </c>
      <c r="B3040">
        <v>1</v>
      </c>
      <c r="E3040" t="s">
        <v>3347</v>
      </c>
      <c r="F3040" t="s">
        <v>3344</v>
      </c>
      <c r="G3040" t="s">
        <v>3348</v>
      </c>
      <c r="I3040" t="s">
        <v>3338</v>
      </c>
      <c r="J3040" t="s">
        <v>2232</v>
      </c>
      <c r="K3040" t="s">
        <v>2233</v>
      </c>
      <c r="L3040" t="s">
        <v>3342</v>
      </c>
      <c r="N3040" t="s">
        <v>3349</v>
      </c>
      <c r="O3040" t="s">
        <v>3350</v>
      </c>
      <c r="P3040">
        <v>40730683</v>
      </c>
    </row>
    <row r="3041" spans="1:16">
      <c r="A3041" t="s">
        <v>147</v>
      </c>
      <c r="B3041">
        <v>1</v>
      </c>
      <c r="E3041" t="s">
        <v>3347</v>
      </c>
      <c r="F3041" t="s">
        <v>3344</v>
      </c>
      <c r="G3041" t="s">
        <v>3348</v>
      </c>
      <c r="I3041" t="s">
        <v>3338</v>
      </c>
      <c r="L3041" t="s">
        <v>193</v>
      </c>
      <c r="N3041" t="s">
        <v>3351</v>
      </c>
      <c r="O3041" t="s">
        <v>3352</v>
      </c>
      <c r="P3041">
        <v>40730683</v>
      </c>
    </row>
    <row r="3042" spans="1:16">
      <c r="A3042" t="s">
        <v>147</v>
      </c>
      <c r="B3042">
        <v>2</v>
      </c>
      <c r="E3042" t="s">
        <v>3351</v>
      </c>
      <c r="F3042" t="s">
        <v>3352</v>
      </c>
      <c r="G3042" t="s">
        <v>3353</v>
      </c>
      <c r="I3042" t="s">
        <v>3338</v>
      </c>
      <c r="J3042" t="s">
        <v>2421</v>
      </c>
      <c r="K3042" t="s">
        <v>3354</v>
      </c>
      <c r="L3042" t="s">
        <v>3355</v>
      </c>
      <c r="N3042" t="s">
        <v>3356</v>
      </c>
      <c r="O3042" t="s">
        <v>3357</v>
      </c>
      <c r="P3042">
        <v>40730683</v>
      </c>
    </row>
    <row r="3043" spans="1:16">
      <c r="A3043" t="s">
        <v>147</v>
      </c>
      <c r="B3043">
        <v>2</v>
      </c>
      <c r="E3043" t="s">
        <v>3351</v>
      </c>
      <c r="F3043" t="s">
        <v>3352</v>
      </c>
      <c r="G3043" t="s">
        <v>3353</v>
      </c>
      <c r="I3043" t="s">
        <v>3338</v>
      </c>
      <c r="J3043" t="s">
        <v>2421</v>
      </c>
      <c r="K3043" t="s">
        <v>3354</v>
      </c>
      <c r="L3043" t="s">
        <v>3355</v>
      </c>
      <c r="N3043" t="s">
        <v>3358</v>
      </c>
      <c r="O3043" t="s">
        <v>3359</v>
      </c>
      <c r="P3043">
        <v>40730683</v>
      </c>
    </row>
    <row r="3044" spans="1:16">
      <c r="A3044" t="s">
        <v>147</v>
      </c>
      <c r="B3044">
        <v>2</v>
      </c>
      <c r="E3044" t="s">
        <v>3351</v>
      </c>
      <c r="F3044" t="s">
        <v>3352</v>
      </c>
      <c r="G3044" t="s">
        <v>3353</v>
      </c>
      <c r="I3044" t="s">
        <v>3338</v>
      </c>
      <c r="J3044" t="s">
        <v>2421</v>
      </c>
      <c r="K3044" t="s">
        <v>3354</v>
      </c>
      <c r="L3044" t="s">
        <v>3355</v>
      </c>
      <c r="N3044" t="s">
        <v>3360</v>
      </c>
      <c r="O3044" t="s">
        <v>3361</v>
      </c>
      <c r="P3044">
        <v>40730683</v>
      </c>
    </row>
    <row r="3045" spans="1:16">
      <c r="A3045" t="s">
        <v>147</v>
      </c>
      <c r="B3045">
        <v>1</v>
      </c>
      <c r="E3045" t="s">
        <v>3347</v>
      </c>
      <c r="F3045" t="s">
        <v>3344</v>
      </c>
      <c r="G3045" t="s">
        <v>3348</v>
      </c>
      <c r="I3045" t="s">
        <v>3338</v>
      </c>
      <c r="J3045" t="s">
        <v>2236</v>
      </c>
      <c r="K3045" t="s">
        <v>3362</v>
      </c>
      <c r="L3045" t="s">
        <v>3363</v>
      </c>
      <c r="N3045" t="s">
        <v>3364</v>
      </c>
      <c r="O3045" t="s">
        <v>3365</v>
      </c>
      <c r="P3045">
        <v>40730683</v>
      </c>
    </row>
    <row r="3046" spans="1:16">
      <c r="A3046" t="s">
        <v>147</v>
      </c>
      <c r="B3046">
        <v>1</v>
      </c>
      <c r="E3046" t="s">
        <v>3347</v>
      </c>
      <c r="F3046" t="s">
        <v>3344</v>
      </c>
      <c r="G3046" t="s">
        <v>3348</v>
      </c>
      <c r="I3046" t="s">
        <v>3338</v>
      </c>
      <c r="L3046" t="s">
        <v>193</v>
      </c>
      <c r="N3046" t="s">
        <v>3366</v>
      </c>
      <c r="O3046" t="s">
        <v>3367</v>
      </c>
      <c r="P3046">
        <v>40730683</v>
      </c>
    </row>
    <row r="3047" spans="1:16">
      <c r="A3047" t="s">
        <v>147</v>
      </c>
      <c r="B3047">
        <v>2</v>
      </c>
      <c r="E3047" t="s">
        <v>3366</v>
      </c>
      <c r="F3047" t="s">
        <v>3367</v>
      </c>
      <c r="G3047" t="s">
        <v>3368</v>
      </c>
      <c r="I3047" t="s">
        <v>3338</v>
      </c>
      <c r="J3047" t="s">
        <v>2421</v>
      </c>
      <c r="K3047" t="s">
        <v>3354</v>
      </c>
      <c r="L3047" t="s">
        <v>3369</v>
      </c>
      <c r="N3047" t="s">
        <v>3370</v>
      </c>
      <c r="O3047" t="s">
        <v>3359</v>
      </c>
      <c r="P3047">
        <v>40730683</v>
      </c>
    </row>
    <row r="3048" spans="1:16">
      <c r="A3048" t="s">
        <v>147</v>
      </c>
      <c r="B3048">
        <v>2</v>
      </c>
      <c r="E3048" t="s">
        <v>3366</v>
      </c>
      <c r="F3048" t="s">
        <v>3367</v>
      </c>
      <c r="G3048" t="s">
        <v>3368</v>
      </c>
      <c r="I3048" t="s">
        <v>3338</v>
      </c>
      <c r="J3048" t="s">
        <v>2421</v>
      </c>
      <c r="K3048" t="s">
        <v>3354</v>
      </c>
      <c r="L3048" t="s">
        <v>3369</v>
      </c>
      <c r="N3048" t="s">
        <v>3371</v>
      </c>
      <c r="O3048" t="s">
        <v>3372</v>
      </c>
      <c r="P3048">
        <v>40730683</v>
      </c>
    </row>
    <row r="3049" spans="1:16">
      <c r="A3049" t="s">
        <v>147</v>
      </c>
      <c r="B3049">
        <v>2</v>
      </c>
      <c r="E3049" t="s">
        <v>3366</v>
      </c>
      <c r="F3049" t="s">
        <v>3367</v>
      </c>
      <c r="G3049" t="s">
        <v>3368</v>
      </c>
      <c r="I3049" t="s">
        <v>3338</v>
      </c>
      <c r="J3049" t="s">
        <v>2421</v>
      </c>
      <c r="K3049" t="s">
        <v>3354</v>
      </c>
      <c r="L3049" t="s">
        <v>3369</v>
      </c>
      <c r="N3049" t="s">
        <v>3373</v>
      </c>
      <c r="O3049" t="s">
        <v>3374</v>
      </c>
      <c r="P3049">
        <v>40730683</v>
      </c>
    </row>
    <row r="3050" spans="1:16">
      <c r="A3050" t="s">
        <v>147</v>
      </c>
      <c r="B3050">
        <v>2</v>
      </c>
      <c r="E3050" t="s">
        <v>3366</v>
      </c>
      <c r="F3050" t="s">
        <v>3367</v>
      </c>
      <c r="G3050" t="s">
        <v>3368</v>
      </c>
      <c r="I3050" t="s">
        <v>3338</v>
      </c>
      <c r="J3050" t="s">
        <v>2236</v>
      </c>
      <c r="K3050" t="s">
        <v>3362</v>
      </c>
      <c r="L3050" t="s">
        <v>3363</v>
      </c>
      <c r="N3050" t="s">
        <v>3375</v>
      </c>
      <c r="O3050" t="s">
        <v>3376</v>
      </c>
      <c r="P3050">
        <v>40730683</v>
      </c>
    </row>
    <row r="3051" spans="1:16">
      <c r="A3051" t="s">
        <v>147</v>
      </c>
      <c r="B3051">
        <v>0</v>
      </c>
      <c r="G3051" t="s">
        <v>3338</v>
      </c>
      <c r="I3051" t="s">
        <v>3338</v>
      </c>
      <c r="N3051" t="s">
        <v>3377</v>
      </c>
      <c r="O3051" t="s">
        <v>3346</v>
      </c>
      <c r="P3051">
        <v>40730683</v>
      </c>
    </row>
    <row r="3052" spans="1:16">
      <c r="A3052" t="s">
        <v>147</v>
      </c>
      <c r="B3052">
        <v>1</v>
      </c>
      <c r="E3052" t="s">
        <v>3377</v>
      </c>
      <c r="F3052" t="s">
        <v>3346</v>
      </c>
      <c r="G3052" t="s">
        <v>3378</v>
      </c>
      <c r="I3052" t="s">
        <v>3338</v>
      </c>
      <c r="L3052" t="s">
        <v>193</v>
      </c>
      <c r="N3052" t="s">
        <v>3379</v>
      </c>
      <c r="O3052" t="s">
        <v>3380</v>
      </c>
      <c r="P3052">
        <v>40730683</v>
      </c>
    </row>
    <row r="3053" spans="1:16">
      <c r="A3053" t="s">
        <v>147</v>
      </c>
      <c r="B3053">
        <v>2</v>
      </c>
      <c r="E3053" t="s">
        <v>3379</v>
      </c>
      <c r="F3053" t="s">
        <v>3380</v>
      </c>
      <c r="G3053" t="s">
        <v>3381</v>
      </c>
      <c r="I3053" t="s">
        <v>3338</v>
      </c>
      <c r="J3053" t="s">
        <v>2421</v>
      </c>
      <c r="K3053" t="s">
        <v>3354</v>
      </c>
      <c r="L3053" t="s">
        <v>3369</v>
      </c>
      <c r="N3053" t="s">
        <v>3382</v>
      </c>
      <c r="O3053" t="s">
        <v>3352</v>
      </c>
      <c r="P3053">
        <v>40730683</v>
      </c>
    </row>
    <row r="3054" spans="1:16">
      <c r="A3054" t="s">
        <v>147</v>
      </c>
      <c r="B3054">
        <v>2</v>
      </c>
      <c r="E3054" t="s">
        <v>3379</v>
      </c>
      <c r="F3054" t="s">
        <v>3380</v>
      </c>
      <c r="G3054" t="s">
        <v>3381</v>
      </c>
      <c r="I3054" t="s">
        <v>3338</v>
      </c>
      <c r="L3054" t="s">
        <v>3383</v>
      </c>
      <c r="N3054" t="s">
        <v>3384</v>
      </c>
      <c r="O3054" t="s">
        <v>3385</v>
      </c>
      <c r="P3054">
        <v>40730683</v>
      </c>
    </row>
    <row r="3055" spans="1:16">
      <c r="A3055" t="s">
        <v>147</v>
      </c>
      <c r="B3055">
        <v>2</v>
      </c>
      <c r="E3055" t="s">
        <v>3379</v>
      </c>
      <c r="F3055" t="s">
        <v>3380</v>
      </c>
      <c r="G3055" t="s">
        <v>3381</v>
      </c>
      <c r="I3055" t="s">
        <v>3338</v>
      </c>
      <c r="J3055" t="s">
        <v>2232</v>
      </c>
      <c r="K3055" t="s">
        <v>2233</v>
      </c>
      <c r="L3055" t="s">
        <v>3342</v>
      </c>
      <c r="N3055" t="s">
        <v>3386</v>
      </c>
      <c r="O3055" t="s">
        <v>3350</v>
      </c>
      <c r="P3055">
        <v>40730683</v>
      </c>
    </row>
    <row r="3056" spans="1:16">
      <c r="A3056" t="s">
        <v>147</v>
      </c>
      <c r="B3056">
        <v>0</v>
      </c>
      <c r="G3056" t="s">
        <v>3338</v>
      </c>
      <c r="I3056" t="s">
        <v>3338</v>
      </c>
      <c r="N3056" t="s">
        <v>3395</v>
      </c>
      <c r="O3056" t="s">
        <v>3396</v>
      </c>
      <c r="P3056">
        <v>40730683</v>
      </c>
    </row>
    <row r="3057" spans="1:16">
      <c r="A3057" t="s">
        <v>147</v>
      </c>
      <c r="B3057">
        <v>1</v>
      </c>
      <c r="E3057" t="s">
        <v>3395</v>
      </c>
      <c r="F3057" t="s">
        <v>3396</v>
      </c>
      <c r="G3057" t="s">
        <v>3397</v>
      </c>
      <c r="I3057" t="s">
        <v>3338</v>
      </c>
      <c r="L3057" t="s">
        <v>3342</v>
      </c>
      <c r="N3057" t="s">
        <v>3398</v>
      </c>
      <c r="O3057" t="s">
        <v>3399</v>
      </c>
      <c r="P3057">
        <v>40730683</v>
      </c>
    </row>
    <row r="3058" spans="1:16">
      <c r="A3058" t="s">
        <v>147</v>
      </c>
      <c r="B3058">
        <v>1</v>
      </c>
      <c r="E3058" t="s">
        <v>3395</v>
      </c>
      <c r="F3058" t="s">
        <v>3396</v>
      </c>
      <c r="G3058" t="s">
        <v>3397</v>
      </c>
      <c r="I3058" t="s">
        <v>3338</v>
      </c>
      <c r="J3058" t="s">
        <v>2232</v>
      </c>
      <c r="K3058" t="s">
        <v>2233</v>
      </c>
      <c r="L3058" t="s">
        <v>3342</v>
      </c>
      <c r="N3058" t="s">
        <v>3400</v>
      </c>
      <c r="O3058" t="s">
        <v>3401</v>
      </c>
      <c r="P3058">
        <v>40730683</v>
      </c>
    </row>
    <row r="3059" spans="1:16">
      <c r="A3059" t="s">
        <v>147</v>
      </c>
      <c r="B3059">
        <v>1</v>
      </c>
      <c r="E3059" t="s">
        <v>3395</v>
      </c>
      <c r="F3059" t="s">
        <v>3396</v>
      </c>
      <c r="G3059" t="s">
        <v>3397</v>
      </c>
      <c r="I3059" t="s">
        <v>3338</v>
      </c>
      <c r="L3059" t="s">
        <v>3342</v>
      </c>
      <c r="N3059" t="s">
        <v>3402</v>
      </c>
      <c r="O3059" t="s">
        <v>3403</v>
      </c>
      <c r="P3059">
        <v>40730683</v>
      </c>
    </row>
    <row r="3060" spans="1:16">
      <c r="A3060" t="s">
        <v>147</v>
      </c>
      <c r="B3060">
        <v>1</v>
      </c>
      <c r="E3060" t="s">
        <v>3395</v>
      </c>
      <c r="F3060" t="s">
        <v>3396</v>
      </c>
      <c r="G3060" t="s">
        <v>3397</v>
      </c>
      <c r="I3060" t="s">
        <v>3338</v>
      </c>
      <c r="L3060" t="s">
        <v>3342</v>
      </c>
      <c r="N3060" t="s">
        <v>3404</v>
      </c>
      <c r="O3060" t="s">
        <v>3405</v>
      </c>
      <c r="P3060">
        <v>40730683</v>
      </c>
    </row>
    <row r="3061" spans="1:16">
      <c r="A3061" t="s">
        <v>147</v>
      </c>
      <c r="B3061">
        <v>0</v>
      </c>
      <c r="G3061" t="s">
        <v>3338</v>
      </c>
      <c r="I3061" t="s">
        <v>3338</v>
      </c>
      <c r="N3061" t="s">
        <v>3406</v>
      </c>
      <c r="O3061" t="s">
        <v>3407</v>
      </c>
      <c r="P3061">
        <v>40730683</v>
      </c>
    </row>
    <row r="3062" spans="1:16">
      <c r="A3062" t="s">
        <v>147</v>
      </c>
      <c r="B3062">
        <v>1</v>
      </c>
      <c r="E3062" t="s">
        <v>3406</v>
      </c>
      <c r="F3062" t="s">
        <v>3407</v>
      </c>
      <c r="G3062" t="s">
        <v>3408</v>
      </c>
      <c r="I3062" t="s">
        <v>3338</v>
      </c>
      <c r="J3062" t="s">
        <v>2421</v>
      </c>
      <c r="K3062" t="s">
        <v>3354</v>
      </c>
      <c r="L3062" t="s">
        <v>3369</v>
      </c>
      <c r="N3062" t="s">
        <v>3409</v>
      </c>
      <c r="O3062" t="s">
        <v>3410</v>
      </c>
      <c r="P3062">
        <v>40730683</v>
      </c>
    </row>
    <row r="3063" spans="1:16">
      <c r="A3063" t="s">
        <v>147</v>
      </c>
      <c r="B3063">
        <v>1</v>
      </c>
      <c r="E3063" t="s">
        <v>3406</v>
      </c>
      <c r="F3063" t="s">
        <v>3407</v>
      </c>
      <c r="G3063" t="s">
        <v>3408</v>
      </c>
      <c r="I3063" t="s">
        <v>3338</v>
      </c>
      <c r="L3063" t="s">
        <v>193</v>
      </c>
      <c r="N3063" t="s">
        <v>3411</v>
      </c>
      <c r="O3063" t="s">
        <v>3412</v>
      </c>
      <c r="P3063">
        <v>40730683</v>
      </c>
    </row>
    <row r="3064" spans="1:16">
      <c r="A3064" t="s">
        <v>147</v>
      </c>
      <c r="B3064">
        <v>2</v>
      </c>
      <c r="E3064" t="s">
        <v>3411</v>
      </c>
      <c r="F3064" t="s">
        <v>3412</v>
      </c>
      <c r="G3064" t="s">
        <v>3413</v>
      </c>
      <c r="I3064" t="s">
        <v>3338</v>
      </c>
      <c r="L3064" t="s">
        <v>3342</v>
      </c>
      <c r="N3064" t="s">
        <v>3414</v>
      </c>
      <c r="O3064" t="s">
        <v>3415</v>
      </c>
      <c r="P3064">
        <v>40730683</v>
      </c>
    </row>
    <row r="3065" spans="1:16">
      <c r="A3065" t="s">
        <v>147</v>
      </c>
      <c r="B3065">
        <v>2</v>
      </c>
      <c r="E3065" t="s">
        <v>3411</v>
      </c>
      <c r="F3065" t="s">
        <v>3412</v>
      </c>
      <c r="G3065" t="s">
        <v>3413</v>
      </c>
      <c r="I3065" t="s">
        <v>3338</v>
      </c>
      <c r="J3065" t="s">
        <v>2232</v>
      </c>
      <c r="K3065" t="s">
        <v>2233</v>
      </c>
      <c r="L3065" t="s">
        <v>3342</v>
      </c>
      <c r="N3065" t="s">
        <v>3416</v>
      </c>
      <c r="O3065" t="s">
        <v>3417</v>
      </c>
      <c r="P3065">
        <v>40730683</v>
      </c>
    </row>
    <row r="3066" spans="1:16">
      <c r="A3066" t="s">
        <v>147</v>
      </c>
      <c r="B3066">
        <v>2</v>
      </c>
      <c r="E3066" t="s">
        <v>3411</v>
      </c>
      <c r="F3066" t="s">
        <v>3412</v>
      </c>
      <c r="G3066" t="s">
        <v>3413</v>
      </c>
      <c r="I3066" t="s">
        <v>3338</v>
      </c>
      <c r="J3066" t="s">
        <v>2232</v>
      </c>
      <c r="K3066" t="s">
        <v>2233</v>
      </c>
      <c r="L3066" t="s">
        <v>3342</v>
      </c>
      <c r="N3066" t="s">
        <v>3418</v>
      </c>
      <c r="O3066" t="s">
        <v>3419</v>
      </c>
      <c r="P3066">
        <v>40730683</v>
      </c>
    </row>
    <row r="3067" spans="1:16">
      <c r="A3067" t="s">
        <v>147</v>
      </c>
      <c r="B3067">
        <v>2</v>
      </c>
      <c r="E3067" t="s">
        <v>3411</v>
      </c>
      <c r="F3067" t="s">
        <v>3412</v>
      </c>
      <c r="G3067" t="s">
        <v>3413</v>
      </c>
      <c r="I3067" t="s">
        <v>3338</v>
      </c>
      <c r="L3067" t="s">
        <v>3342</v>
      </c>
      <c r="N3067" t="s">
        <v>3420</v>
      </c>
      <c r="O3067" t="s">
        <v>3421</v>
      </c>
      <c r="P3067">
        <v>40730683</v>
      </c>
    </row>
    <row r="3068" spans="1:16">
      <c r="A3068" t="s">
        <v>147</v>
      </c>
      <c r="B3068">
        <v>2</v>
      </c>
      <c r="E3068" t="s">
        <v>3411</v>
      </c>
      <c r="F3068" t="s">
        <v>3412</v>
      </c>
      <c r="G3068" t="s">
        <v>3413</v>
      </c>
      <c r="I3068" t="s">
        <v>3338</v>
      </c>
      <c r="J3068" t="s">
        <v>2232</v>
      </c>
      <c r="K3068" t="s">
        <v>2233</v>
      </c>
      <c r="L3068" t="s">
        <v>3342</v>
      </c>
      <c r="N3068" t="s">
        <v>3422</v>
      </c>
      <c r="O3068" t="s">
        <v>3423</v>
      </c>
      <c r="P3068">
        <v>40730683</v>
      </c>
    </row>
    <row r="3069" spans="1:16">
      <c r="A3069" t="s">
        <v>147</v>
      </c>
      <c r="B3069">
        <v>0</v>
      </c>
      <c r="G3069" t="s">
        <v>3338</v>
      </c>
      <c r="I3069" t="s">
        <v>3338</v>
      </c>
      <c r="N3069" t="s">
        <v>3424</v>
      </c>
      <c r="O3069" t="s">
        <v>3425</v>
      </c>
      <c r="P3069">
        <v>40730683</v>
      </c>
    </row>
    <row r="3070" spans="1:16">
      <c r="A3070" t="s">
        <v>147</v>
      </c>
      <c r="B3070">
        <v>1</v>
      </c>
      <c r="E3070" t="s">
        <v>3424</v>
      </c>
      <c r="F3070" t="s">
        <v>3425</v>
      </c>
      <c r="G3070" t="s">
        <v>3426</v>
      </c>
      <c r="I3070" t="s">
        <v>3338</v>
      </c>
      <c r="J3070" t="s">
        <v>2421</v>
      </c>
      <c r="K3070" t="s">
        <v>3354</v>
      </c>
      <c r="L3070" t="s">
        <v>3369</v>
      </c>
      <c r="N3070" t="s">
        <v>3427</v>
      </c>
      <c r="O3070" t="s">
        <v>3428</v>
      </c>
      <c r="P3070">
        <v>40730683</v>
      </c>
    </row>
    <row r="3071" spans="1:16">
      <c r="A3071" t="s">
        <v>147</v>
      </c>
      <c r="B3071">
        <v>1</v>
      </c>
      <c r="E3071" t="s">
        <v>3424</v>
      </c>
      <c r="F3071" t="s">
        <v>3425</v>
      </c>
      <c r="G3071" t="s">
        <v>3426</v>
      </c>
      <c r="I3071" t="s">
        <v>3338</v>
      </c>
      <c r="J3071" t="s">
        <v>2421</v>
      </c>
      <c r="K3071" t="s">
        <v>3354</v>
      </c>
      <c r="L3071" t="s">
        <v>3369</v>
      </c>
      <c r="N3071" t="s">
        <v>3429</v>
      </c>
      <c r="O3071" t="s">
        <v>3430</v>
      </c>
      <c r="P3071">
        <v>40730683</v>
      </c>
    </row>
    <row r="3072" spans="1:16">
      <c r="A3072" t="s">
        <v>147</v>
      </c>
      <c r="B3072">
        <v>1</v>
      </c>
      <c r="E3072" t="s">
        <v>3424</v>
      </c>
      <c r="F3072" t="s">
        <v>3425</v>
      </c>
      <c r="G3072" t="s">
        <v>3426</v>
      </c>
      <c r="I3072" t="s">
        <v>3338</v>
      </c>
      <c r="J3072" t="s">
        <v>2232</v>
      </c>
      <c r="K3072" t="s">
        <v>2233</v>
      </c>
      <c r="L3072" t="s">
        <v>3342</v>
      </c>
      <c r="N3072" t="s">
        <v>3431</v>
      </c>
      <c r="O3072" t="s">
        <v>3432</v>
      </c>
      <c r="P3072">
        <v>40730683</v>
      </c>
    </row>
    <row r="3073" spans="1:16">
      <c r="A3073" t="s">
        <v>147</v>
      </c>
      <c r="B3073">
        <v>0</v>
      </c>
      <c r="G3073" t="s">
        <v>3338</v>
      </c>
      <c r="I3073" t="s">
        <v>3338</v>
      </c>
      <c r="N3073" t="s">
        <v>3433</v>
      </c>
      <c r="O3073" t="s">
        <v>3434</v>
      </c>
      <c r="P3073">
        <v>40730683</v>
      </c>
    </row>
    <row r="3074" spans="1:16">
      <c r="A3074" t="s">
        <v>147</v>
      </c>
      <c r="B3074">
        <v>1</v>
      </c>
      <c r="E3074" t="s">
        <v>3433</v>
      </c>
      <c r="F3074" t="s">
        <v>3434</v>
      </c>
      <c r="G3074" t="s">
        <v>3435</v>
      </c>
      <c r="I3074" t="s">
        <v>3338</v>
      </c>
      <c r="J3074" t="s">
        <v>2232</v>
      </c>
      <c r="K3074" t="s">
        <v>2233</v>
      </c>
      <c r="L3074" t="s">
        <v>3342</v>
      </c>
      <c r="N3074" t="s">
        <v>3436</v>
      </c>
      <c r="O3074" t="s">
        <v>3437</v>
      </c>
      <c r="P3074">
        <v>40730683</v>
      </c>
    </row>
    <row r="3075" spans="1:16">
      <c r="A3075" t="s">
        <v>147</v>
      </c>
      <c r="B3075">
        <v>1</v>
      </c>
      <c r="E3075" t="s">
        <v>3433</v>
      </c>
      <c r="F3075" t="s">
        <v>3434</v>
      </c>
      <c r="G3075" t="s">
        <v>3435</v>
      </c>
      <c r="I3075" t="s">
        <v>3338</v>
      </c>
      <c r="J3075" t="s">
        <v>2232</v>
      </c>
      <c r="K3075" t="s">
        <v>2233</v>
      </c>
      <c r="L3075" t="s">
        <v>3342</v>
      </c>
      <c r="N3075" t="s">
        <v>3438</v>
      </c>
      <c r="O3075" t="s">
        <v>3439</v>
      </c>
      <c r="P3075">
        <v>40730683</v>
      </c>
    </row>
    <row r="3076" spans="1:16">
      <c r="A3076" t="s">
        <v>147</v>
      </c>
      <c r="B3076">
        <v>1</v>
      </c>
      <c r="E3076" t="s">
        <v>3433</v>
      </c>
      <c r="F3076" t="s">
        <v>3434</v>
      </c>
      <c r="G3076" t="s">
        <v>3435</v>
      </c>
      <c r="I3076" t="s">
        <v>3338</v>
      </c>
      <c r="J3076" t="s">
        <v>2232</v>
      </c>
      <c r="K3076" t="s">
        <v>2233</v>
      </c>
      <c r="L3076" t="s">
        <v>3342</v>
      </c>
      <c r="N3076" t="s">
        <v>3440</v>
      </c>
      <c r="O3076" t="s">
        <v>3441</v>
      </c>
      <c r="P3076">
        <v>40730683</v>
      </c>
    </row>
    <row r="3077" spans="1:16">
      <c r="A3077" t="s">
        <v>147</v>
      </c>
      <c r="B3077">
        <v>1</v>
      </c>
      <c r="E3077" t="s">
        <v>3433</v>
      </c>
      <c r="F3077" t="s">
        <v>3434</v>
      </c>
      <c r="G3077" t="s">
        <v>3435</v>
      </c>
      <c r="I3077" t="s">
        <v>3338</v>
      </c>
      <c r="J3077" t="s">
        <v>2232</v>
      </c>
      <c r="K3077" t="s">
        <v>2233</v>
      </c>
      <c r="L3077" t="s">
        <v>3342</v>
      </c>
      <c r="N3077" t="s">
        <v>3442</v>
      </c>
      <c r="O3077" t="s">
        <v>3443</v>
      </c>
      <c r="P3077">
        <v>40730683</v>
      </c>
    </row>
    <row r="3078" spans="1:16">
      <c r="A3078" t="s">
        <v>147</v>
      </c>
      <c r="B3078">
        <v>1</v>
      </c>
      <c r="E3078" t="s">
        <v>3433</v>
      </c>
      <c r="F3078" t="s">
        <v>3434</v>
      </c>
      <c r="G3078" t="s">
        <v>3435</v>
      </c>
      <c r="I3078" t="s">
        <v>3338</v>
      </c>
      <c r="J3078" t="s">
        <v>2232</v>
      </c>
      <c r="K3078" t="s">
        <v>2233</v>
      </c>
      <c r="L3078" t="s">
        <v>3342</v>
      </c>
      <c r="N3078" t="s">
        <v>3444</v>
      </c>
      <c r="O3078" t="s">
        <v>3445</v>
      </c>
      <c r="P3078">
        <v>40730683</v>
      </c>
    </row>
    <row r="3079" spans="1:16">
      <c r="A3079" t="s">
        <v>147</v>
      </c>
      <c r="B3079">
        <v>1</v>
      </c>
      <c r="E3079" t="s">
        <v>3433</v>
      </c>
      <c r="F3079" t="s">
        <v>3434</v>
      </c>
      <c r="G3079" t="s">
        <v>3435</v>
      </c>
      <c r="I3079" t="s">
        <v>3338</v>
      </c>
      <c r="J3079" t="s">
        <v>2232</v>
      </c>
      <c r="K3079" t="s">
        <v>2233</v>
      </c>
      <c r="L3079" t="s">
        <v>3342</v>
      </c>
      <c r="N3079" t="s">
        <v>3446</v>
      </c>
      <c r="O3079" t="s">
        <v>3447</v>
      </c>
      <c r="P3079">
        <v>40730683</v>
      </c>
    </row>
    <row r="3080" spans="1:16">
      <c r="A3080" t="s">
        <v>147</v>
      </c>
      <c r="B3080">
        <v>0</v>
      </c>
      <c r="G3080" t="s">
        <v>3338</v>
      </c>
      <c r="I3080" t="s">
        <v>3338</v>
      </c>
      <c r="N3080" t="s">
        <v>3448</v>
      </c>
      <c r="O3080" t="s">
        <v>3449</v>
      </c>
      <c r="P3080">
        <v>40730683</v>
      </c>
    </row>
    <row r="3081" spans="1:16">
      <c r="A3081" t="s">
        <v>147</v>
      </c>
      <c r="B3081">
        <v>1</v>
      </c>
      <c r="E3081" t="s">
        <v>3448</v>
      </c>
      <c r="F3081" t="s">
        <v>3449</v>
      </c>
      <c r="G3081" t="s">
        <v>3450</v>
      </c>
      <c r="I3081" t="s">
        <v>3338</v>
      </c>
      <c r="J3081" t="s">
        <v>2421</v>
      </c>
      <c r="K3081" t="s">
        <v>3354</v>
      </c>
      <c r="L3081" t="s">
        <v>3451</v>
      </c>
      <c r="N3081" t="s">
        <v>3452</v>
      </c>
      <c r="O3081" t="s">
        <v>3453</v>
      </c>
      <c r="P3081">
        <v>40730683</v>
      </c>
    </row>
    <row r="3082" spans="1:16">
      <c r="A3082" t="s">
        <v>147</v>
      </c>
      <c r="B3082">
        <v>0</v>
      </c>
      <c r="G3082" t="s">
        <v>3456</v>
      </c>
      <c r="I3082" t="s">
        <v>3456</v>
      </c>
      <c r="M3082" t="s">
        <v>3463</v>
      </c>
      <c r="N3082" t="s">
        <v>3479</v>
      </c>
      <c r="O3082" t="s">
        <v>3480</v>
      </c>
      <c r="P3082">
        <v>40730683</v>
      </c>
    </row>
    <row r="3083" spans="1:16">
      <c r="A3083" t="s">
        <v>147</v>
      </c>
      <c r="B3083">
        <v>0</v>
      </c>
      <c r="G3083" t="s">
        <v>3456</v>
      </c>
      <c r="I3083" t="s">
        <v>3456</v>
      </c>
      <c r="M3083" t="s">
        <v>3463</v>
      </c>
      <c r="N3083" t="s">
        <v>3461</v>
      </c>
      <c r="O3083" t="s">
        <v>3462</v>
      </c>
      <c r="P3083">
        <v>40730683</v>
      </c>
    </row>
    <row r="3084" spans="1:16">
      <c r="A3084" t="s">
        <v>147</v>
      </c>
      <c r="B3084">
        <v>0</v>
      </c>
      <c r="G3084" t="s">
        <v>3456</v>
      </c>
      <c r="I3084" t="s">
        <v>3456</v>
      </c>
      <c r="M3084" t="s">
        <v>3463</v>
      </c>
      <c r="N3084" t="s">
        <v>3481</v>
      </c>
      <c r="O3084" t="s">
        <v>3482</v>
      </c>
      <c r="P3084">
        <v>40730683</v>
      </c>
    </row>
    <row r="3085" spans="1:16">
      <c r="A3085" t="s">
        <v>147</v>
      </c>
      <c r="B3085">
        <v>0</v>
      </c>
      <c r="G3085" t="s">
        <v>3456</v>
      </c>
      <c r="I3085" t="s">
        <v>3456</v>
      </c>
      <c r="M3085" t="s">
        <v>3463</v>
      </c>
      <c r="N3085" t="s">
        <v>3464</v>
      </c>
      <c r="O3085" t="s">
        <v>3465</v>
      </c>
      <c r="P3085">
        <v>40730683</v>
      </c>
    </row>
    <row r="3086" spans="1:16">
      <c r="A3086" t="s">
        <v>149</v>
      </c>
      <c r="B3086">
        <v>0</v>
      </c>
      <c r="G3086" t="s">
        <v>3338</v>
      </c>
      <c r="I3086" t="s">
        <v>3338</v>
      </c>
      <c r="N3086" t="s">
        <v>3339</v>
      </c>
      <c r="O3086" t="s">
        <v>3340</v>
      </c>
      <c r="P3086">
        <v>40918149</v>
      </c>
    </row>
    <row r="3087" spans="1:16">
      <c r="A3087" t="s">
        <v>149</v>
      </c>
      <c r="B3087">
        <v>1</v>
      </c>
      <c r="E3087" t="s">
        <v>3339</v>
      </c>
      <c r="F3087" t="s">
        <v>3340</v>
      </c>
      <c r="G3087" t="s">
        <v>3341</v>
      </c>
      <c r="I3087" t="s">
        <v>3338</v>
      </c>
      <c r="J3087" t="s">
        <v>2232</v>
      </c>
      <c r="K3087" t="s">
        <v>2233</v>
      </c>
      <c r="L3087" t="s">
        <v>3342</v>
      </c>
      <c r="N3087" t="s">
        <v>3343</v>
      </c>
      <c r="O3087" t="s">
        <v>3344</v>
      </c>
      <c r="P3087">
        <v>40918149</v>
      </c>
    </row>
    <row r="3088" spans="1:16">
      <c r="A3088" t="s">
        <v>149</v>
      </c>
      <c r="B3088">
        <v>1</v>
      </c>
      <c r="E3088" t="s">
        <v>3339</v>
      </c>
      <c r="F3088" t="s">
        <v>3340</v>
      </c>
      <c r="G3088" t="s">
        <v>3341</v>
      </c>
      <c r="I3088" t="s">
        <v>3338</v>
      </c>
      <c r="J3088" t="s">
        <v>2232</v>
      </c>
      <c r="K3088" t="s">
        <v>2233</v>
      </c>
      <c r="L3088" t="s">
        <v>3342</v>
      </c>
      <c r="N3088" t="s">
        <v>3345</v>
      </c>
      <c r="O3088" t="s">
        <v>3346</v>
      </c>
      <c r="P3088">
        <v>40918149</v>
      </c>
    </row>
    <row r="3089" spans="1:16">
      <c r="A3089" t="s">
        <v>149</v>
      </c>
      <c r="B3089">
        <v>0</v>
      </c>
      <c r="G3089" t="s">
        <v>3338</v>
      </c>
      <c r="I3089" t="s">
        <v>3338</v>
      </c>
      <c r="N3089" t="s">
        <v>3347</v>
      </c>
      <c r="O3089" t="s">
        <v>3344</v>
      </c>
      <c r="P3089">
        <v>40918149</v>
      </c>
    </row>
    <row r="3090" spans="1:16">
      <c r="A3090" t="s">
        <v>149</v>
      </c>
      <c r="B3090">
        <v>1</v>
      </c>
      <c r="E3090" t="s">
        <v>3347</v>
      </c>
      <c r="F3090" t="s">
        <v>3344</v>
      </c>
      <c r="G3090" t="s">
        <v>3348</v>
      </c>
      <c r="I3090" t="s">
        <v>3338</v>
      </c>
      <c r="J3090" t="s">
        <v>2232</v>
      </c>
      <c r="K3090" t="s">
        <v>2233</v>
      </c>
      <c r="L3090" t="s">
        <v>3342</v>
      </c>
      <c r="N3090" t="s">
        <v>3349</v>
      </c>
      <c r="O3090" t="s">
        <v>3350</v>
      </c>
      <c r="P3090">
        <v>40918149</v>
      </c>
    </row>
    <row r="3091" spans="1:16">
      <c r="A3091" t="s">
        <v>149</v>
      </c>
      <c r="B3091">
        <v>1</v>
      </c>
      <c r="E3091" t="s">
        <v>3347</v>
      </c>
      <c r="F3091" t="s">
        <v>3344</v>
      </c>
      <c r="G3091" t="s">
        <v>3348</v>
      </c>
      <c r="I3091" t="s">
        <v>3338</v>
      </c>
      <c r="L3091" t="s">
        <v>193</v>
      </c>
      <c r="N3091" t="s">
        <v>3351</v>
      </c>
      <c r="O3091" t="s">
        <v>3352</v>
      </c>
      <c r="P3091">
        <v>40918149</v>
      </c>
    </row>
    <row r="3092" spans="1:16">
      <c r="A3092" t="s">
        <v>149</v>
      </c>
      <c r="B3092">
        <v>2</v>
      </c>
      <c r="E3092" t="s">
        <v>3351</v>
      </c>
      <c r="F3092" t="s">
        <v>3352</v>
      </c>
      <c r="G3092" t="s">
        <v>3353</v>
      </c>
      <c r="I3092" t="s">
        <v>3338</v>
      </c>
      <c r="J3092" t="s">
        <v>2421</v>
      </c>
      <c r="K3092" t="s">
        <v>3354</v>
      </c>
      <c r="L3092" t="s">
        <v>3355</v>
      </c>
      <c r="N3092" t="s">
        <v>3356</v>
      </c>
      <c r="O3092" t="s">
        <v>3357</v>
      </c>
      <c r="P3092">
        <v>40918149</v>
      </c>
    </row>
    <row r="3093" spans="1:16">
      <c r="A3093" t="s">
        <v>149</v>
      </c>
      <c r="B3093">
        <v>2</v>
      </c>
      <c r="E3093" t="s">
        <v>3351</v>
      </c>
      <c r="F3093" t="s">
        <v>3352</v>
      </c>
      <c r="G3093" t="s">
        <v>3353</v>
      </c>
      <c r="I3093" t="s">
        <v>3338</v>
      </c>
      <c r="J3093" t="s">
        <v>2421</v>
      </c>
      <c r="K3093" t="s">
        <v>3354</v>
      </c>
      <c r="L3093" t="s">
        <v>3355</v>
      </c>
      <c r="N3093" t="s">
        <v>3358</v>
      </c>
      <c r="O3093" t="s">
        <v>3359</v>
      </c>
      <c r="P3093">
        <v>40918149</v>
      </c>
    </row>
    <row r="3094" spans="1:16">
      <c r="A3094" t="s">
        <v>149</v>
      </c>
      <c r="B3094">
        <v>2</v>
      </c>
      <c r="E3094" t="s">
        <v>3351</v>
      </c>
      <c r="F3094" t="s">
        <v>3352</v>
      </c>
      <c r="G3094" t="s">
        <v>3353</v>
      </c>
      <c r="I3094" t="s">
        <v>3338</v>
      </c>
      <c r="J3094" t="s">
        <v>2421</v>
      </c>
      <c r="K3094" t="s">
        <v>3354</v>
      </c>
      <c r="L3094" t="s">
        <v>3355</v>
      </c>
      <c r="N3094" t="s">
        <v>3360</v>
      </c>
      <c r="O3094" t="s">
        <v>3361</v>
      </c>
      <c r="P3094">
        <v>40918149</v>
      </c>
    </row>
    <row r="3095" spans="1:16">
      <c r="A3095" t="s">
        <v>149</v>
      </c>
      <c r="B3095">
        <v>1</v>
      </c>
      <c r="E3095" t="s">
        <v>3347</v>
      </c>
      <c r="F3095" t="s">
        <v>3344</v>
      </c>
      <c r="G3095" t="s">
        <v>3348</v>
      </c>
      <c r="I3095" t="s">
        <v>3338</v>
      </c>
      <c r="J3095" t="s">
        <v>2236</v>
      </c>
      <c r="K3095" t="s">
        <v>3362</v>
      </c>
      <c r="L3095" t="s">
        <v>3363</v>
      </c>
      <c r="N3095" t="s">
        <v>3364</v>
      </c>
      <c r="O3095" t="s">
        <v>3365</v>
      </c>
      <c r="P3095">
        <v>40918149</v>
      </c>
    </row>
    <row r="3096" spans="1:16">
      <c r="A3096" t="s">
        <v>149</v>
      </c>
      <c r="B3096">
        <v>1</v>
      </c>
      <c r="E3096" t="s">
        <v>3347</v>
      </c>
      <c r="F3096" t="s">
        <v>3344</v>
      </c>
      <c r="G3096" t="s">
        <v>3348</v>
      </c>
      <c r="I3096" t="s">
        <v>3338</v>
      </c>
      <c r="L3096" t="s">
        <v>193</v>
      </c>
      <c r="N3096" t="s">
        <v>3366</v>
      </c>
      <c r="O3096" t="s">
        <v>3367</v>
      </c>
      <c r="P3096">
        <v>40918149</v>
      </c>
    </row>
    <row r="3097" spans="1:16">
      <c r="A3097" t="s">
        <v>149</v>
      </c>
      <c r="B3097">
        <v>2</v>
      </c>
      <c r="E3097" t="s">
        <v>3366</v>
      </c>
      <c r="F3097" t="s">
        <v>3367</v>
      </c>
      <c r="G3097" t="s">
        <v>3368</v>
      </c>
      <c r="I3097" t="s">
        <v>3338</v>
      </c>
      <c r="J3097" t="s">
        <v>2421</v>
      </c>
      <c r="K3097" t="s">
        <v>3354</v>
      </c>
      <c r="L3097" t="s">
        <v>3369</v>
      </c>
      <c r="N3097" t="s">
        <v>3370</v>
      </c>
      <c r="O3097" t="s">
        <v>3359</v>
      </c>
      <c r="P3097">
        <v>40918149</v>
      </c>
    </row>
    <row r="3098" spans="1:16">
      <c r="A3098" t="s">
        <v>149</v>
      </c>
      <c r="B3098">
        <v>2</v>
      </c>
      <c r="E3098" t="s">
        <v>3366</v>
      </c>
      <c r="F3098" t="s">
        <v>3367</v>
      </c>
      <c r="G3098" t="s">
        <v>3368</v>
      </c>
      <c r="I3098" t="s">
        <v>3338</v>
      </c>
      <c r="J3098" t="s">
        <v>2421</v>
      </c>
      <c r="K3098" t="s">
        <v>3354</v>
      </c>
      <c r="L3098" t="s">
        <v>3369</v>
      </c>
      <c r="N3098" t="s">
        <v>3371</v>
      </c>
      <c r="O3098" t="s">
        <v>3372</v>
      </c>
      <c r="P3098">
        <v>40918149</v>
      </c>
    </row>
    <row r="3099" spans="1:16">
      <c r="A3099" t="s">
        <v>149</v>
      </c>
      <c r="B3099">
        <v>2</v>
      </c>
      <c r="E3099" t="s">
        <v>3366</v>
      </c>
      <c r="F3099" t="s">
        <v>3367</v>
      </c>
      <c r="G3099" t="s">
        <v>3368</v>
      </c>
      <c r="I3099" t="s">
        <v>3338</v>
      </c>
      <c r="J3099" t="s">
        <v>2421</v>
      </c>
      <c r="K3099" t="s">
        <v>3354</v>
      </c>
      <c r="L3099" t="s">
        <v>3369</v>
      </c>
      <c r="N3099" t="s">
        <v>3373</v>
      </c>
      <c r="O3099" t="s">
        <v>3374</v>
      </c>
      <c r="P3099">
        <v>40918149</v>
      </c>
    </row>
    <row r="3100" spans="1:16">
      <c r="A3100" t="s">
        <v>149</v>
      </c>
      <c r="B3100">
        <v>2</v>
      </c>
      <c r="E3100" t="s">
        <v>3366</v>
      </c>
      <c r="F3100" t="s">
        <v>3367</v>
      </c>
      <c r="G3100" t="s">
        <v>3368</v>
      </c>
      <c r="I3100" t="s">
        <v>3338</v>
      </c>
      <c r="J3100" t="s">
        <v>2236</v>
      </c>
      <c r="K3100" t="s">
        <v>3362</v>
      </c>
      <c r="L3100" t="s">
        <v>3363</v>
      </c>
      <c r="N3100" t="s">
        <v>3375</v>
      </c>
      <c r="O3100" t="s">
        <v>3376</v>
      </c>
      <c r="P3100">
        <v>40918149</v>
      </c>
    </row>
    <row r="3101" spans="1:16">
      <c r="A3101" t="s">
        <v>149</v>
      </c>
      <c r="B3101">
        <v>0</v>
      </c>
      <c r="G3101" t="s">
        <v>3338</v>
      </c>
      <c r="I3101" t="s">
        <v>3338</v>
      </c>
      <c r="N3101" t="s">
        <v>3377</v>
      </c>
      <c r="O3101" t="s">
        <v>3346</v>
      </c>
      <c r="P3101">
        <v>40918149</v>
      </c>
    </row>
    <row r="3102" spans="1:16">
      <c r="A3102" t="s">
        <v>149</v>
      </c>
      <c r="B3102">
        <v>1</v>
      </c>
      <c r="E3102" t="s">
        <v>3377</v>
      </c>
      <c r="F3102" t="s">
        <v>3346</v>
      </c>
      <c r="G3102" t="s">
        <v>3378</v>
      </c>
      <c r="I3102" t="s">
        <v>3338</v>
      </c>
      <c r="L3102" t="s">
        <v>193</v>
      </c>
      <c r="N3102" t="s">
        <v>3379</v>
      </c>
      <c r="O3102" t="s">
        <v>3380</v>
      </c>
      <c r="P3102">
        <v>40918149</v>
      </c>
    </row>
    <row r="3103" spans="1:16">
      <c r="A3103" t="s">
        <v>149</v>
      </c>
      <c r="B3103">
        <v>2</v>
      </c>
      <c r="E3103" t="s">
        <v>3379</v>
      </c>
      <c r="F3103" t="s">
        <v>3380</v>
      </c>
      <c r="G3103" t="s">
        <v>3381</v>
      </c>
      <c r="I3103" t="s">
        <v>3338</v>
      </c>
      <c r="J3103" t="s">
        <v>2421</v>
      </c>
      <c r="K3103" t="s">
        <v>3354</v>
      </c>
      <c r="L3103" t="s">
        <v>3369</v>
      </c>
      <c r="N3103" t="s">
        <v>3382</v>
      </c>
      <c r="O3103" t="s">
        <v>3352</v>
      </c>
      <c r="P3103">
        <v>40918149</v>
      </c>
    </row>
    <row r="3104" spans="1:16">
      <c r="A3104" t="s">
        <v>149</v>
      </c>
      <c r="B3104">
        <v>2</v>
      </c>
      <c r="E3104" t="s">
        <v>3379</v>
      </c>
      <c r="F3104" t="s">
        <v>3380</v>
      </c>
      <c r="G3104" t="s">
        <v>3381</v>
      </c>
      <c r="I3104" t="s">
        <v>3338</v>
      </c>
      <c r="L3104" t="s">
        <v>3383</v>
      </c>
      <c r="N3104" t="s">
        <v>3384</v>
      </c>
      <c r="O3104" t="s">
        <v>3385</v>
      </c>
      <c r="P3104">
        <v>40918149</v>
      </c>
    </row>
    <row r="3105" spans="1:16">
      <c r="A3105" t="s">
        <v>149</v>
      </c>
      <c r="B3105">
        <v>2</v>
      </c>
      <c r="E3105" t="s">
        <v>3379</v>
      </c>
      <c r="F3105" t="s">
        <v>3380</v>
      </c>
      <c r="G3105" t="s">
        <v>3381</v>
      </c>
      <c r="I3105" t="s">
        <v>3338</v>
      </c>
      <c r="J3105" t="s">
        <v>2232</v>
      </c>
      <c r="K3105" t="s">
        <v>2233</v>
      </c>
      <c r="L3105" t="s">
        <v>3342</v>
      </c>
      <c r="N3105" t="s">
        <v>3386</v>
      </c>
      <c r="O3105" t="s">
        <v>3350</v>
      </c>
      <c r="P3105">
        <v>40918149</v>
      </c>
    </row>
    <row r="3106" spans="1:16">
      <c r="A3106" t="s">
        <v>149</v>
      </c>
      <c r="B3106">
        <v>1</v>
      </c>
      <c r="E3106" t="s">
        <v>3377</v>
      </c>
      <c r="F3106" t="s">
        <v>3346</v>
      </c>
      <c r="G3106" t="s">
        <v>3378</v>
      </c>
      <c r="I3106" t="s">
        <v>3338</v>
      </c>
      <c r="L3106" t="s">
        <v>193</v>
      </c>
      <c r="N3106" t="s">
        <v>3387</v>
      </c>
      <c r="O3106" t="s">
        <v>3388</v>
      </c>
      <c r="P3106">
        <v>40918149</v>
      </c>
    </row>
    <row r="3107" spans="1:16">
      <c r="A3107" t="s">
        <v>149</v>
      </c>
      <c r="B3107">
        <v>2</v>
      </c>
      <c r="E3107" t="s">
        <v>3387</v>
      </c>
      <c r="F3107" t="s">
        <v>3388</v>
      </c>
      <c r="G3107" t="s">
        <v>3389</v>
      </c>
      <c r="I3107" t="s">
        <v>3338</v>
      </c>
      <c r="L3107" t="s">
        <v>3369</v>
      </c>
      <c r="N3107" t="s">
        <v>3390</v>
      </c>
      <c r="O3107" t="s">
        <v>3352</v>
      </c>
      <c r="P3107">
        <v>40918149</v>
      </c>
    </row>
    <row r="3108" spans="1:16">
      <c r="A3108" t="s">
        <v>149</v>
      </c>
      <c r="B3108">
        <v>2</v>
      </c>
      <c r="E3108" t="s">
        <v>3387</v>
      </c>
      <c r="F3108" t="s">
        <v>3388</v>
      </c>
      <c r="G3108" t="s">
        <v>3389</v>
      </c>
      <c r="I3108" t="s">
        <v>3338</v>
      </c>
      <c r="L3108" t="s">
        <v>3342</v>
      </c>
      <c r="N3108" t="s">
        <v>3391</v>
      </c>
      <c r="O3108" t="s">
        <v>3392</v>
      </c>
      <c r="P3108">
        <v>40918149</v>
      </c>
    </row>
    <row r="3109" spans="1:16">
      <c r="A3109" t="s">
        <v>149</v>
      </c>
      <c r="B3109">
        <v>2</v>
      </c>
      <c r="E3109" t="s">
        <v>3387</v>
      </c>
      <c r="F3109" t="s">
        <v>3388</v>
      </c>
      <c r="G3109" t="s">
        <v>3389</v>
      </c>
      <c r="I3109" t="s">
        <v>3338</v>
      </c>
      <c r="L3109" t="s">
        <v>3383</v>
      </c>
      <c r="N3109" t="s">
        <v>3393</v>
      </c>
      <c r="O3109" t="s">
        <v>3385</v>
      </c>
      <c r="P3109">
        <v>40918149</v>
      </c>
    </row>
    <row r="3110" spans="1:16">
      <c r="A3110" t="s">
        <v>149</v>
      </c>
      <c r="B3110">
        <v>2</v>
      </c>
      <c r="E3110" t="s">
        <v>3387</v>
      </c>
      <c r="F3110" t="s">
        <v>3388</v>
      </c>
      <c r="G3110" t="s">
        <v>3389</v>
      </c>
      <c r="I3110" t="s">
        <v>3338</v>
      </c>
      <c r="L3110" t="s">
        <v>3342</v>
      </c>
      <c r="N3110" t="s">
        <v>3394</v>
      </c>
      <c r="O3110" t="s">
        <v>3350</v>
      </c>
      <c r="P3110">
        <v>40918149</v>
      </c>
    </row>
    <row r="3111" spans="1:16">
      <c r="A3111" t="s">
        <v>149</v>
      </c>
      <c r="B3111">
        <v>0</v>
      </c>
      <c r="G3111" t="s">
        <v>3338</v>
      </c>
      <c r="I3111" t="s">
        <v>3338</v>
      </c>
      <c r="N3111" t="s">
        <v>3395</v>
      </c>
      <c r="O3111" t="s">
        <v>3396</v>
      </c>
      <c r="P3111">
        <v>40918149</v>
      </c>
    </row>
    <row r="3112" spans="1:16">
      <c r="A3112" t="s">
        <v>149</v>
      </c>
      <c r="B3112">
        <v>1</v>
      </c>
      <c r="E3112" t="s">
        <v>3395</v>
      </c>
      <c r="F3112" t="s">
        <v>3396</v>
      </c>
      <c r="G3112" t="s">
        <v>3397</v>
      </c>
      <c r="I3112" t="s">
        <v>3338</v>
      </c>
      <c r="L3112" t="s">
        <v>3342</v>
      </c>
      <c r="N3112" t="s">
        <v>3398</v>
      </c>
      <c r="O3112" t="s">
        <v>3399</v>
      </c>
      <c r="P3112">
        <v>40918149</v>
      </c>
    </row>
    <row r="3113" spans="1:16">
      <c r="A3113" t="s">
        <v>149</v>
      </c>
      <c r="B3113">
        <v>1</v>
      </c>
      <c r="E3113" t="s">
        <v>3395</v>
      </c>
      <c r="F3113" t="s">
        <v>3396</v>
      </c>
      <c r="G3113" t="s">
        <v>3397</v>
      </c>
      <c r="I3113" t="s">
        <v>3338</v>
      </c>
      <c r="J3113" t="s">
        <v>2232</v>
      </c>
      <c r="K3113" t="s">
        <v>2233</v>
      </c>
      <c r="L3113" t="s">
        <v>3342</v>
      </c>
      <c r="N3113" t="s">
        <v>3400</v>
      </c>
      <c r="O3113" t="s">
        <v>3401</v>
      </c>
      <c r="P3113">
        <v>40918149</v>
      </c>
    </row>
    <row r="3114" spans="1:16">
      <c r="A3114" t="s">
        <v>149</v>
      </c>
      <c r="B3114">
        <v>1</v>
      </c>
      <c r="E3114" t="s">
        <v>3395</v>
      </c>
      <c r="F3114" t="s">
        <v>3396</v>
      </c>
      <c r="G3114" t="s">
        <v>3397</v>
      </c>
      <c r="I3114" t="s">
        <v>3338</v>
      </c>
      <c r="L3114" t="s">
        <v>3342</v>
      </c>
      <c r="N3114" t="s">
        <v>3402</v>
      </c>
      <c r="O3114" t="s">
        <v>3403</v>
      </c>
      <c r="P3114">
        <v>40918149</v>
      </c>
    </row>
    <row r="3115" spans="1:16">
      <c r="A3115" t="s">
        <v>149</v>
      </c>
      <c r="B3115">
        <v>1</v>
      </c>
      <c r="E3115" t="s">
        <v>3395</v>
      </c>
      <c r="F3115" t="s">
        <v>3396</v>
      </c>
      <c r="G3115" t="s">
        <v>3397</v>
      </c>
      <c r="I3115" t="s">
        <v>3338</v>
      </c>
      <c r="J3115" t="s">
        <v>2232</v>
      </c>
      <c r="K3115" t="s">
        <v>2233</v>
      </c>
      <c r="L3115" t="s">
        <v>3342</v>
      </c>
      <c r="N3115" t="s">
        <v>3404</v>
      </c>
      <c r="O3115" t="s">
        <v>3405</v>
      </c>
      <c r="P3115">
        <v>40918149</v>
      </c>
    </row>
    <row r="3116" spans="1:16">
      <c r="A3116" t="s">
        <v>149</v>
      </c>
      <c r="B3116">
        <v>0</v>
      </c>
      <c r="G3116" t="s">
        <v>3338</v>
      </c>
      <c r="I3116" t="s">
        <v>3338</v>
      </c>
      <c r="N3116" t="s">
        <v>3406</v>
      </c>
      <c r="O3116" t="s">
        <v>3407</v>
      </c>
      <c r="P3116">
        <v>40918149</v>
      </c>
    </row>
    <row r="3117" spans="1:16">
      <c r="A3117" t="s">
        <v>149</v>
      </c>
      <c r="B3117">
        <v>1</v>
      </c>
      <c r="E3117" t="s">
        <v>3406</v>
      </c>
      <c r="F3117" t="s">
        <v>3407</v>
      </c>
      <c r="G3117" t="s">
        <v>3408</v>
      </c>
      <c r="I3117" t="s">
        <v>3338</v>
      </c>
      <c r="J3117" t="s">
        <v>2421</v>
      </c>
      <c r="K3117" t="s">
        <v>3354</v>
      </c>
      <c r="L3117" t="s">
        <v>3369</v>
      </c>
      <c r="N3117" t="s">
        <v>3409</v>
      </c>
      <c r="O3117" t="s">
        <v>3410</v>
      </c>
      <c r="P3117">
        <v>40918149</v>
      </c>
    </row>
    <row r="3118" spans="1:16">
      <c r="A3118" t="s">
        <v>149</v>
      </c>
      <c r="B3118">
        <v>1</v>
      </c>
      <c r="E3118" t="s">
        <v>3406</v>
      </c>
      <c r="F3118" t="s">
        <v>3407</v>
      </c>
      <c r="G3118" t="s">
        <v>3408</v>
      </c>
      <c r="I3118" t="s">
        <v>3338</v>
      </c>
      <c r="L3118" t="s">
        <v>193</v>
      </c>
      <c r="N3118" t="s">
        <v>3411</v>
      </c>
      <c r="O3118" t="s">
        <v>3412</v>
      </c>
      <c r="P3118">
        <v>40918149</v>
      </c>
    </row>
    <row r="3119" spans="1:16">
      <c r="A3119" t="s">
        <v>149</v>
      </c>
      <c r="B3119">
        <v>2</v>
      </c>
      <c r="E3119" t="s">
        <v>3411</v>
      </c>
      <c r="F3119" t="s">
        <v>3412</v>
      </c>
      <c r="G3119" t="s">
        <v>3413</v>
      </c>
      <c r="I3119" t="s">
        <v>3338</v>
      </c>
      <c r="L3119" t="s">
        <v>3342</v>
      </c>
      <c r="N3119" t="s">
        <v>3414</v>
      </c>
      <c r="O3119" t="s">
        <v>3415</v>
      </c>
      <c r="P3119">
        <v>40918149</v>
      </c>
    </row>
    <row r="3120" spans="1:16">
      <c r="A3120" t="s">
        <v>149</v>
      </c>
      <c r="B3120">
        <v>2</v>
      </c>
      <c r="E3120" t="s">
        <v>3411</v>
      </c>
      <c r="F3120" t="s">
        <v>3412</v>
      </c>
      <c r="G3120" t="s">
        <v>3413</v>
      </c>
      <c r="I3120" t="s">
        <v>3338</v>
      </c>
      <c r="J3120" t="s">
        <v>2232</v>
      </c>
      <c r="K3120" t="s">
        <v>2233</v>
      </c>
      <c r="L3120" t="s">
        <v>3342</v>
      </c>
      <c r="N3120" t="s">
        <v>3416</v>
      </c>
      <c r="O3120" t="s">
        <v>3417</v>
      </c>
      <c r="P3120">
        <v>40918149</v>
      </c>
    </row>
    <row r="3121" spans="1:16">
      <c r="A3121" t="s">
        <v>149</v>
      </c>
      <c r="B3121">
        <v>2</v>
      </c>
      <c r="E3121" t="s">
        <v>3411</v>
      </c>
      <c r="F3121" t="s">
        <v>3412</v>
      </c>
      <c r="G3121" t="s">
        <v>3413</v>
      </c>
      <c r="I3121" t="s">
        <v>3338</v>
      </c>
      <c r="J3121" t="s">
        <v>2232</v>
      </c>
      <c r="K3121" t="s">
        <v>2233</v>
      </c>
      <c r="L3121" t="s">
        <v>3342</v>
      </c>
      <c r="N3121" t="s">
        <v>3418</v>
      </c>
      <c r="O3121" t="s">
        <v>3419</v>
      </c>
      <c r="P3121">
        <v>40918149</v>
      </c>
    </row>
    <row r="3122" spans="1:16">
      <c r="A3122" t="s">
        <v>149</v>
      </c>
      <c r="B3122">
        <v>2</v>
      </c>
      <c r="E3122" t="s">
        <v>3411</v>
      </c>
      <c r="F3122" t="s">
        <v>3412</v>
      </c>
      <c r="G3122" t="s">
        <v>3413</v>
      </c>
      <c r="I3122" t="s">
        <v>3338</v>
      </c>
      <c r="L3122" t="s">
        <v>3342</v>
      </c>
      <c r="N3122" t="s">
        <v>3420</v>
      </c>
      <c r="O3122" t="s">
        <v>3421</v>
      </c>
      <c r="P3122">
        <v>40918149</v>
      </c>
    </row>
    <row r="3123" spans="1:16">
      <c r="A3123" t="s">
        <v>149</v>
      </c>
      <c r="B3123">
        <v>2</v>
      </c>
      <c r="E3123" t="s">
        <v>3411</v>
      </c>
      <c r="F3123" t="s">
        <v>3412</v>
      </c>
      <c r="G3123" t="s">
        <v>3413</v>
      </c>
      <c r="I3123" t="s">
        <v>3338</v>
      </c>
      <c r="J3123" t="s">
        <v>2232</v>
      </c>
      <c r="K3123" t="s">
        <v>2233</v>
      </c>
      <c r="L3123" t="s">
        <v>3342</v>
      </c>
      <c r="N3123" t="s">
        <v>3422</v>
      </c>
      <c r="O3123" t="s">
        <v>3423</v>
      </c>
      <c r="P3123">
        <v>40918149</v>
      </c>
    </row>
    <row r="3124" spans="1:16">
      <c r="A3124" t="s">
        <v>149</v>
      </c>
      <c r="B3124">
        <v>0</v>
      </c>
      <c r="G3124" t="s">
        <v>3338</v>
      </c>
      <c r="I3124" t="s">
        <v>3338</v>
      </c>
      <c r="N3124" t="s">
        <v>3424</v>
      </c>
      <c r="O3124" t="s">
        <v>3425</v>
      </c>
      <c r="P3124">
        <v>40918149</v>
      </c>
    </row>
    <row r="3125" spans="1:16">
      <c r="A3125" t="s">
        <v>149</v>
      </c>
      <c r="B3125">
        <v>1</v>
      </c>
      <c r="E3125" t="s">
        <v>3424</v>
      </c>
      <c r="F3125" t="s">
        <v>3425</v>
      </c>
      <c r="G3125" t="s">
        <v>3426</v>
      </c>
      <c r="I3125" t="s">
        <v>3338</v>
      </c>
      <c r="J3125" t="s">
        <v>2421</v>
      </c>
      <c r="K3125" t="s">
        <v>3354</v>
      </c>
      <c r="L3125" t="s">
        <v>3369</v>
      </c>
      <c r="N3125" t="s">
        <v>3427</v>
      </c>
      <c r="O3125" t="s">
        <v>3428</v>
      </c>
      <c r="P3125">
        <v>40918149</v>
      </c>
    </row>
    <row r="3126" spans="1:16">
      <c r="A3126" t="s">
        <v>149</v>
      </c>
      <c r="B3126">
        <v>1</v>
      </c>
      <c r="E3126" t="s">
        <v>3424</v>
      </c>
      <c r="F3126" t="s">
        <v>3425</v>
      </c>
      <c r="G3126" t="s">
        <v>3426</v>
      </c>
      <c r="I3126" t="s">
        <v>3338</v>
      </c>
      <c r="J3126" t="s">
        <v>2421</v>
      </c>
      <c r="K3126" t="s">
        <v>3354</v>
      </c>
      <c r="L3126" t="s">
        <v>3369</v>
      </c>
      <c r="N3126" t="s">
        <v>3429</v>
      </c>
      <c r="O3126" t="s">
        <v>3430</v>
      </c>
      <c r="P3126">
        <v>40918149</v>
      </c>
    </row>
    <row r="3127" spans="1:16">
      <c r="A3127" t="s">
        <v>149</v>
      </c>
      <c r="B3127">
        <v>1</v>
      </c>
      <c r="E3127" t="s">
        <v>3424</v>
      </c>
      <c r="F3127" t="s">
        <v>3425</v>
      </c>
      <c r="G3127" t="s">
        <v>3426</v>
      </c>
      <c r="I3127" t="s">
        <v>3338</v>
      </c>
      <c r="J3127" t="s">
        <v>2232</v>
      </c>
      <c r="K3127" t="s">
        <v>2233</v>
      </c>
      <c r="L3127" t="s">
        <v>3342</v>
      </c>
      <c r="N3127" t="s">
        <v>3431</v>
      </c>
      <c r="O3127" t="s">
        <v>3432</v>
      </c>
      <c r="P3127">
        <v>40918149</v>
      </c>
    </row>
    <row r="3128" spans="1:16">
      <c r="A3128" t="s">
        <v>149</v>
      </c>
      <c r="B3128">
        <v>0</v>
      </c>
      <c r="G3128" t="s">
        <v>3338</v>
      </c>
      <c r="I3128" t="s">
        <v>3338</v>
      </c>
      <c r="N3128" t="s">
        <v>3433</v>
      </c>
      <c r="O3128" t="s">
        <v>3434</v>
      </c>
      <c r="P3128">
        <v>40918149</v>
      </c>
    </row>
    <row r="3129" spans="1:16">
      <c r="A3129" t="s">
        <v>149</v>
      </c>
      <c r="B3129">
        <v>1</v>
      </c>
      <c r="E3129" t="s">
        <v>3433</v>
      </c>
      <c r="F3129" t="s">
        <v>3434</v>
      </c>
      <c r="G3129" t="s">
        <v>3435</v>
      </c>
      <c r="I3129" t="s">
        <v>3338</v>
      </c>
      <c r="J3129" t="s">
        <v>2232</v>
      </c>
      <c r="K3129" t="s">
        <v>2233</v>
      </c>
      <c r="L3129" t="s">
        <v>3342</v>
      </c>
      <c r="N3129" t="s">
        <v>3436</v>
      </c>
      <c r="O3129" t="s">
        <v>3437</v>
      </c>
      <c r="P3129">
        <v>40918149</v>
      </c>
    </row>
    <row r="3130" spans="1:16">
      <c r="A3130" t="s">
        <v>149</v>
      </c>
      <c r="B3130">
        <v>1</v>
      </c>
      <c r="E3130" t="s">
        <v>3433</v>
      </c>
      <c r="F3130" t="s">
        <v>3434</v>
      </c>
      <c r="G3130" t="s">
        <v>3435</v>
      </c>
      <c r="I3130" t="s">
        <v>3338</v>
      </c>
      <c r="J3130" t="s">
        <v>2232</v>
      </c>
      <c r="K3130" t="s">
        <v>2233</v>
      </c>
      <c r="L3130" t="s">
        <v>3342</v>
      </c>
      <c r="N3130" t="s">
        <v>3438</v>
      </c>
      <c r="O3130" t="s">
        <v>3439</v>
      </c>
      <c r="P3130">
        <v>40918149</v>
      </c>
    </row>
    <row r="3131" spans="1:16">
      <c r="A3131" t="s">
        <v>149</v>
      </c>
      <c r="B3131">
        <v>1</v>
      </c>
      <c r="E3131" t="s">
        <v>3433</v>
      </c>
      <c r="F3131" t="s">
        <v>3434</v>
      </c>
      <c r="G3131" t="s">
        <v>3435</v>
      </c>
      <c r="I3131" t="s">
        <v>3338</v>
      </c>
      <c r="J3131" t="s">
        <v>2232</v>
      </c>
      <c r="K3131" t="s">
        <v>2233</v>
      </c>
      <c r="L3131" t="s">
        <v>3342</v>
      </c>
      <c r="N3131" t="s">
        <v>3440</v>
      </c>
      <c r="O3131" t="s">
        <v>3441</v>
      </c>
      <c r="P3131">
        <v>40918149</v>
      </c>
    </row>
    <row r="3132" spans="1:16">
      <c r="A3132" t="s">
        <v>149</v>
      </c>
      <c r="B3132">
        <v>1</v>
      </c>
      <c r="E3132" t="s">
        <v>3433</v>
      </c>
      <c r="F3132" t="s">
        <v>3434</v>
      </c>
      <c r="G3132" t="s">
        <v>3435</v>
      </c>
      <c r="I3132" t="s">
        <v>3338</v>
      </c>
      <c r="J3132" t="s">
        <v>2232</v>
      </c>
      <c r="K3132" t="s">
        <v>2233</v>
      </c>
      <c r="L3132" t="s">
        <v>3342</v>
      </c>
      <c r="N3132" t="s">
        <v>3442</v>
      </c>
      <c r="O3132" t="s">
        <v>3443</v>
      </c>
      <c r="P3132">
        <v>40918149</v>
      </c>
    </row>
    <row r="3133" spans="1:16">
      <c r="A3133" t="s">
        <v>149</v>
      </c>
      <c r="B3133">
        <v>1</v>
      </c>
      <c r="E3133" t="s">
        <v>3433</v>
      </c>
      <c r="F3133" t="s">
        <v>3434</v>
      </c>
      <c r="G3133" t="s">
        <v>3435</v>
      </c>
      <c r="I3133" t="s">
        <v>3338</v>
      </c>
      <c r="J3133" t="s">
        <v>2232</v>
      </c>
      <c r="K3133" t="s">
        <v>2233</v>
      </c>
      <c r="L3133" t="s">
        <v>3342</v>
      </c>
      <c r="N3133" t="s">
        <v>3444</v>
      </c>
      <c r="O3133" t="s">
        <v>3445</v>
      </c>
      <c r="P3133">
        <v>40918149</v>
      </c>
    </row>
    <row r="3134" spans="1:16">
      <c r="A3134" t="s">
        <v>149</v>
      </c>
      <c r="B3134">
        <v>1</v>
      </c>
      <c r="E3134" t="s">
        <v>3433</v>
      </c>
      <c r="F3134" t="s">
        <v>3434</v>
      </c>
      <c r="G3134" t="s">
        <v>3435</v>
      </c>
      <c r="I3134" t="s">
        <v>3338</v>
      </c>
      <c r="J3134" t="s">
        <v>2232</v>
      </c>
      <c r="K3134" t="s">
        <v>2233</v>
      </c>
      <c r="L3134" t="s">
        <v>3342</v>
      </c>
      <c r="N3134" t="s">
        <v>3446</v>
      </c>
      <c r="O3134" t="s">
        <v>3447</v>
      </c>
      <c r="P3134">
        <v>40918149</v>
      </c>
    </row>
    <row r="3135" spans="1:16">
      <c r="A3135" t="s">
        <v>149</v>
      </c>
      <c r="B3135">
        <v>0</v>
      </c>
      <c r="G3135" t="s">
        <v>3338</v>
      </c>
      <c r="I3135" t="s">
        <v>3338</v>
      </c>
      <c r="N3135" t="s">
        <v>3448</v>
      </c>
      <c r="O3135" t="s">
        <v>3449</v>
      </c>
      <c r="P3135">
        <v>40918149</v>
      </c>
    </row>
    <row r="3136" spans="1:16">
      <c r="A3136" t="s">
        <v>149</v>
      </c>
      <c r="B3136">
        <v>1</v>
      </c>
      <c r="E3136" t="s">
        <v>3448</v>
      </c>
      <c r="F3136" t="s">
        <v>3449</v>
      </c>
      <c r="G3136" t="s">
        <v>3450</v>
      </c>
      <c r="I3136" t="s">
        <v>3338</v>
      </c>
      <c r="J3136" t="s">
        <v>2421</v>
      </c>
      <c r="K3136" t="s">
        <v>3354</v>
      </c>
      <c r="L3136" t="s">
        <v>3451</v>
      </c>
      <c r="N3136" t="s">
        <v>3452</v>
      </c>
      <c r="O3136" t="s">
        <v>3453</v>
      </c>
      <c r="P3136">
        <v>40918149</v>
      </c>
    </row>
    <row r="3137" spans="1:16">
      <c r="A3137" t="s">
        <v>153</v>
      </c>
      <c r="B3137">
        <v>0</v>
      </c>
      <c r="G3137" t="s">
        <v>3338</v>
      </c>
      <c r="I3137" t="s">
        <v>3338</v>
      </c>
      <c r="N3137" t="s">
        <v>3339</v>
      </c>
      <c r="O3137" t="s">
        <v>3340</v>
      </c>
      <c r="P3137">
        <v>40844342</v>
      </c>
    </row>
    <row r="3138" spans="1:16">
      <c r="A3138" t="s">
        <v>153</v>
      </c>
      <c r="B3138">
        <v>1</v>
      </c>
      <c r="E3138" t="s">
        <v>3339</v>
      </c>
      <c r="F3138" t="s">
        <v>3340</v>
      </c>
      <c r="G3138" t="s">
        <v>3341</v>
      </c>
      <c r="I3138" t="s">
        <v>3338</v>
      </c>
      <c r="J3138" t="s">
        <v>2232</v>
      </c>
      <c r="K3138" t="s">
        <v>2233</v>
      </c>
      <c r="L3138" t="s">
        <v>3342</v>
      </c>
      <c r="N3138" t="s">
        <v>3343</v>
      </c>
      <c r="O3138" t="s">
        <v>3344</v>
      </c>
      <c r="P3138">
        <v>40844342</v>
      </c>
    </row>
    <row r="3139" spans="1:16">
      <c r="A3139" t="s">
        <v>153</v>
      </c>
      <c r="B3139">
        <v>1</v>
      </c>
      <c r="E3139" t="s">
        <v>3339</v>
      </c>
      <c r="F3139" t="s">
        <v>3340</v>
      </c>
      <c r="G3139" t="s">
        <v>3341</v>
      </c>
      <c r="I3139" t="s">
        <v>3338</v>
      </c>
      <c r="J3139" t="s">
        <v>2232</v>
      </c>
      <c r="K3139" t="s">
        <v>2233</v>
      </c>
      <c r="L3139" t="s">
        <v>3342</v>
      </c>
      <c r="N3139" t="s">
        <v>3345</v>
      </c>
      <c r="O3139" t="s">
        <v>3346</v>
      </c>
      <c r="P3139">
        <v>40844342</v>
      </c>
    </row>
    <row r="3140" spans="1:16">
      <c r="A3140" t="s">
        <v>153</v>
      </c>
      <c r="B3140">
        <v>0</v>
      </c>
      <c r="G3140" t="s">
        <v>3338</v>
      </c>
      <c r="I3140" t="s">
        <v>3338</v>
      </c>
      <c r="N3140" t="s">
        <v>3347</v>
      </c>
      <c r="O3140" t="s">
        <v>3344</v>
      </c>
      <c r="P3140">
        <v>40844342</v>
      </c>
    </row>
    <row r="3141" spans="1:16">
      <c r="A3141" t="s">
        <v>153</v>
      </c>
      <c r="B3141">
        <v>1</v>
      </c>
      <c r="E3141" t="s">
        <v>3347</v>
      </c>
      <c r="F3141" t="s">
        <v>3344</v>
      </c>
      <c r="G3141" t="s">
        <v>3348</v>
      </c>
      <c r="I3141" t="s">
        <v>3338</v>
      </c>
      <c r="J3141" t="s">
        <v>2232</v>
      </c>
      <c r="K3141" t="s">
        <v>2233</v>
      </c>
      <c r="L3141" t="s">
        <v>3342</v>
      </c>
      <c r="N3141" t="s">
        <v>3349</v>
      </c>
      <c r="O3141" t="s">
        <v>3350</v>
      </c>
      <c r="P3141">
        <v>40844342</v>
      </c>
    </row>
    <row r="3142" spans="1:16">
      <c r="A3142" t="s">
        <v>153</v>
      </c>
      <c r="B3142">
        <v>1</v>
      </c>
      <c r="E3142" t="s">
        <v>3347</v>
      </c>
      <c r="F3142" t="s">
        <v>3344</v>
      </c>
      <c r="G3142" t="s">
        <v>3348</v>
      </c>
      <c r="I3142" t="s">
        <v>3338</v>
      </c>
      <c r="L3142" t="s">
        <v>193</v>
      </c>
      <c r="N3142" t="s">
        <v>3351</v>
      </c>
      <c r="O3142" t="s">
        <v>3352</v>
      </c>
      <c r="P3142">
        <v>40844342</v>
      </c>
    </row>
    <row r="3143" spans="1:16">
      <c r="A3143" t="s">
        <v>153</v>
      </c>
      <c r="B3143">
        <v>2</v>
      </c>
      <c r="E3143" t="s">
        <v>3351</v>
      </c>
      <c r="F3143" t="s">
        <v>3352</v>
      </c>
      <c r="G3143" t="s">
        <v>3353</v>
      </c>
      <c r="I3143" t="s">
        <v>3338</v>
      </c>
      <c r="J3143" t="s">
        <v>2421</v>
      </c>
      <c r="K3143" t="s">
        <v>3354</v>
      </c>
      <c r="L3143" t="s">
        <v>3355</v>
      </c>
      <c r="N3143" t="s">
        <v>3356</v>
      </c>
      <c r="O3143" t="s">
        <v>3357</v>
      </c>
      <c r="P3143">
        <v>40844342</v>
      </c>
    </row>
    <row r="3144" spans="1:16">
      <c r="A3144" t="s">
        <v>153</v>
      </c>
      <c r="B3144">
        <v>2</v>
      </c>
      <c r="E3144" t="s">
        <v>3351</v>
      </c>
      <c r="F3144" t="s">
        <v>3352</v>
      </c>
      <c r="G3144" t="s">
        <v>3353</v>
      </c>
      <c r="I3144" t="s">
        <v>3338</v>
      </c>
      <c r="J3144" t="s">
        <v>2421</v>
      </c>
      <c r="K3144" t="s">
        <v>3354</v>
      </c>
      <c r="L3144" t="s">
        <v>3355</v>
      </c>
      <c r="N3144" t="s">
        <v>3358</v>
      </c>
      <c r="O3144" t="s">
        <v>3359</v>
      </c>
      <c r="P3144">
        <v>40844342</v>
      </c>
    </row>
    <row r="3145" spans="1:16">
      <c r="A3145" t="s">
        <v>153</v>
      </c>
      <c r="B3145">
        <v>2</v>
      </c>
      <c r="E3145" t="s">
        <v>3351</v>
      </c>
      <c r="F3145" t="s">
        <v>3352</v>
      </c>
      <c r="G3145" t="s">
        <v>3353</v>
      </c>
      <c r="I3145" t="s">
        <v>3338</v>
      </c>
      <c r="J3145" t="s">
        <v>2421</v>
      </c>
      <c r="K3145" t="s">
        <v>3354</v>
      </c>
      <c r="L3145" t="s">
        <v>3355</v>
      </c>
      <c r="N3145" t="s">
        <v>3360</v>
      </c>
      <c r="O3145" t="s">
        <v>3361</v>
      </c>
      <c r="P3145">
        <v>40844342</v>
      </c>
    </row>
    <row r="3146" spans="1:16">
      <c r="A3146" t="s">
        <v>153</v>
      </c>
      <c r="B3146">
        <v>1</v>
      </c>
      <c r="E3146" t="s">
        <v>3347</v>
      </c>
      <c r="F3146" t="s">
        <v>3344</v>
      </c>
      <c r="G3146" t="s">
        <v>3348</v>
      </c>
      <c r="I3146" t="s">
        <v>3338</v>
      </c>
      <c r="J3146" t="s">
        <v>2236</v>
      </c>
      <c r="K3146" t="s">
        <v>3362</v>
      </c>
      <c r="L3146" t="s">
        <v>3363</v>
      </c>
      <c r="N3146" t="s">
        <v>3364</v>
      </c>
      <c r="O3146" t="s">
        <v>3365</v>
      </c>
      <c r="P3146">
        <v>40844342</v>
      </c>
    </row>
    <row r="3147" spans="1:16">
      <c r="A3147" t="s">
        <v>153</v>
      </c>
      <c r="B3147">
        <v>1</v>
      </c>
      <c r="E3147" t="s">
        <v>3347</v>
      </c>
      <c r="F3147" t="s">
        <v>3344</v>
      </c>
      <c r="G3147" t="s">
        <v>3348</v>
      </c>
      <c r="I3147" t="s">
        <v>3338</v>
      </c>
      <c r="L3147" t="s">
        <v>193</v>
      </c>
      <c r="N3147" t="s">
        <v>3366</v>
      </c>
      <c r="O3147" t="s">
        <v>3367</v>
      </c>
      <c r="P3147">
        <v>40844342</v>
      </c>
    </row>
    <row r="3148" spans="1:16">
      <c r="A3148" t="s">
        <v>153</v>
      </c>
      <c r="B3148">
        <v>2</v>
      </c>
      <c r="E3148" t="s">
        <v>3366</v>
      </c>
      <c r="F3148" t="s">
        <v>3367</v>
      </c>
      <c r="G3148" t="s">
        <v>3368</v>
      </c>
      <c r="I3148" t="s">
        <v>3338</v>
      </c>
      <c r="J3148" t="s">
        <v>2421</v>
      </c>
      <c r="K3148" t="s">
        <v>3354</v>
      </c>
      <c r="L3148" t="s">
        <v>3369</v>
      </c>
      <c r="N3148" t="s">
        <v>3370</v>
      </c>
      <c r="O3148" t="s">
        <v>3359</v>
      </c>
      <c r="P3148">
        <v>40844342</v>
      </c>
    </row>
    <row r="3149" spans="1:16">
      <c r="A3149" t="s">
        <v>153</v>
      </c>
      <c r="B3149">
        <v>2</v>
      </c>
      <c r="E3149" t="s">
        <v>3366</v>
      </c>
      <c r="F3149" t="s">
        <v>3367</v>
      </c>
      <c r="G3149" t="s">
        <v>3368</v>
      </c>
      <c r="I3149" t="s">
        <v>3338</v>
      </c>
      <c r="J3149" t="s">
        <v>2421</v>
      </c>
      <c r="K3149" t="s">
        <v>3354</v>
      </c>
      <c r="L3149" t="s">
        <v>3369</v>
      </c>
      <c r="N3149" t="s">
        <v>3371</v>
      </c>
      <c r="O3149" t="s">
        <v>3372</v>
      </c>
      <c r="P3149">
        <v>40844342</v>
      </c>
    </row>
    <row r="3150" spans="1:16">
      <c r="A3150" t="s">
        <v>153</v>
      </c>
      <c r="B3150">
        <v>2</v>
      </c>
      <c r="E3150" t="s">
        <v>3366</v>
      </c>
      <c r="F3150" t="s">
        <v>3367</v>
      </c>
      <c r="G3150" t="s">
        <v>3368</v>
      </c>
      <c r="I3150" t="s">
        <v>3338</v>
      </c>
      <c r="J3150" t="s">
        <v>2421</v>
      </c>
      <c r="K3150" t="s">
        <v>3354</v>
      </c>
      <c r="L3150" t="s">
        <v>3369</v>
      </c>
      <c r="N3150" t="s">
        <v>3373</v>
      </c>
      <c r="O3150" t="s">
        <v>3374</v>
      </c>
      <c r="P3150">
        <v>40844342</v>
      </c>
    </row>
    <row r="3151" spans="1:16">
      <c r="A3151" t="s">
        <v>153</v>
      </c>
      <c r="B3151">
        <v>2</v>
      </c>
      <c r="E3151" t="s">
        <v>3366</v>
      </c>
      <c r="F3151" t="s">
        <v>3367</v>
      </c>
      <c r="G3151" t="s">
        <v>3368</v>
      </c>
      <c r="I3151" t="s">
        <v>3338</v>
      </c>
      <c r="J3151" t="s">
        <v>2236</v>
      </c>
      <c r="K3151" t="s">
        <v>3362</v>
      </c>
      <c r="L3151" t="s">
        <v>3363</v>
      </c>
      <c r="N3151" t="s">
        <v>3375</v>
      </c>
      <c r="O3151" t="s">
        <v>3376</v>
      </c>
      <c r="P3151">
        <v>40844342</v>
      </c>
    </row>
    <row r="3152" spans="1:16">
      <c r="A3152" t="s">
        <v>153</v>
      </c>
      <c r="B3152">
        <v>0</v>
      </c>
      <c r="G3152" t="s">
        <v>3338</v>
      </c>
      <c r="I3152" t="s">
        <v>3338</v>
      </c>
      <c r="N3152" t="s">
        <v>3377</v>
      </c>
      <c r="O3152" t="s">
        <v>3346</v>
      </c>
      <c r="P3152">
        <v>40844342</v>
      </c>
    </row>
    <row r="3153" spans="1:16">
      <c r="A3153" t="s">
        <v>153</v>
      </c>
      <c r="B3153">
        <v>1</v>
      </c>
      <c r="E3153" t="s">
        <v>3377</v>
      </c>
      <c r="F3153" t="s">
        <v>3346</v>
      </c>
      <c r="G3153" t="s">
        <v>3378</v>
      </c>
      <c r="I3153" t="s">
        <v>3338</v>
      </c>
      <c r="L3153" t="s">
        <v>193</v>
      </c>
      <c r="N3153" t="s">
        <v>3379</v>
      </c>
      <c r="O3153" t="s">
        <v>3380</v>
      </c>
      <c r="P3153">
        <v>40844342</v>
      </c>
    </row>
    <row r="3154" spans="1:16">
      <c r="A3154" t="s">
        <v>153</v>
      </c>
      <c r="B3154">
        <v>2</v>
      </c>
      <c r="E3154" t="s">
        <v>3379</v>
      </c>
      <c r="F3154" t="s">
        <v>3380</v>
      </c>
      <c r="G3154" t="s">
        <v>3381</v>
      </c>
      <c r="I3154" t="s">
        <v>3338</v>
      </c>
      <c r="J3154" t="s">
        <v>2421</v>
      </c>
      <c r="K3154" t="s">
        <v>3354</v>
      </c>
      <c r="L3154" t="s">
        <v>3369</v>
      </c>
      <c r="N3154" t="s">
        <v>3382</v>
      </c>
      <c r="O3154" t="s">
        <v>3352</v>
      </c>
      <c r="P3154">
        <v>40844342</v>
      </c>
    </row>
    <row r="3155" spans="1:16">
      <c r="A3155" t="s">
        <v>153</v>
      </c>
      <c r="B3155">
        <v>2</v>
      </c>
      <c r="E3155" t="s">
        <v>3379</v>
      </c>
      <c r="F3155" t="s">
        <v>3380</v>
      </c>
      <c r="G3155" t="s">
        <v>3381</v>
      </c>
      <c r="I3155" t="s">
        <v>3338</v>
      </c>
      <c r="J3155" t="s">
        <v>2236</v>
      </c>
      <c r="K3155" t="s">
        <v>3362</v>
      </c>
      <c r="L3155" t="s">
        <v>3383</v>
      </c>
      <c r="N3155" t="s">
        <v>3384</v>
      </c>
      <c r="O3155" t="s">
        <v>3385</v>
      </c>
      <c r="P3155">
        <v>40844342</v>
      </c>
    </row>
    <row r="3156" spans="1:16">
      <c r="A3156" t="s">
        <v>153</v>
      </c>
      <c r="B3156">
        <v>2</v>
      </c>
      <c r="E3156" t="s">
        <v>3379</v>
      </c>
      <c r="F3156" t="s">
        <v>3380</v>
      </c>
      <c r="G3156" t="s">
        <v>3381</v>
      </c>
      <c r="I3156" t="s">
        <v>3338</v>
      </c>
      <c r="J3156" t="s">
        <v>2232</v>
      </c>
      <c r="K3156" t="s">
        <v>2233</v>
      </c>
      <c r="L3156" t="s">
        <v>3342</v>
      </c>
      <c r="N3156" t="s">
        <v>3386</v>
      </c>
      <c r="O3156" t="s">
        <v>3350</v>
      </c>
      <c r="P3156">
        <v>40844342</v>
      </c>
    </row>
    <row r="3157" spans="1:16">
      <c r="A3157" t="s">
        <v>153</v>
      </c>
      <c r="B3157">
        <v>0</v>
      </c>
      <c r="G3157" t="s">
        <v>3338</v>
      </c>
      <c r="I3157" t="s">
        <v>3338</v>
      </c>
      <c r="N3157" t="s">
        <v>3395</v>
      </c>
      <c r="O3157" t="s">
        <v>3396</v>
      </c>
      <c r="P3157">
        <v>40844342</v>
      </c>
    </row>
    <row r="3158" spans="1:16">
      <c r="A3158" t="s">
        <v>153</v>
      </c>
      <c r="B3158">
        <v>1</v>
      </c>
      <c r="E3158" t="s">
        <v>3395</v>
      </c>
      <c r="F3158" t="s">
        <v>3396</v>
      </c>
      <c r="G3158" t="s">
        <v>3397</v>
      </c>
      <c r="I3158" t="s">
        <v>3338</v>
      </c>
      <c r="L3158" t="s">
        <v>3342</v>
      </c>
      <c r="N3158" t="s">
        <v>3398</v>
      </c>
      <c r="O3158" t="s">
        <v>3399</v>
      </c>
      <c r="P3158">
        <v>40844342</v>
      </c>
    </row>
    <row r="3159" spans="1:16">
      <c r="A3159" t="s">
        <v>153</v>
      </c>
      <c r="B3159">
        <v>1</v>
      </c>
      <c r="E3159" t="s">
        <v>3395</v>
      </c>
      <c r="F3159" t="s">
        <v>3396</v>
      </c>
      <c r="G3159" t="s">
        <v>3397</v>
      </c>
      <c r="I3159" t="s">
        <v>3338</v>
      </c>
      <c r="J3159" t="s">
        <v>2232</v>
      </c>
      <c r="K3159" t="s">
        <v>2233</v>
      </c>
      <c r="L3159" t="s">
        <v>3342</v>
      </c>
      <c r="N3159" t="s">
        <v>3400</v>
      </c>
      <c r="O3159" t="s">
        <v>3401</v>
      </c>
      <c r="P3159">
        <v>40844342</v>
      </c>
    </row>
    <row r="3160" spans="1:16">
      <c r="A3160" t="s">
        <v>153</v>
      </c>
      <c r="B3160">
        <v>1</v>
      </c>
      <c r="E3160" t="s">
        <v>3395</v>
      </c>
      <c r="F3160" t="s">
        <v>3396</v>
      </c>
      <c r="G3160" t="s">
        <v>3397</v>
      </c>
      <c r="I3160" t="s">
        <v>3338</v>
      </c>
      <c r="J3160" t="s">
        <v>2232</v>
      </c>
      <c r="K3160" t="s">
        <v>2233</v>
      </c>
      <c r="L3160" t="s">
        <v>3342</v>
      </c>
      <c r="N3160" t="s">
        <v>3402</v>
      </c>
      <c r="O3160" t="s">
        <v>3403</v>
      </c>
      <c r="P3160">
        <v>40844342</v>
      </c>
    </row>
    <row r="3161" spans="1:16">
      <c r="A3161" t="s">
        <v>153</v>
      </c>
      <c r="B3161">
        <v>1</v>
      </c>
      <c r="E3161" t="s">
        <v>3395</v>
      </c>
      <c r="F3161" t="s">
        <v>3396</v>
      </c>
      <c r="G3161" t="s">
        <v>3397</v>
      </c>
      <c r="I3161" t="s">
        <v>3338</v>
      </c>
      <c r="J3161" t="s">
        <v>2232</v>
      </c>
      <c r="K3161" t="s">
        <v>2233</v>
      </c>
      <c r="L3161" t="s">
        <v>3342</v>
      </c>
      <c r="N3161" t="s">
        <v>3404</v>
      </c>
      <c r="O3161" t="s">
        <v>3405</v>
      </c>
      <c r="P3161">
        <v>40844342</v>
      </c>
    </row>
    <row r="3162" spans="1:16">
      <c r="A3162" t="s">
        <v>153</v>
      </c>
      <c r="B3162">
        <v>0</v>
      </c>
      <c r="G3162" t="s">
        <v>3338</v>
      </c>
      <c r="I3162" t="s">
        <v>3338</v>
      </c>
      <c r="N3162" t="s">
        <v>3406</v>
      </c>
      <c r="O3162" t="s">
        <v>3407</v>
      </c>
      <c r="P3162">
        <v>40844342</v>
      </c>
    </row>
    <row r="3163" spans="1:16">
      <c r="A3163" t="s">
        <v>153</v>
      </c>
      <c r="B3163">
        <v>1</v>
      </c>
      <c r="E3163" t="s">
        <v>3406</v>
      </c>
      <c r="F3163" t="s">
        <v>3407</v>
      </c>
      <c r="G3163" t="s">
        <v>3408</v>
      </c>
      <c r="I3163" t="s">
        <v>3338</v>
      </c>
      <c r="J3163" t="s">
        <v>2421</v>
      </c>
      <c r="K3163" t="s">
        <v>3354</v>
      </c>
      <c r="L3163" t="s">
        <v>3369</v>
      </c>
      <c r="N3163" t="s">
        <v>3409</v>
      </c>
      <c r="O3163" t="s">
        <v>3410</v>
      </c>
      <c r="P3163">
        <v>40844342</v>
      </c>
    </row>
    <row r="3164" spans="1:16">
      <c r="A3164" t="s">
        <v>153</v>
      </c>
      <c r="B3164">
        <v>1</v>
      </c>
      <c r="E3164" t="s">
        <v>3406</v>
      </c>
      <c r="F3164" t="s">
        <v>3407</v>
      </c>
      <c r="G3164" t="s">
        <v>3408</v>
      </c>
      <c r="I3164" t="s">
        <v>3338</v>
      </c>
      <c r="L3164" t="s">
        <v>193</v>
      </c>
      <c r="N3164" t="s">
        <v>3411</v>
      </c>
      <c r="O3164" t="s">
        <v>3412</v>
      </c>
      <c r="P3164">
        <v>40844342</v>
      </c>
    </row>
    <row r="3165" spans="1:16">
      <c r="A3165" t="s">
        <v>153</v>
      </c>
      <c r="B3165">
        <v>2</v>
      </c>
      <c r="E3165" t="s">
        <v>3411</v>
      </c>
      <c r="F3165" t="s">
        <v>3412</v>
      </c>
      <c r="G3165" t="s">
        <v>3413</v>
      </c>
      <c r="I3165" t="s">
        <v>3338</v>
      </c>
      <c r="J3165" t="s">
        <v>2232</v>
      </c>
      <c r="K3165" t="s">
        <v>2233</v>
      </c>
      <c r="L3165" t="s">
        <v>3342</v>
      </c>
      <c r="N3165" t="s">
        <v>3414</v>
      </c>
      <c r="O3165" t="s">
        <v>3415</v>
      </c>
      <c r="P3165">
        <v>40844342</v>
      </c>
    </row>
    <row r="3166" spans="1:16">
      <c r="A3166" t="s">
        <v>153</v>
      </c>
      <c r="B3166">
        <v>2</v>
      </c>
      <c r="E3166" t="s">
        <v>3411</v>
      </c>
      <c r="F3166" t="s">
        <v>3412</v>
      </c>
      <c r="G3166" t="s">
        <v>3413</v>
      </c>
      <c r="I3166" t="s">
        <v>3338</v>
      </c>
      <c r="J3166" t="s">
        <v>2232</v>
      </c>
      <c r="K3166" t="s">
        <v>2233</v>
      </c>
      <c r="L3166" t="s">
        <v>3342</v>
      </c>
      <c r="N3166" t="s">
        <v>3416</v>
      </c>
      <c r="O3166" t="s">
        <v>3417</v>
      </c>
      <c r="P3166">
        <v>40844342</v>
      </c>
    </row>
    <row r="3167" spans="1:16">
      <c r="A3167" t="s">
        <v>153</v>
      </c>
      <c r="B3167">
        <v>2</v>
      </c>
      <c r="E3167" t="s">
        <v>3411</v>
      </c>
      <c r="F3167" t="s">
        <v>3412</v>
      </c>
      <c r="G3167" t="s">
        <v>3413</v>
      </c>
      <c r="I3167" t="s">
        <v>3338</v>
      </c>
      <c r="J3167" t="s">
        <v>2232</v>
      </c>
      <c r="K3167" t="s">
        <v>2233</v>
      </c>
      <c r="L3167" t="s">
        <v>3342</v>
      </c>
      <c r="N3167" t="s">
        <v>3418</v>
      </c>
      <c r="O3167" t="s">
        <v>3419</v>
      </c>
      <c r="P3167">
        <v>40844342</v>
      </c>
    </row>
    <row r="3168" spans="1:16">
      <c r="A3168" t="s">
        <v>153</v>
      </c>
      <c r="B3168">
        <v>2</v>
      </c>
      <c r="E3168" t="s">
        <v>3411</v>
      </c>
      <c r="F3168" t="s">
        <v>3412</v>
      </c>
      <c r="G3168" t="s">
        <v>3413</v>
      </c>
      <c r="I3168" t="s">
        <v>3338</v>
      </c>
      <c r="J3168" t="s">
        <v>2232</v>
      </c>
      <c r="K3168" t="s">
        <v>2233</v>
      </c>
      <c r="L3168" t="s">
        <v>3342</v>
      </c>
      <c r="N3168" t="s">
        <v>3420</v>
      </c>
      <c r="O3168" t="s">
        <v>3421</v>
      </c>
      <c r="P3168">
        <v>40844342</v>
      </c>
    </row>
    <row r="3169" spans="1:16">
      <c r="A3169" t="s">
        <v>153</v>
      </c>
      <c r="B3169">
        <v>2</v>
      </c>
      <c r="E3169" t="s">
        <v>3411</v>
      </c>
      <c r="F3169" t="s">
        <v>3412</v>
      </c>
      <c r="G3169" t="s">
        <v>3413</v>
      </c>
      <c r="I3169" t="s">
        <v>3338</v>
      </c>
      <c r="J3169" t="s">
        <v>2232</v>
      </c>
      <c r="K3169" t="s">
        <v>2233</v>
      </c>
      <c r="L3169" t="s">
        <v>3342</v>
      </c>
      <c r="N3169" t="s">
        <v>3422</v>
      </c>
      <c r="O3169" t="s">
        <v>3423</v>
      </c>
      <c r="P3169">
        <v>40844342</v>
      </c>
    </row>
    <row r="3170" spans="1:16">
      <c r="A3170" t="s">
        <v>153</v>
      </c>
      <c r="B3170">
        <v>0</v>
      </c>
      <c r="G3170" t="s">
        <v>3338</v>
      </c>
      <c r="I3170" t="s">
        <v>3338</v>
      </c>
      <c r="N3170" t="s">
        <v>3424</v>
      </c>
      <c r="O3170" t="s">
        <v>3425</v>
      </c>
      <c r="P3170">
        <v>40844342</v>
      </c>
    </row>
    <row r="3171" spans="1:16">
      <c r="A3171" t="s">
        <v>153</v>
      </c>
      <c r="B3171">
        <v>1</v>
      </c>
      <c r="E3171" t="s">
        <v>3424</v>
      </c>
      <c r="F3171" t="s">
        <v>3425</v>
      </c>
      <c r="G3171" t="s">
        <v>3426</v>
      </c>
      <c r="I3171" t="s">
        <v>3338</v>
      </c>
      <c r="J3171" t="s">
        <v>2421</v>
      </c>
      <c r="K3171" t="s">
        <v>3354</v>
      </c>
      <c r="L3171" t="s">
        <v>3369</v>
      </c>
      <c r="N3171" t="s">
        <v>3427</v>
      </c>
      <c r="O3171" t="s">
        <v>3428</v>
      </c>
      <c r="P3171">
        <v>40844342</v>
      </c>
    </row>
    <row r="3172" spans="1:16">
      <c r="A3172" t="s">
        <v>153</v>
      </c>
      <c r="B3172">
        <v>1</v>
      </c>
      <c r="E3172" t="s">
        <v>3424</v>
      </c>
      <c r="F3172" t="s">
        <v>3425</v>
      </c>
      <c r="G3172" t="s">
        <v>3426</v>
      </c>
      <c r="I3172" t="s">
        <v>3338</v>
      </c>
      <c r="J3172" t="s">
        <v>2421</v>
      </c>
      <c r="K3172" t="s">
        <v>3354</v>
      </c>
      <c r="L3172" t="s">
        <v>3369</v>
      </c>
      <c r="N3172" t="s">
        <v>3429</v>
      </c>
      <c r="O3172" t="s">
        <v>3430</v>
      </c>
      <c r="P3172">
        <v>40844342</v>
      </c>
    </row>
    <row r="3173" spans="1:16">
      <c r="A3173" t="s">
        <v>153</v>
      </c>
      <c r="B3173">
        <v>1</v>
      </c>
      <c r="E3173" t="s">
        <v>3424</v>
      </c>
      <c r="F3173" t="s">
        <v>3425</v>
      </c>
      <c r="G3173" t="s">
        <v>3426</v>
      </c>
      <c r="I3173" t="s">
        <v>3338</v>
      </c>
      <c r="J3173" t="s">
        <v>2232</v>
      </c>
      <c r="K3173" t="s">
        <v>2233</v>
      </c>
      <c r="L3173" t="s">
        <v>3342</v>
      </c>
      <c r="N3173" t="s">
        <v>3431</v>
      </c>
      <c r="O3173" t="s">
        <v>3432</v>
      </c>
      <c r="P3173">
        <v>40844342</v>
      </c>
    </row>
    <row r="3174" spans="1:16">
      <c r="A3174" t="s">
        <v>153</v>
      </c>
      <c r="B3174">
        <v>0</v>
      </c>
      <c r="G3174" t="s">
        <v>3338</v>
      </c>
      <c r="I3174" t="s">
        <v>3338</v>
      </c>
      <c r="N3174" t="s">
        <v>3433</v>
      </c>
      <c r="O3174" t="s">
        <v>3434</v>
      </c>
      <c r="P3174">
        <v>40844342</v>
      </c>
    </row>
    <row r="3175" spans="1:16">
      <c r="A3175" t="s">
        <v>153</v>
      </c>
      <c r="B3175">
        <v>1</v>
      </c>
      <c r="E3175" t="s">
        <v>3433</v>
      </c>
      <c r="F3175" t="s">
        <v>3434</v>
      </c>
      <c r="G3175" t="s">
        <v>3435</v>
      </c>
      <c r="I3175" t="s">
        <v>3338</v>
      </c>
      <c r="J3175" t="s">
        <v>2232</v>
      </c>
      <c r="K3175" t="s">
        <v>2233</v>
      </c>
      <c r="L3175" t="s">
        <v>3342</v>
      </c>
      <c r="N3175" t="s">
        <v>3436</v>
      </c>
      <c r="O3175" t="s">
        <v>3437</v>
      </c>
      <c r="P3175">
        <v>40844342</v>
      </c>
    </row>
    <row r="3176" spans="1:16">
      <c r="A3176" t="s">
        <v>153</v>
      </c>
      <c r="B3176">
        <v>1</v>
      </c>
      <c r="E3176" t="s">
        <v>3433</v>
      </c>
      <c r="F3176" t="s">
        <v>3434</v>
      </c>
      <c r="G3176" t="s">
        <v>3435</v>
      </c>
      <c r="I3176" t="s">
        <v>3338</v>
      </c>
      <c r="J3176" t="s">
        <v>2232</v>
      </c>
      <c r="K3176" t="s">
        <v>2233</v>
      </c>
      <c r="L3176" t="s">
        <v>3342</v>
      </c>
      <c r="N3176" t="s">
        <v>3438</v>
      </c>
      <c r="O3176" t="s">
        <v>3439</v>
      </c>
      <c r="P3176">
        <v>40844342</v>
      </c>
    </row>
    <row r="3177" spans="1:16">
      <c r="A3177" t="s">
        <v>153</v>
      </c>
      <c r="B3177">
        <v>1</v>
      </c>
      <c r="E3177" t="s">
        <v>3433</v>
      </c>
      <c r="F3177" t="s">
        <v>3434</v>
      </c>
      <c r="G3177" t="s">
        <v>3435</v>
      </c>
      <c r="I3177" t="s">
        <v>3338</v>
      </c>
      <c r="J3177" t="s">
        <v>2232</v>
      </c>
      <c r="K3177" t="s">
        <v>2233</v>
      </c>
      <c r="L3177" t="s">
        <v>3342</v>
      </c>
      <c r="N3177" t="s">
        <v>3440</v>
      </c>
      <c r="O3177" t="s">
        <v>3441</v>
      </c>
      <c r="P3177">
        <v>40844342</v>
      </c>
    </row>
    <row r="3178" spans="1:16">
      <c r="A3178" t="s">
        <v>153</v>
      </c>
      <c r="B3178">
        <v>1</v>
      </c>
      <c r="E3178" t="s">
        <v>3433</v>
      </c>
      <c r="F3178" t="s">
        <v>3434</v>
      </c>
      <c r="G3178" t="s">
        <v>3435</v>
      </c>
      <c r="I3178" t="s">
        <v>3338</v>
      </c>
      <c r="J3178" t="s">
        <v>2232</v>
      </c>
      <c r="K3178" t="s">
        <v>2233</v>
      </c>
      <c r="L3178" t="s">
        <v>3342</v>
      </c>
      <c r="N3178" t="s">
        <v>3442</v>
      </c>
      <c r="O3178" t="s">
        <v>3443</v>
      </c>
      <c r="P3178">
        <v>40844342</v>
      </c>
    </row>
    <row r="3179" spans="1:16">
      <c r="A3179" t="s">
        <v>153</v>
      </c>
      <c r="B3179">
        <v>1</v>
      </c>
      <c r="E3179" t="s">
        <v>3433</v>
      </c>
      <c r="F3179" t="s">
        <v>3434</v>
      </c>
      <c r="G3179" t="s">
        <v>3435</v>
      </c>
      <c r="I3179" t="s">
        <v>3338</v>
      </c>
      <c r="J3179" t="s">
        <v>2232</v>
      </c>
      <c r="K3179" t="s">
        <v>2233</v>
      </c>
      <c r="L3179" t="s">
        <v>3342</v>
      </c>
      <c r="N3179" t="s">
        <v>3444</v>
      </c>
      <c r="O3179" t="s">
        <v>3445</v>
      </c>
      <c r="P3179">
        <v>40844342</v>
      </c>
    </row>
    <row r="3180" spans="1:16">
      <c r="A3180" t="s">
        <v>153</v>
      </c>
      <c r="B3180">
        <v>1</v>
      </c>
      <c r="E3180" t="s">
        <v>3433</v>
      </c>
      <c r="F3180" t="s">
        <v>3434</v>
      </c>
      <c r="G3180" t="s">
        <v>3435</v>
      </c>
      <c r="I3180" t="s">
        <v>3338</v>
      </c>
      <c r="J3180" t="s">
        <v>2232</v>
      </c>
      <c r="K3180" t="s">
        <v>2233</v>
      </c>
      <c r="L3180" t="s">
        <v>3342</v>
      </c>
      <c r="N3180" t="s">
        <v>3446</v>
      </c>
      <c r="O3180" t="s">
        <v>3447</v>
      </c>
      <c r="P3180">
        <v>40844342</v>
      </c>
    </row>
    <row r="3181" spans="1:16">
      <c r="A3181" t="s">
        <v>153</v>
      </c>
      <c r="B3181">
        <v>0</v>
      </c>
      <c r="G3181" t="s">
        <v>3338</v>
      </c>
      <c r="I3181" t="s">
        <v>3338</v>
      </c>
      <c r="N3181" t="s">
        <v>3448</v>
      </c>
      <c r="O3181" t="s">
        <v>3449</v>
      </c>
      <c r="P3181">
        <v>40844342</v>
      </c>
    </row>
    <row r="3182" spans="1:16">
      <c r="A3182" t="s">
        <v>153</v>
      </c>
      <c r="B3182">
        <v>1</v>
      </c>
      <c r="E3182" t="s">
        <v>3448</v>
      </c>
      <c r="F3182" t="s">
        <v>3449</v>
      </c>
      <c r="G3182" t="s">
        <v>3450</v>
      </c>
      <c r="I3182" t="s">
        <v>3338</v>
      </c>
      <c r="J3182" t="s">
        <v>2421</v>
      </c>
      <c r="K3182" t="s">
        <v>3354</v>
      </c>
      <c r="L3182" t="s">
        <v>3451</v>
      </c>
      <c r="N3182" t="s">
        <v>3452</v>
      </c>
      <c r="O3182" t="s">
        <v>3453</v>
      </c>
      <c r="P3182">
        <v>40844342</v>
      </c>
    </row>
    <row r="3183" spans="1:16">
      <c r="A3183" t="s">
        <v>153</v>
      </c>
      <c r="B3183">
        <v>0</v>
      </c>
      <c r="G3183" t="s">
        <v>3456</v>
      </c>
      <c r="I3183" t="s">
        <v>3456</v>
      </c>
      <c r="M3183" t="s">
        <v>3463</v>
      </c>
      <c r="N3183" t="s">
        <v>3495</v>
      </c>
      <c r="O3183" t="s">
        <v>3496</v>
      </c>
      <c r="P3183">
        <v>40844342</v>
      </c>
    </row>
    <row r="3184" spans="1:16">
      <c r="A3184" t="s">
        <v>155</v>
      </c>
      <c r="B3184">
        <v>0</v>
      </c>
      <c r="G3184" t="s">
        <v>3338</v>
      </c>
      <c r="I3184" t="s">
        <v>3338</v>
      </c>
      <c r="N3184" t="s">
        <v>3339</v>
      </c>
      <c r="O3184" t="s">
        <v>3340</v>
      </c>
      <c r="P3184">
        <v>40928686</v>
      </c>
    </row>
    <row r="3185" spans="1:16">
      <c r="A3185" t="s">
        <v>155</v>
      </c>
      <c r="B3185">
        <v>1</v>
      </c>
      <c r="E3185" t="s">
        <v>3339</v>
      </c>
      <c r="F3185" t="s">
        <v>3340</v>
      </c>
      <c r="G3185" t="s">
        <v>3341</v>
      </c>
      <c r="I3185" t="s">
        <v>3338</v>
      </c>
      <c r="J3185" t="s">
        <v>2232</v>
      </c>
      <c r="K3185" t="s">
        <v>2233</v>
      </c>
      <c r="L3185" t="s">
        <v>3342</v>
      </c>
      <c r="N3185" t="s">
        <v>3343</v>
      </c>
      <c r="O3185" t="s">
        <v>3344</v>
      </c>
      <c r="P3185">
        <v>40928686</v>
      </c>
    </row>
    <row r="3186" spans="1:16">
      <c r="A3186" t="s">
        <v>155</v>
      </c>
      <c r="B3186">
        <v>1</v>
      </c>
      <c r="E3186" t="s">
        <v>3339</v>
      </c>
      <c r="F3186" t="s">
        <v>3340</v>
      </c>
      <c r="G3186" t="s">
        <v>3341</v>
      </c>
      <c r="I3186" t="s">
        <v>3338</v>
      </c>
      <c r="J3186" t="s">
        <v>2232</v>
      </c>
      <c r="K3186" t="s">
        <v>2233</v>
      </c>
      <c r="L3186" t="s">
        <v>3342</v>
      </c>
      <c r="N3186" t="s">
        <v>3345</v>
      </c>
      <c r="O3186" t="s">
        <v>3346</v>
      </c>
      <c r="P3186">
        <v>40928686</v>
      </c>
    </row>
    <row r="3187" spans="1:16">
      <c r="A3187" t="s">
        <v>155</v>
      </c>
      <c r="B3187">
        <v>0</v>
      </c>
      <c r="G3187" t="s">
        <v>3338</v>
      </c>
      <c r="I3187" t="s">
        <v>3338</v>
      </c>
      <c r="N3187" t="s">
        <v>3347</v>
      </c>
      <c r="O3187" t="s">
        <v>3344</v>
      </c>
      <c r="P3187">
        <v>40928686</v>
      </c>
    </row>
    <row r="3188" spans="1:16">
      <c r="A3188" t="s">
        <v>155</v>
      </c>
      <c r="B3188">
        <v>1</v>
      </c>
      <c r="E3188" t="s">
        <v>3347</v>
      </c>
      <c r="F3188" t="s">
        <v>3344</v>
      </c>
      <c r="G3188" t="s">
        <v>3348</v>
      </c>
      <c r="I3188" t="s">
        <v>3338</v>
      </c>
      <c r="J3188" t="s">
        <v>2232</v>
      </c>
      <c r="K3188" t="s">
        <v>2233</v>
      </c>
      <c r="L3188" t="s">
        <v>3342</v>
      </c>
      <c r="N3188" t="s">
        <v>3349</v>
      </c>
      <c r="O3188" t="s">
        <v>3350</v>
      </c>
      <c r="P3188">
        <v>40928686</v>
      </c>
    </row>
    <row r="3189" spans="1:16">
      <c r="A3189" t="s">
        <v>155</v>
      </c>
      <c r="B3189">
        <v>1</v>
      </c>
      <c r="E3189" t="s">
        <v>3347</v>
      </c>
      <c r="F3189" t="s">
        <v>3344</v>
      </c>
      <c r="G3189" t="s">
        <v>3348</v>
      </c>
      <c r="I3189" t="s">
        <v>3338</v>
      </c>
      <c r="L3189" t="s">
        <v>193</v>
      </c>
      <c r="N3189" t="s">
        <v>3351</v>
      </c>
      <c r="O3189" t="s">
        <v>3352</v>
      </c>
      <c r="P3189">
        <v>40928686</v>
      </c>
    </row>
    <row r="3190" spans="1:16">
      <c r="A3190" t="s">
        <v>155</v>
      </c>
      <c r="B3190">
        <v>2</v>
      </c>
      <c r="E3190" t="s">
        <v>3351</v>
      </c>
      <c r="F3190" t="s">
        <v>3352</v>
      </c>
      <c r="G3190" t="s">
        <v>3353</v>
      </c>
      <c r="I3190" t="s">
        <v>3338</v>
      </c>
      <c r="J3190" t="s">
        <v>2421</v>
      </c>
      <c r="K3190" t="s">
        <v>3354</v>
      </c>
      <c r="L3190" t="s">
        <v>3355</v>
      </c>
      <c r="N3190" t="s">
        <v>3356</v>
      </c>
      <c r="O3190" t="s">
        <v>3357</v>
      </c>
      <c r="P3190">
        <v>40928686</v>
      </c>
    </row>
    <row r="3191" spans="1:16">
      <c r="A3191" t="s">
        <v>155</v>
      </c>
      <c r="B3191">
        <v>2</v>
      </c>
      <c r="E3191" t="s">
        <v>3351</v>
      </c>
      <c r="F3191" t="s">
        <v>3352</v>
      </c>
      <c r="G3191" t="s">
        <v>3353</v>
      </c>
      <c r="I3191" t="s">
        <v>3338</v>
      </c>
      <c r="J3191" t="s">
        <v>2421</v>
      </c>
      <c r="K3191" t="s">
        <v>3354</v>
      </c>
      <c r="L3191" t="s">
        <v>3355</v>
      </c>
      <c r="N3191" t="s">
        <v>3358</v>
      </c>
      <c r="O3191" t="s">
        <v>3359</v>
      </c>
      <c r="P3191">
        <v>40928686</v>
      </c>
    </row>
    <row r="3192" spans="1:16">
      <c r="A3192" t="s">
        <v>155</v>
      </c>
      <c r="B3192">
        <v>2</v>
      </c>
      <c r="E3192" t="s">
        <v>3351</v>
      </c>
      <c r="F3192" t="s">
        <v>3352</v>
      </c>
      <c r="G3192" t="s">
        <v>3353</v>
      </c>
      <c r="I3192" t="s">
        <v>3338</v>
      </c>
      <c r="J3192" t="s">
        <v>2421</v>
      </c>
      <c r="K3192" t="s">
        <v>3354</v>
      </c>
      <c r="L3192" t="s">
        <v>3355</v>
      </c>
      <c r="N3192" t="s">
        <v>3360</v>
      </c>
      <c r="O3192" t="s">
        <v>3361</v>
      </c>
      <c r="P3192">
        <v>40928686</v>
      </c>
    </row>
    <row r="3193" spans="1:16">
      <c r="A3193" t="s">
        <v>155</v>
      </c>
      <c r="B3193">
        <v>1</v>
      </c>
      <c r="E3193" t="s">
        <v>3347</v>
      </c>
      <c r="F3193" t="s">
        <v>3344</v>
      </c>
      <c r="G3193" t="s">
        <v>3348</v>
      </c>
      <c r="I3193" t="s">
        <v>3338</v>
      </c>
      <c r="J3193" t="s">
        <v>2236</v>
      </c>
      <c r="K3193" t="s">
        <v>3362</v>
      </c>
      <c r="L3193" t="s">
        <v>3363</v>
      </c>
      <c r="N3193" t="s">
        <v>3364</v>
      </c>
      <c r="O3193" t="s">
        <v>3365</v>
      </c>
      <c r="P3193">
        <v>40928686</v>
      </c>
    </row>
    <row r="3194" spans="1:16">
      <c r="A3194" t="s">
        <v>155</v>
      </c>
      <c r="B3194">
        <v>1</v>
      </c>
      <c r="E3194" t="s">
        <v>3347</v>
      </c>
      <c r="F3194" t="s">
        <v>3344</v>
      </c>
      <c r="G3194" t="s">
        <v>3348</v>
      </c>
      <c r="I3194" t="s">
        <v>3338</v>
      </c>
      <c r="L3194" t="s">
        <v>193</v>
      </c>
      <c r="N3194" t="s">
        <v>3366</v>
      </c>
      <c r="O3194" t="s">
        <v>3367</v>
      </c>
      <c r="P3194">
        <v>40928686</v>
      </c>
    </row>
    <row r="3195" spans="1:16">
      <c r="A3195" t="s">
        <v>155</v>
      </c>
      <c r="B3195">
        <v>2</v>
      </c>
      <c r="E3195" t="s">
        <v>3366</v>
      </c>
      <c r="F3195" t="s">
        <v>3367</v>
      </c>
      <c r="G3195" t="s">
        <v>3368</v>
      </c>
      <c r="I3195" t="s">
        <v>3338</v>
      </c>
      <c r="J3195" t="s">
        <v>2421</v>
      </c>
      <c r="K3195" t="s">
        <v>3354</v>
      </c>
      <c r="L3195" t="s">
        <v>3369</v>
      </c>
      <c r="N3195" t="s">
        <v>3370</v>
      </c>
      <c r="O3195" t="s">
        <v>3359</v>
      </c>
      <c r="P3195">
        <v>40928686</v>
      </c>
    </row>
    <row r="3196" spans="1:16">
      <c r="A3196" t="s">
        <v>155</v>
      </c>
      <c r="B3196">
        <v>2</v>
      </c>
      <c r="E3196" t="s">
        <v>3366</v>
      </c>
      <c r="F3196" t="s">
        <v>3367</v>
      </c>
      <c r="G3196" t="s">
        <v>3368</v>
      </c>
      <c r="I3196" t="s">
        <v>3338</v>
      </c>
      <c r="J3196" t="s">
        <v>2421</v>
      </c>
      <c r="K3196" t="s">
        <v>3354</v>
      </c>
      <c r="L3196" t="s">
        <v>3369</v>
      </c>
      <c r="N3196" t="s">
        <v>3371</v>
      </c>
      <c r="O3196" t="s">
        <v>3372</v>
      </c>
      <c r="P3196">
        <v>40928686</v>
      </c>
    </row>
    <row r="3197" spans="1:16">
      <c r="A3197" t="s">
        <v>155</v>
      </c>
      <c r="B3197">
        <v>2</v>
      </c>
      <c r="E3197" t="s">
        <v>3366</v>
      </c>
      <c r="F3197" t="s">
        <v>3367</v>
      </c>
      <c r="G3197" t="s">
        <v>3368</v>
      </c>
      <c r="I3197" t="s">
        <v>3338</v>
      </c>
      <c r="J3197" t="s">
        <v>2421</v>
      </c>
      <c r="K3197" t="s">
        <v>3354</v>
      </c>
      <c r="L3197" t="s">
        <v>3369</v>
      </c>
      <c r="N3197" t="s">
        <v>3373</v>
      </c>
      <c r="O3197" t="s">
        <v>3374</v>
      </c>
      <c r="P3197">
        <v>40928686</v>
      </c>
    </row>
    <row r="3198" spans="1:16">
      <c r="A3198" t="s">
        <v>155</v>
      </c>
      <c r="B3198">
        <v>2</v>
      </c>
      <c r="E3198" t="s">
        <v>3366</v>
      </c>
      <c r="F3198" t="s">
        <v>3367</v>
      </c>
      <c r="G3198" t="s">
        <v>3368</v>
      </c>
      <c r="I3198" t="s">
        <v>3338</v>
      </c>
      <c r="J3198" t="s">
        <v>2236</v>
      </c>
      <c r="K3198" t="s">
        <v>3362</v>
      </c>
      <c r="L3198" t="s">
        <v>3363</v>
      </c>
      <c r="N3198" t="s">
        <v>3375</v>
      </c>
      <c r="O3198" t="s">
        <v>3376</v>
      </c>
      <c r="P3198">
        <v>40928686</v>
      </c>
    </row>
    <row r="3199" spans="1:16">
      <c r="A3199" t="s">
        <v>155</v>
      </c>
      <c r="B3199">
        <v>1</v>
      </c>
      <c r="E3199" t="s">
        <v>3347</v>
      </c>
      <c r="F3199" t="s">
        <v>3344</v>
      </c>
      <c r="G3199" t="s">
        <v>3348</v>
      </c>
      <c r="I3199" t="s">
        <v>3338</v>
      </c>
      <c r="J3199" t="s">
        <v>2232</v>
      </c>
      <c r="K3199" t="s">
        <v>2233</v>
      </c>
      <c r="L3199" t="s">
        <v>3342</v>
      </c>
      <c r="N3199" t="s">
        <v>3454</v>
      </c>
      <c r="O3199" t="s">
        <v>3455</v>
      </c>
      <c r="P3199">
        <v>40928686</v>
      </c>
    </row>
    <row r="3200" spans="1:16">
      <c r="A3200" t="s">
        <v>155</v>
      </c>
      <c r="B3200">
        <v>0</v>
      </c>
      <c r="G3200" t="s">
        <v>3338</v>
      </c>
      <c r="I3200" t="s">
        <v>3338</v>
      </c>
      <c r="N3200" t="s">
        <v>3377</v>
      </c>
      <c r="O3200" t="s">
        <v>3346</v>
      </c>
      <c r="P3200">
        <v>40928686</v>
      </c>
    </row>
    <row r="3201" spans="1:16">
      <c r="A3201" t="s">
        <v>155</v>
      </c>
      <c r="B3201">
        <v>1</v>
      </c>
      <c r="E3201" t="s">
        <v>3377</v>
      </c>
      <c r="F3201" t="s">
        <v>3346</v>
      </c>
      <c r="G3201" t="s">
        <v>3378</v>
      </c>
      <c r="I3201" t="s">
        <v>3338</v>
      </c>
      <c r="L3201" t="s">
        <v>193</v>
      </c>
      <c r="N3201" t="s">
        <v>3379</v>
      </c>
      <c r="O3201" t="s">
        <v>3380</v>
      </c>
      <c r="P3201">
        <v>40928686</v>
      </c>
    </row>
    <row r="3202" spans="1:16">
      <c r="A3202" t="s">
        <v>155</v>
      </c>
      <c r="B3202">
        <v>2</v>
      </c>
      <c r="E3202" t="s">
        <v>3379</v>
      </c>
      <c r="F3202" t="s">
        <v>3380</v>
      </c>
      <c r="G3202" t="s">
        <v>3381</v>
      </c>
      <c r="I3202" t="s">
        <v>3338</v>
      </c>
      <c r="J3202" t="s">
        <v>2421</v>
      </c>
      <c r="K3202" t="s">
        <v>3354</v>
      </c>
      <c r="L3202" t="s">
        <v>3369</v>
      </c>
      <c r="N3202" t="s">
        <v>3382</v>
      </c>
      <c r="O3202" t="s">
        <v>3352</v>
      </c>
      <c r="P3202">
        <v>40928686</v>
      </c>
    </row>
    <row r="3203" spans="1:16">
      <c r="A3203" t="s">
        <v>155</v>
      </c>
      <c r="B3203">
        <v>2</v>
      </c>
      <c r="E3203" t="s">
        <v>3379</v>
      </c>
      <c r="F3203" t="s">
        <v>3380</v>
      </c>
      <c r="G3203" t="s">
        <v>3381</v>
      </c>
      <c r="I3203" t="s">
        <v>3338</v>
      </c>
      <c r="J3203" t="s">
        <v>2236</v>
      </c>
      <c r="K3203" t="s">
        <v>3362</v>
      </c>
      <c r="L3203" t="s">
        <v>3383</v>
      </c>
      <c r="N3203" t="s">
        <v>3384</v>
      </c>
      <c r="O3203" t="s">
        <v>3385</v>
      </c>
      <c r="P3203">
        <v>40928686</v>
      </c>
    </row>
    <row r="3204" spans="1:16">
      <c r="A3204" t="s">
        <v>155</v>
      </c>
      <c r="B3204">
        <v>2</v>
      </c>
      <c r="E3204" t="s">
        <v>3379</v>
      </c>
      <c r="F3204" t="s">
        <v>3380</v>
      </c>
      <c r="G3204" t="s">
        <v>3381</v>
      </c>
      <c r="I3204" t="s">
        <v>3338</v>
      </c>
      <c r="J3204" t="s">
        <v>2232</v>
      </c>
      <c r="K3204" t="s">
        <v>2233</v>
      </c>
      <c r="L3204" t="s">
        <v>3342</v>
      </c>
      <c r="N3204" t="s">
        <v>3386</v>
      </c>
      <c r="O3204" t="s">
        <v>3350</v>
      </c>
      <c r="P3204">
        <v>40928686</v>
      </c>
    </row>
    <row r="3205" spans="1:16">
      <c r="A3205" t="s">
        <v>155</v>
      </c>
      <c r="B3205">
        <v>1</v>
      </c>
      <c r="E3205" t="s">
        <v>3377</v>
      </c>
      <c r="F3205" t="s">
        <v>3346</v>
      </c>
      <c r="G3205" t="s">
        <v>3378</v>
      </c>
      <c r="I3205" t="s">
        <v>3338</v>
      </c>
      <c r="L3205" t="s">
        <v>193</v>
      </c>
      <c r="N3205" t="s">
        <v>3387</v>
      </c>
      <c r="O3205" t="s">
        <v>3388</v>
      </c>
      <c r="P3205">
        <v>40928686</v>
      </c>
    </row>
    <row r="3206" spans="1:16">
      <c r="A3206" t="s">
        <v>155</v>
      </c>
      <c r="B3206">
        <v>2</v>
      </c>
      <c r="E3206" t="s">
        <v>3387</v>
      </c>
      <c r="F3206" t="s">
        <v>3388</v>
      </c>
      <c r="G3206" t="s">
        <v>3389</v>
      </c>
      <c r="I3206" t="s">
        <v>3338</v>
      </c>
      <c r="L3206" t="s">
        <v>3369</v>
      </c>
      <c r="N3206" t="s">
        <v>3390</v>
      </c>
      <c r="O3206" t="s">
        <v>3352</v>
      </c>
      <c r="P3206">
        <v>40928686</v>
      </c>
    </row>
    <row r="3207" spans="1:16">
      <c r="A3207" t="s">
        <v>155</v>
      </c>
      <c r="B3207">
        <v>2</v>
      </c>
      <c r="E3207" t="s">
        <v>3387</v>
      </c>
      <c r="F3207" t="s">
        <v>3388</v>
      </c>
      <c r="G3207" t="s">
        <v>3389</v>
      </c>
      <c r="I3207" t="s">
        <v>3338</v>
      </c>
      <c r="L3207" t="s">
        <v>3342</v>
      </c>
      <c r="N3207" t="s">
        <v>3391</v>
      </c>
      <c r="O3207" t="s">
        <v>3392</v>
      </c>
      <c r="P3207">
        <v>40928686</v>
      </c>
    </row>
    <row r="3208" spans="1:16">
      <c r="A3208" t="s">
        <v>155</v>
      </c>
      <c r="B3208">
        <v>2</v>
      </c>
      <c r="E3208" t="s">
        <v>3387</v>
      </c>
      <c r="F3208" t="s">
        <v>3388</v>
      </c>
      <c r="G3208" t="s">
        <v>3389</v>
      </c>
      <c r="I3208" t="s">
        <v>3338</v>
      </c>
      <c r="L3208" t="s">
        <v>3383</v>
      </c>
      <c r="N3208" t="s">
        <v>3393</v>
      </c>
      <c r="O3208" t="s">
        <v>3385</v>
      </c>
      <c r="P3208">
        <v>40928686</v>
      </c>
    </row>
    <row r="3209" spans="1:16">
      <c r="A3209" t="s">
        <v>155</v>
      </c>
      <c r="B3209">
        <v>2</v>
      </c>
      <c r="E3209" t="s">
        <v>3387</v>
      </c>
      <c r="F3209" t="s">
        <v>3388</v>
      </c>
      <c r="G3209" t="s">
        <v>3389</v>
      </c>
      <c r="I3209" t="s">
        <v>3338</v>
      </c>
      <c r="L3209" t="s">
        <v>3342</v>
      </c>
      <c r="N3209" t="s">
        <v>3394</v>
      </c>
      <c r="O3209" t="s">
        <v>3350</v>
      </c>
      <c r="P3209">
        <v>40928686</v>
      </c>
    </row>
    <row r="3210" spans="1:16">
      <c r="A3210" t="s">
        <v>155</v>
      </c>
      <c r="B3210">
        <v>0</v>
      </c>
      <c r="G3210" t="s">
        <v>3338</v>
      </c>
      <c r="I3210" t="s">
        <v>3338</v>
      </c>
      <c r="N3210" t="s">
        <v>3395</v>
      </c>
      <c r="O3210" t="s">
        <v>3396</v>
      </c>
      <c r="P3210">
        <v>40928686</v>
      </c>
    </row>
    <row r="3211" spans="1:16">
      <c r="A3211" t="s">
        <v>155</v>
      </c>
      <c r="B3211">
        <v>1</v>
      </c>
      <c r="E3211" t="s">
        <v>3395</v>
      </c>
      <c r="F3211" t="s">
        <v>3396</v>
      </c>
      <c r="G3211" t="s">
        <v>3397</v>
      </c>
      <c r="I3211" t="s">
        <v>3338</v>
      </c>
      <c r="L3211" t="s">
        <v>3342</v>
      </c>
      <c r="N3211" t="s">
        <v>3398</v>
      </c>
      <c r="O3211" t="s">
        <v>3399</v>
      </c>
      <c r="P3211">
        <v>40928686</v>
      </c>
    </row>
    <row r="3212" spans="1:16">
      <c r="A3212" t="s">
        <v>155</v>
      </c>
      <c r="B3212">
        <v>1</v>
      </c>
      <c r="E3212" t="s">
        <v>3395</v>
      </c>
      <c r="F3212" t="s">
        <v>3396</v>
      </c>
      <c r="G3212" t="s">
        <v>3397</v>
      </c>
      <c r="I3212" t="s">
        <v>3338</v>
      </c>
      <c r="J3212" t="s">
        <v>2232</v>
      </c>
      <c r="K3212" t="s">
        <v>2233</v>
      </c>
      <c r="L3212" t="s">
        <v>3342</v>
      </c>
      <c r="N3212" t="s">
        <v>3400</v>
      </c>
      <c r="O3212" t="s">
        <v>3401</v>
      </c>
      <c r="P3212">
        <v>40928686</v>
      </c>
    </row>
    <row r="3213" spans="1:16">
      <c r="A3213" t="s">
        <v>155</v>
      </c>
      <c r="B3213">
        <v>1</v>
      </c>
      <c r="E3213" t="s">
        <v>3395</v>
      </c>
      <c r="F3213" t="s">
        <v>3396</v>
      </c>
      <c r="G3213" t="s">
        <v>3397</v>
      </c>
      <c r="I3213" t="s">
        <v>3338</v>
      </c>
      <c r="L3213" t="s">
        <v>3342</v>
      </c>
      <c r="N3213" t="s">
        <v>3402</v>
      </c>
      <c r="O3213" t="s">
        <v>3403</v>
      </c>
      <c r="P3213">
        <v>40928686</v>
      </c>
    </row>
    <row r="3214" spans="1:16">
      <c r="A3214" t="s">
        <v>155</v>
      </c>
      <c r="B3214">
        <v>1</v>
      </c>
      <c r="E3214" t="s">
        <v>3395</v>
      </c>
      <c r="F3214" t="s">
        <v>3396</v>
      </c>
      <c r="G3214" t="s">
        <v>3397</v>
      </c>
      <c r="I3214" t="s">
        <v>3338</v>
      </c>
      <c r="L3214" t="s">
        <v>3342</v>
      </c>
      <c r="N3214" t="s">
        <v>3404</v>
      </c>
      <c r="O3214" t="s">
        <v>3405</v>
      </c>
      <c r="P3214">
        <v>40928686</v>
      </c>
    </row>
    <row r="3215" spans="1:16">
      <c r="A3215" t="s">
        <v>155</v>
      </c>
      <c r="B3215">
        <v>0</v>
      </c>
      <c r="G3215" t="s">
        <v>3338</v>
      </c>
      <c r="I3215" t="s">
        <v>3338</v>
      </c>
      <c r="N3215" t="s">
        <v>3406</v>
      </c>
      <c r="O3215" t="s">
        <v>3407</v>
      </c>
      <c r="P3215">
        <v>40928686</v>
      </c>
    </row>
    <row r="3216" spans="1:16">
      <c r="A3216" t="s">
        <v>155</v>
      </c>
      <c r="B3216">
        <v>1</v>
      </c>
      <c r="E3216" t="s">
        <v>3406</v>
      </c>
      <c r="F3216" t="s">
        <v>3407</v>
      </c>
      <c r="G3216" t="s">
        <v>3408</v>
      </c>
      <c r="I3216" t="s">
        <v>3338</v>
      </c>
      <c r="J3216" t="s">
        <v>2421</v>
      </c>
      <c r="K3216" t="s">
        <v>3354</v>
      </c>
      <c r="L3216" t="s">
        <v>3369</v>
      </c>
      <c r="N3216" t="s">
        <v>3409</v>
      </c>
      <c r="O3216" t="s">
        <v>3410</v>
      </c>
      <c r="P3216">
        <v>40928686</v>
      </c>
    </row>
    <row r="3217" spans="1:16">
      <c r="A3217" t="s">
        <v>155</v>
      </c>
      <c r="B3217">
        <v>1</v>
      </c>
      <c r="E3217" t="s">
        <v>3406</v>
      </c>
      <c r="F3217" t="s">
        <v>3407</v>
      </c>
      <c r="G3217" t="s">
        <v>3408</v>
      </c>
      <c r="I3217" t="s">
        <v>3338</v>
      </c>
      <c r="L3217" t="s">
        <v>193</v>
      </c>
      <c r="N3217" t="s">
        <v>3411</v>
      </c>
      <c r="O3217" t="s">
        <v>3412</v>
      </c>
      <c r="P3217">
        <v>40928686</v>
      </c>
    </row>
    <row r="3218" spans="1:16">
      <c r="A3218" t="s">
        <v>155</v>
      </c>
      <c r="B3218">
        <v>2</v>
      </c>
      <c r="E3218" t="s">
        <v>3411</v>
      </c>
      <c r="F3218" t="s">
        <v>3412</v>
      </c>
      <c r="G3218" t="s">
        <v>3413</v>
      </c>
      <c r="I3218" t="s">
        <v>3338</v>
      </c>
      <c r="J3218" t="s">
        <v>2232</v>
      </c>
      <c r="K3218" t="s">
        <v>2233</v>
      </c>
      <c r="L3218" t="s">
        <v>3342</v>
      </c>
      <c r="N3218" t="s">
        <v>3414</v>
      </c>
      <c r="O3218" t="s">
        <v>3415</v>
      </c>
      <c r="P3218">
        <v>40928686</v>
      </c>
    </row>
    <row r="3219" spans="1:16">
      <c r="A3219" t="s">
        <v>155</v>
      </c>
      <c r="B3219">
        <v>2</v>
      </c>
      <c r="E3219" t="s">
        <v>3411</v>
      </c>
      <c r="F3219" t="s">
        <v>3412</v>
      </c>
      <c r="G3219" t="s">
        <v>3413</v>
      </c>
      <c r="I3219" t="s">
        <v>3338</v>
      </c>
      <c r="J3219" t="s">
        <v>2232</v>
      </c>
      <c r="K3219" t="s">
        <v>2233</v>
      </c>
      <c r="L3219" t="s">
        <v>3342</v>
      </c>
      <c r="N3219" t="s">
        <v>3416</v>
      </c>
      <c r="O3219" t="s">
        <v>3417</v>
      </c>
      <c r="P3219">
        <v>40928686</v>
      </c>
    </row>
    <row r="3220" spans="1:16">
      <c r="A3220" t="s">
        <v>155</v>
      </c>
      <c r="B3220">
        <v>2</v>
      </c>
      <c r="E3220" t="s">
        <v>3411</v>
      </c>
      <c r="F3220" t="s">
        <v>3412</v>
      </c>
      <c r="G3220" t="s">
        <v>3413</v>
      </c>
      <c r="I3220" t="s">
        <v>3338</v>
      </c>
      <c r="J3220" t="s">
        <v>2232</v>
      </c>
      <c r="K3220" t="s">
        <v>2233</v>
      </c>
      <c r="L3220" t="s">
        <v>3342</v>
      </c>
      <c r="N3220" t="s">
        <v>3418</v>
      </c>
      <c r="O3220" t="s">
        <v>3419</v>
      </c>
      <c r="P3220">
        <v>40928686</v>
      </c>
    </row>
    <row r="3221" spans="1:16">
      <c r="A3221" t="s">
        <v>155</v>
      </c>
      <c r="B3221">
        <v>2</v>
      </c>
      <c r="E3221" t="s">
        <v>3411</v>
      </c>
      <c r="F3221" t="s">
        <v>3412</v>
      </c>
      <c r="G3221" t="s">
        <v>3413</v>
      </c>
      <c r="I3221" t="s">
        <v>3338</v>
      </c>
      <c r="J3221" t="s">
        <v>2232</v>
      </c>
      <c r="K3221" t="s">
        <v>2233</v>
      </c>
      <c r="L3221" t="s">
        <v>3342</v>
      </c>
      <c r="N3221" t="s">
        <v>3420</v>
      </c>
      <c r="O3221" t="s">
        <v>3421</v>
      </c>
      <c r="P3221">
        <v>40928686</v>
      </c>
    </row>
    <row r="3222" spans="1:16">
      <c r="A3222" t="s">
        <v>155</v>
      </c>
      <c r="B3222">
        <v>2</v>
      </c>
      <c r="E3222" t="s">
        <v>3411</v>
      </c>
      <c r="F3222" t="s">
        <v>3412</v>
      </c>
      <c r="G3222" t="s">
        <v>3413</v>
      </c>
      <c r="I3222" t="s">
        <v>3338</v>
      </c>
      <c r="J3222" t="s">
        <v>2232</v>
      </c>
      <c r="K3222" t="s">
        <v>2233</v>
      </c>
      <c r="L3222" t="s">
        <v>3342</v>
      </c>
      <c r="N3222" t="s">
        <v>3422</v>
      </c>
      <c r="O3222" t="s">
        <v>3423</v>
      </c>
      <c r="P3222">
        <v>40928686</v>
      </c>
    </row>
    <row r="3223" spans="1:16">
      <c r="A3223" t="s">
        <v>155</v>
      </c>
      <c r="B3223">
        <v>0</v>
      </c>
      <c r="G3223" t="s">
        <v>3338</v>
      </c>
      <c r="I3223" t="s">
        <v>3338</v>
      </c>
      <c r="N3223" t="s">
        <v>3424</v>
      </c>
      <c r="O3223" t="s">
        <v>3425</v>
      </c>
      <c r="P3223">
        <v>40928686</v>
      </c>
    </row>
    <row r="3224" spans="1:16">
      <c r="A3224" t="s">
        <v>155</v>
      </c>
      <c r="B3224">
        <v>1</v>
      </c>
      <c r="E3224" t="s">
        <v>3424</v>
      </c>
      <c r="F3224" t="s">
        <v>3425</v>
      </c>
      <c r="G3224" t="s">
        <v>3426</v>
      </c>
      <c r="I3224" t="s">
        <v>3338</v>
      </c>
      <c r="J3224" t="s">
        <v>2421</v>
      </c>
      <c r="K3224" t="s">
        <v>3354</v>
      </c>
      <c r="L3224" t="s">
        <v>3369</v>
      </c>
      <c r="N3224" t="s">
        <v>3427</v>
      </c>
      <c r="O3224" t="s">
        <v>3428</v>
      </c>
      <c r="P3224">
        <v>40928686</v>
      </c>
    </row>
    <row r="3225" spans="1:16">
      <c r="A3225" t="s">
        <v>155</v>
      </c>
      <c r="B3225">
        <v>1</v>
      </c>
      <c r="E3225" t="s">
        <v>3424</v>
      </c>
      <c r="F3225" t="s">
        <v>3425</v>
      </c>
      <c r="G3225" t="s">
        <v>3426</v>
      </c>
      <c r="I3225" t="s">
        <v>3338</v>
      </c>
      <c r="J3225" t="s">
        <v>2421</v>
      </c>
      <c r="K3225" t="s">
        <v>3354</v>
      </c>
      <c r="L3225" t="s">
        <v>3369</v>
      </c>
      <c r="N3225" t="s">
        <v>3429</v>
      </c>
      <c r="O3225" t="s">
        <v>3430</v>
      </c>
      <c r="P3225">
        <v>40928686</v>
      </c>
    </row>
    <row r="3226" spans="1:16">
      <c r="A3226" t="s">
        <v>155</v>
      </c>
      <c r="B3226">
        <v>1</v>
      </c>
      <c r="E3226" t="s">
        <v>3424</v>
      </c>
      <c r="F3226" t="s">
        <v>3425</v>
      </c>
      <c r="G3226" t="s">
        <v>3426</v>
      </c>
      <c r="I3226" t="s">
        <v>3338</v>
      </c>
      <c r="J3226" t="s">
        <v>2232</v>
      </c>
      <c r="K3226" t="s">
        <v>2233</v>
      </c>
      <c r="L3226" t="s">
        <v>3342</v>
      </c>
      <c r="N3226" t="s">
        <v>3431</v>
      </c>
      <c r="O3226" t="s">
        <v>3432</v>
      </c>
      <c r="P3226">
        <v>40928686</v>
      </c>
    </row>
    <row r="3227" spans="1:16">
      <c r="A3227" t="s">
        <v>155</v>
      </c>
      <c r="B3227">
        <v>0</v>
      </c>
      <c r="G3227" t="s">
        <v>3338</v>
      </c>
      <c r="I3227" t="s">
        <v>3338</v>
      </c>
      <c r="N3227" t="s">
        <v>3433</v>
      </c>
      <c r="O3227" t="s">
        <v>3434</v>
      </c>
      <c r="P3227">
        <v>40928686</v>
      </c>
    </row>
    <row r="3228" spans="1:16">
      <c r="A3228" t="s">
        <v>155</v>
      </c>
      <c r="B3228">
        <v>1</v>
      </c>
      <c r="E3228" t="s">
        <v>3433</v>
      </c>
      <c r="F3228" t="s">
        <v>3434</v>
      </c>
      <c r="G3228" t="s">
        <v>3435</v>
      </c>
      <c r="I3228" t="s">
        <v>3338</v>
      </c>
      <c r="J3228" t="s">
        <v>2232</v>
      </c>
      <c r="K3228" t="s">
        <v>2233</v>
      </c>
      <c r="L3228" t="s">
        <v>3342</v>
      </c>
      <c r="N3228" t="s">
        <v>3436</v>
      </c>
      <c r="O3228" t="s">
        <v>3437</v>
      </c>
      <c r="P3228">
        <v>40928686</v>
      </c>
    </row>
    <row r="3229" spans="1:16">
      <c r="A3229" t="s">
        <v>155</v>
      </c>
      <c r="B3229">
        <v>1</v>
      </c>
      <c r="E3229" t="s">
        <v>3433</v>
      </c>
      <c r="F3229" t="s">
        <v>3434</v>
      </c>
      <c r="G3229" t="s">
        <v>3435</v>
      </c>
      <c r="I3229" t="s">
        <v>3338</v>
      </c>
      <c r="J3229" t="s">
        <v>2232</v>
      </c>
      <c r="K3229" t="s">
        <v>2233</v>
      </c>
      <c r="L3229" t="s">
        <v>3342</v>
      </c>
      <c r="N3229" t="s">
        <v>3438</v>
      </c>
      <c r="O3229" t="s">
        <v>3439</v>
      </c>
      <c r="P3229">
        <v>40928686</v>
      </c>
    </row>
    <row r="3230" spans="1:16">
      <c r="A3230" t="s">
        <v>155</v>
      </c>
      <c r="B3230">
        <v>1</v>
      </c>
      <c r="E3230" t="s">
        <v>3433</v>
      </c>
      <c r="F3230" t="s">
        <v>3434</v>
      </c>
      <c r="G3230" t="s">
        <v>3435</v>
      </c>
      <c r="I3230" t="s">
        <v>3338</v>
      </c>
      <c r="J3230" t="s">
        <v>2232</v>
      </c>
      <c r="K3230" t="s">
        <v>2233</v>
      </c>
      <c r="L3230" t="s">
        <v>3342</v>
      </c>
      <c r="N3230" t="s">
        <v>3440</v>
      </c>
      <c r="O3230" t="s">
        <v>3441</v>
      </c>
      <c r="P3230">
        <v>40928686</v>
      </c>
    </row>
    <row r="3231" spans="1:16">
      <c r="A3231" t="s">
        <v>155</v>
      </c>
      <c r="B3231">
        <v>1</v>
      </c>
      <c r="E3231" t="s">
        <v>3433</v>
      </c>
      <c r="F3231" t="s">
        <v>3434</v>
      </c>
      <c r="G3231" t="s">
        <v>3435</v>
      </c>
      <c r="I3231" t="s">
        <v>3338</v>
      </c>
      <c r="J3231" t="s">
        <v>2232</v>
      </c>
      <c r="K3231" t="s">
        <v>2233</v>
      </c>
      <c r="L3231" t="s">
        <v>3342</v>
      </c>
      <c r="N3231" t="s">
        <v>3442</v>
      </c>
      <c r="O3231" t="s">
        <v>3443</v>
      </c>
      <c r="P3231">
        <v>40928686</v>
      </c>
    </row>
    <row r="3232" spans="1:16">
      <c r="A3232" t="s">
        <v>155</v>
      </c>
      <c r="B3232">
        <v>1</v>
      </c>
      <c r="E3232" t="s">
        <v>3433</v>
      </c>
      <c r="F3232" t="s">
        <v>3434</v>
      </c>
      <c r="G3232" t="s">
        <v>3435</v>
      </c>
      <c r="I3232" t="s">
        <v>3338</v>
      </c>
      <c r="J3232" t="s">
        <v>2232</v>
      </c>
      <c r="K3232" t="s">
        <v>2233</v>
      </c>
      <c r="L3232" t="s">
        <v>3342</v>
      </c>
      <c r="N3232" t="s">
        <v>3444</v>
      </c>
      <c r="O3232" t="s">
        <v>3445</v>
      </c>
      <c r="P3232">
        <v>40928686</v>
      </c>
    </row>
    <row r="3233" spans="1:16">
      <c r="A3233" t="s">
        <v>155</v>
      </c>
      <c r="B3233">
        <v>1</v>
      </c>
      <c r="E3233" t="s">
        <v>3433</v>
      </c>
      <c r="F3233" t="s">
        <v>3434</v>
      </c>
      <c r="G3233" t="s">
        <v>3435</v>
      </c>
      <c r="I3233" t="s">
        <v>3338</v>
      </c>
      <c r="J3233" t="s">
        <v>2232</v>
      </c>
      <c r="K3233" t="s">
        <v>2233</v>
      </c>
      <c r="L3233" t="s">
        <v>3342</v>
      </c>
      <c r="N3233" t="s">
        <v>3446</v>
      </c>
      <c r="O3233" t="s">
        <v>3447</v>
      </c>
      <c r="P3233">
        <v>40928686</v>
      </c>
    </row>
    <row r="3234" spans="1:16">
      <c r="A3234" t="s">
        <v>155</v>
      </c>
      <c r="B3234">
        <v>0</v>
      </c>
      <c r="G3234" t="s">
        <v>3338</v>
      </c>
      <c r="I3234" t="s">
        <v>3338</v>
      </c>
      <c r="N3234" t="s">
        <v>3448</v>
      </c>
      <c r="O3234" t="s">
        <v>3449</v>
      </c>
      <c r="P3234">
        <v>40928686</v>
      </c>
    </row>
    <row r="3235" spans="1:16">
      <c r="A3235" t="s">
        <v>155</v>
      </c>
      <c r="B3235">
        <v>1</v>
      </c>
      <c r="E3235" t="s">
        <v>3448</v>
      </c>
      <c r="F3235" t="s">
        <v>3449</v>
      </c>
      <c r="G3235" t="s">
        <v>3450</v>
      </c>
      <c r="I3235" t="s">
        <v>3338</v>
      </c>
      <c r="J3235" t="s">
        <v>2421</v>
      </c>
      <c r="K3235" t="s">
        <v>3354</v>
      </c>
      <c r="L3235" t="s">
        <v>3451</v>
      </c>
      <c r="N3235" t="s">
        <v>3452</v>
      </c>
      <c r="O3235" t="s">
        <v>3453</v>
      </c>
      <c r="P3235">
        <v>40928686</v>
      </c>
    </row>
    <row r="3236" spans="1:16">
      <c r="A3236" t="s">
        <v>155</v>
      </c>
      <c r="B3236">
        <v>0</v>
      </c>
      <c r="G3236" t="s">
        <v>3456</v>
      </c>
      <c r="I3236" t="s">
        <v>3456</v>
      </c>
      <c r="M3236" t="s">
        <v>3463</v>
      </c>
      <c r="N3236" t="s">
        <v>3464</v>
      </c>
      <c r="O3236" t="s">
        <v>3465</v>
      </c>
      <c r="P3236">
        <v>40928686</v>
      </c>
    </row>
    <row r="3237" spans="1:16">
      <c r="A3237" t="s">
        <v>162</v>
      </c>
      <c r="B3237">
        <v>0</v>
      </c>
      <c r="G3237" t="s">
        <v>3338</v>
      </c>
      <c r="I3237" t="s">
        <v>3338</v>
      </c>
      <c r="N3237" t="s">
        <v>3339</v>
      </c>
      <c r="O3237" t="s">
        <v>3340</v>
      </c>
      <c r="P3237">
        <v>40820916</v>
      </c>
    </row>
    <row r="3238" spans="1:16">
      <c r="A3238" t="s">
        <v>162</v>
      </c>
      <c r="B3238">
        <v>1</v>
      </c>
      <c r="E3238" t="s">
        <v>3339</v>
      </c>
      <c r="F3238" t="s">
        <v>3340</v>
      </c>
      <c r="G3238" t="s">
        <v>3341</v>
      </c>
      <c r="I3238" t="s">
        <v>3338</v>
      </c>
      <c r="J3238" t="s">
        <v>2232</v>
      </c>
      <c r="K3238" t="s">
        <v>2233</v>
      </c>
      <c r="L3238" t="s">
        <v>3342</v>
      </c>
      <c r="N3238" t="s">
        <v>3343</v>
      </c>
      <c r="O3238" t="s">
        <v>3344</v>
      </c>
      <c r="P3238">
        <v>40820916</v>
      </c>
    </row>
    <row r="3239" spans="1:16">
      <c r="A3239" t="s">
        <v>162</v>
      </c>
      <c r="B3239">
        <v>1</v>
      </c>
      <c r="E3239" t="s">
        <v>3339</v>
      </c>
      <c r="F3239" t="s">
        <v>3340</v>
      </c>
      <c r="G3239" t="s">
        <v>3341</v>
      </c>
      <c r="I3239" t="s">
        <v>3338</v>
      </c>
      <c r="J3239" t="s">
        <v>2232</v>
      </c>
      <c r="K3239" t="s">
        <v>2233</v>
      </c>
      <c r="L3239" t="s">
        <v>3342</v>
      </c>
      <c r="N3239" t="s">
        <v>3345</v>
      </c>
      <c r="O3239" t="s">
        <v>3346</v>
      </c>
      <c r="P3239">
        <v>40820916</v>
      </c>
    </row>
    <row r="3240" spans="1:16">
      <c r="A3240" t="s">
        <v>162</v>
      </c>
      <c r="B3240">
        <v>0</v>
      </c>
      <c r="G3240" t="s">
        <v>3338</v>
      </c>
      <c r="I3240" t="s">
        <v>3338</v>
      </c>
      <c r="N3240" t="s">
        <v>3347</v>
      </c>
      <c r="O3240" t="s">
        <v>3344</v>
      </c>
      <c r="P3240">
        <v>40820916</v>
      </c>
    </row>
    <row r="3241" spans="1:16">
      <c r="A3241" t="s">
        <v>162</v>
      </c>
      <c r="B3241">
        <v>1</v>
      </c>
      <c r="E3241" t="s">
        <v>3347</v>
      </c>
      <c r="F3241" t="s">
        <v>3344</v>
      </c>
      <c r="G3241" t="s">
        <v>3348</v>
      </c>
      <c r="I3241" t="s">
        <v>3338</v>
      </c>
      <c r="J3241" t="s">
        <v>2232</v>
      </c>
      <c r="K3241" t="s">
        <v>2233</v>
      </c>
      <c r="L3241" t="s">
        <v>3342</v>
      </c>
      <c r="N3241" t="s">
        <v>3349</v>
      </c>
      <c r="O3241" t="s">
        <v>3350</v>
      </c>
      <c r="P3241">
        <v>40820916</v>
      </c>
    </row>
    <row r="3242" spans="1:16">
      <c r="A3242" t="s">
        <v>162</v>
      </c>
      <c r="B3242">
        <v>1</v>
      </c>
      <c r="E3242" t="s">
        <v>3347</v>
      </c>
      <c r="F3242" t="s">
        <v>3344</v>
      </c>
      <c r="G3242" t="s">
        <v>3348</v>
      </c>
      <c r="I3242" t="s">
        <v>3338</v>
      </c>
      <c r="L3242" t="s">
        <v>193</v>
      </c>
      <c r="N3242" t="s">
        <v>3351</v>
      </c>
      <c r="O3242" t="s">
        <v>3352</v>
      </c>
      <c r="P3242">
        <v>40820916</v>
      </c>
    </row>
    <row r="3243" spans="1:16">
      <c r="A3243" t="s">
        <v>162</v>
      </c>
      <c r="B3243">
        <v>2</v>
      </c>
      <c r="E3243" t="s">
        <v>3351</v>
      </c>
      <c r="F3243" t="s">
        <v>3352</v>
      </c>
      <c r="G3243" t="s">
        <v>3353</v>
      </c>
      <c r="I3243" t="s">
        <v>3338</v>
      </c>
      <c r="J3243" t="s">
        <v>2421</v>
      </c>
      <c r="K3243" t="s">
        <v>3354</v>
      </c>
      <c r="L3243" t="s">
        <v>3355</v>
      </c>
      <c r="N3243" t="s">
        <v>3356</v>
      </c>
      <c r="O3243" t="s">
        <v>3357</v>
      </c>
      <c r="P3243">
        <v>40820916</v>
      </c>
    </row>
    <row r="3244" spans="1:16">
      <c r="A3244" t="s">
        <v>162</v>
      </c>
      <c r="B3244">
        <v>2</v>
      </c>
      <c r="E3244" t="s">
        <v>3351</v>
      </c>
      <c r="F3244" t="s">
        <v>3352</v>
      </c>
      <c r="G3244" t="s">
        <v>3353</v>
      </c>
      <c r="I3244" t="s">
        <v>3338</v>
      </c>
      <c r="J3244" t="s">
        <v>2421</v>
      </c>
      <c r="K3244" t="s">
        <v>3354</v>
      </c>
      <c r="L3244" t="s">
        <v>3355</v>
      </c>
      <c r="N3244" t="s">
        <v>3358</v>
      </c>
      <c r="O3244" t="s">
        <v>3359</v>
      </c>
      <c r="P3244">
        <v>40820916</v>
      </c>
    </row>
    <row r="3245" spans="1:16">
      <c r="A3245" t="s">
        <v>162</v>
      </c>
      <c r="B3245">
        <v>2</v>
      </c>
      <c r="E3245" t="s">
        <v>3351</v>
      </c>
      <c r="F3245" t="s">
        <v>3352</v>
      </c>
      <c r="G3245" t="s">
        <v>3353</v>
      </c>
      <c r="I3245" t="s">
        <v>3338</v>
      </c>
      <c r="J3245" t="s">
        <v>2421</v>
      </c>
      <c r="K3245" t="s">
        <v>3354</v>
      </c>
      <c r="L3245" t="s">
        <v>3355</v>
      </c>
      <c r="N3245" t="s">
        <v>3360</v>
      </c>
      <c r="O3245" t="s">
        <v>3361</v>
      </c>
      <c r="P3245">
        <v>40820916</v>
      </c>
    </row>
    <row r="3246" spans="1:16">
      <c r="A3246" t="s">
        <v>162</v>
      </c>
      <c r="B3246">
        <v>1</v>
      </c>
      <c r="E3246" t="s">
        <v>3347</v>
      </c>
      <c r="F3246" t="s">
        <v>3344</v>
      </c>
      <c r="G3246" t="s">
        <v>3348</v>
      </c>
      <c r="I3246" t="s">
        <v>3338</v>
      </c>
      <c r="J3246" t="s">
        <v>2236</v>
      </c>
      <c r="K3246" t="s">
        <v>3362</v>
      </c>
      <c r="L3246" t="s">
        <v>3363</v>
      </c>
      <c r="N3246" t="s">
        <v>3364</v>
      </c>
      <c r="O3246" t="s">
        <v>3365</v>
      </c>
      <c r="P3246">
        <v>40820916</v>
      </c>
    </row>
    <row r="3247" spans="1:16">
      <c r="A3247" t="s">
        <v>162</v>
      </c>
      <c r="B3247">
        <v>1</v>
      </c>
      <c r="E3247" t="s">
        <v>3347</v>
      </c>
      <c r="F3247" t="s">
        <v>3344</v>
      </c>
      <c r="G3247" t="s">
        <v>3348</v>
      </c>
      <c r="I3247" t="s">
        <v>3338</v>
      </c>
      <c r="L3247" t="s">
        <v>193</v>
      </c>
      <c r="N3247" t="s">
        <v>3366</v>
      </c>
      <c r="O3247" t="s">
        <v>3367</v>
      </c>
      <c r="P3247">
        <v>40820916</v>
      </c>
    </row>
    <row r="3248" spans="1:16">
      <c r="A3248" t="s">
        <v>162</v>
      </c>
      <c r="B3248">
        <v>2</v>
      </c>
      <c r="E3248" t="s">
        <v>3366</v>
      </c>
      <c r="F3248" t="s">
        <v>3367</v>
      </c>
      <c r="G3248" t="s">
        <v>3368</v>
      </c>
      <c r="I3248" t="s">
        <v>3338</v>
      </c>
      <c r="J3248" t="s">
        <v>2421</v>
      </c>
      <c r="K3248" t="s">
        <v>3354</v>
      </c>
      <c r="L3248" t="s">
        <v>3369</v>
      </c>
      <c r="N3248" t="s">
        <v>3370</v>
      </c>
      <c r="O3248" t="s">
        <v>3359</v>
      </c>
      <c r="P3248">
        <v>40820916</v>
      </c>
    </row>
    <row r="3249" spans="1:16">
      <c r="A3249" t="s">
        <v>162</v>
      </c>
      <c r="B3249">
        <v>2</v>
      </c>
      <c r="E3249" t="s">
        <v>3366</v>
      </c>
      <c r="F3249" t="s">
        <v>3367</v>
      </c>
      <c r="G3249" t="s">
        <v>3368</v>
      </c>
      <c r="I3249" t="s">
        <v>3338</v>
      </c>
      <c r="J3249" t="s">
        <v>2421</v>
      </c>
      <c r="K3249" t="s">
        <v>3354</v>
      </c>
      <c r="L3249" t="s">
        <v>3369</v>
      </c>
      <c r="N3249" t="s">
        <v>3371</v>
      </c>
      <c r="O3249" t="s">
        <v>3372</v>
      </c>
      <c r="P3249">
        <v>40820916</v>
      </c>
    </row>
    <row r="3250" spans="1:16">
      <c r="A3250" t="s">
        <v>162</v>
      </c>
      <c r="B3250">
        <v>2</v>
      </c>
      <c r="E3250" t="s">
        <v>3366</v>
      </c>
      <c r="F3250" t="s">
        <v>3367</v>
      </c>
      <c r="G3250" t="s">
        <v>3368</v>
      </c>
      <c r="I3250" t="s">
        <v>3338</v>
      </c>
      <c r="J3250" t="s">
        <v>2421</v>
      </c>
      <c r="K3250" t="s">
        <v>3354</v>
      </c>
      <c r="L3250" t="s">
        <v>3369</v>
      </c>
      <c r="N3250" t="s">
        <v>3373</v>
      </c>
      <c r="O3250" t="s">
        <v>3374</v>
      </c>
      <c r="P3250">
        <v>40820916</v>
      </c>
    </row>
    <row r="3251" spans="1:16">
      <c r="A3251" t="s">
        <v>162</v>
      </c>
      <c r="B3251">
        <v>2</v>
      </c>
      <c r="E3251" t="s">
        <v>3366</v>
      </c>
      <c r="F3251" t="s">
        <v>3367</v>
      </c>
      <c r="G3251" t="s">
        <v>3368</v>
      </c>
      <c r="I3251" t="s">
        <v>3338</v>
      </c>
      <c r="J3251" t="s">
        <v>2236</v>
      </c>
      <c r="K3251" t="s">
        <v>3362</v>
      </c>
      <c r="L3251" t="s">
        <v>3363</v>
      </c>
      <c r="N3251" t="s">
        <v>3375</v>
      </c>
      <c r="O3251" t="s">
        <v>3376</v>
      </c>
      <c r="P3251">
        <v>40820916</v>
      </c>
    </row>
    <row r="3252" spans="1:16">
      <c r="A3252" t="s">
        <v>162</v>
      </c>
      <c r="B3252">
        <v>0</v>
      </c>
      <c r="G3252" t="s">
        <v>3338</v>
      </c>
      <c r="I3252" t="s">
        <v>3338</v>
      </c>
      <c r="N3252" t="s">
        <v>3377</v>
      </c>
      <c r="O3252" t="s">
        <v>3346</v>
      </c>
      <c r="P3252">
        <v>40820916</v>
      </c>
    </row>
    <row r="3253" spans="1:16">
      <c r="A3253" t="s">
        <v>162</v>
      </c>
      <c r="B3253">
        <v>1</v>
      </c>
      <c r="E3253" t="s">
        <v>3377</v>
      </c>
      <c r="F3253" t="s">
        <v>3346</v>
      </c>
      <c r="G3253" t="s">
        <v>3378</v>
      </c>
      <c r="I3253" t="s">
        <v>3338</v>
      </c>
      <c r="L3253" t="s">
        <v>193</v>
      </c>
      <c r="N3253" t="s">
        <v>3379</v>
      </c>
      <c r="O3253" t="s">
        <v>3380</v>
      </c>
      <c r="P3253">
        <v>40820916</v>
      </c>
    </row>
    <row r="3254" spans="1:16">
      <c r="A3254" t="s">
        <v>162</v>
      </c>
      <c r="B3254">
        <v>2</v>
      </c>
      <c r="E3254" t="s">
        <v>3379</v>
      </c>
      <c r="F3254" t="s">
        <v>3380</v>
      </c>
      <c r="G3254" t="s">
        <v>3381</v>
      </c>
      <c r="I3254" t="s">
        <v>3338</v>
      </c>
      <c r="J3254" t="s">
        <v>2421</v>
      </c>
      <c r="K3254" t="s">
        <v>3354</v>
      </c>
      <c r="L3254" t="s">
        <v>3369</v>
      </c>
      <c r="N3254" t="s">
        <v>3382</v>
      </c>
      <c r="O3254" t="s">
        <v>3352</v>
      </c>
      <c r="P3254">
        <v>40820916</v>
      </c>
    </row>
    <row r="3255" spans="1:16">
      <c r="A3255" t="s">
        <v>162</v>
      </c>
      <c r="B3255">
        <v>2</v>
      </c>
      <c r="E3255" t="s">
        <v>3379</v>
      </c>
      <c r="F3255" t="s">
        <v>3380</v>
      </c>
      <c r="G3255" t="s">
        <v>3381</v>
      </c>
      <c r="I3255" t="s">
        <v>3338</v>
      </c>
      <c r="L3255" t="s">
        <v>3383</v>
      </c>
      <c r="N3255" t="s">
        <v>3384</v>
      </c>
      <c r="O3255" t="s">
        <v>3385</v>
      </c>
      <c r="P3255">
        <v>40820916</v>
      </c>
    </row>
    <row r="3256" spans="1:16">
      <c r="A3256" t="s">
        <v>162</v>
      </c>
      <c r="B3256">
        <v>2</v>
      </c>
      <c r="E3256" t="s">
        <v>3379</v>
      </c>
      <c r="F3256" t="s">
        <v>3380</v>
      </c>
      <c r="G3256" t="s">
        <v>3381</v>
      </c>
      <c r="I3256" t="s">
        <v>3338</v>
      </c>
      <c r="J3256" t="s">
        <v>2232</v>
      </c>
      <c r="K3256" t="s">
        <v>2233</v>
      </c>
      <c r="L3256" t="s">
        <v>3342</v>
      </c>
      <c r="N3256" t="s">
        <v>3386</v>
      </c>
      <c r="O3256" t="s">
        <v>3350</v>
      </c>
      <c r="P3256">
        <v>40820916</v>
      </c>
    </row>
    <row r="3257" spans="1:16">
      <c r="A3257" t="s">
        <v>162</v>
      </c>
      <c r="B3257">
        <v>0</v>
      </c>
      <c r="G3257" t="s">
        <v>3338</v>
      </c>
      <c r="I3257" t="s">
        <v>3338</v>
      </c>
      <c r="N3257" t="s">
        <v>3395</v>
      </c>
      <c r="O3257" t="s">
        <v>3396</v>
      </c>
      <c r="P3257">
        <v>40820916</v>
      </c>
    </row>
    <row r="3258" spans="1:16">
      <c r="A3258" t="s">
        <v>162</v>
      </c>
      <c r="B3258">
        <v>1</v>
      </c>
      <c r="E3258" t="s">
        <v>3395</v>
      </c>
      <c r="F3258" t="s">
        <v>3396</v>
      </c>
      <c r="G3258" t="s">
        <v>3397</v>
      </c>
      <c r="I3258" t="s">
        <v>3338</v>
      </c>
      <c r="L3258" t="s">
        <v>3342</v>
      </c>
      <c r="N3258" t="s">
        <v>3398</v>
      </c>
      <c r="O3258" t="s">
        <v>3399</v>
      </c>
      <c r="P3258">
        <v>40820916</v>
      </c>
    </row>
    <row r="3259" spans="1:16">
      <c r="A3259" t="s">
        <v>162</v>
      </c>
      <c r="B3259">
        <v>1</v>
      </c>
      <c r="E3259" t="s">
        <v>3395</v>
      </c>
      <c r="F3259" t="s">
        <v>3396</v>
      </c>
      <c r="G3259" t="s">
        <v>3397</v>
      </c>
      <c r="I3259" t="s">
        <v>3338</v>
      </c>
      <c r="J3259" t="s">
        <v>2232</v>
      </c>
      <c r="K3259" t="s">
        <v>2233</v>
      </c>
      <c r="L3259" t="s">
        <v>3342</v>
      </c>
      <c r="N3259" t="s">
        <v>3400</v>
      </c>
      <c r="O3259" t="s">
        <v>3401</v>
      </c>
      <c r="P3259">
        <v>40820916</v>
      </c>
    </row>
    <row r="3260" spans="1:16">
      <c r="A3260" t="s">
        <v>162</v>
      </c>
      <c r="B3260">
        <v>1</v>
      </c>
      <c r="E3260" t="s">
        <v>3395</v>
      </c>
      <c r="F3260" t="s">
        <v>3396</v>
      </c>
      <c r="G3260" t="s">
        <v>3397</v>
      </c>
      <c r="I3260" t="s">
        <v>3338</v>
      </c>
      <c r="L3260" t="s">
        <v>3342</v>
      </c>
      <c r="N3260" t="s">
        <v>3402</v>
      </c>
      <c r="O3260" t="s">
        <v>3403</v>
      </c>
      <c r="P3260">
        <v>40820916</v>
      </c>
    </row>
    <row r="3261" spans="1:16">
      <c r="A3261" t="s">
        <v>162</v>
      </c>
      <c r="B3261">
        <v>1</v>
      </c>
      <c r="E3261" t="s">
        <v>3395</v>
      </c>
      <c r="F3261" t="s">
        <v>3396</v>
      </c>
      <c r="G3261" t="s">
        <v>3397</v>
      </c>
      <c r="I3261" t="s">
        <v>3338</v>
      </c>
      <c r="J3261" t="s">
        <v>2232</v>
      </c>
      <c r="K3261" t="s">
        <v>2233</v>
      </c>
      <c r="L3261" t="s">
        <v>3342</v>
      </c>
      <c r="N3261" t="s">
        <v>3404</v>
      </c>
      <c r="O3261" t="s">
        <v>3405</v>
      </c>
      <c r="P3261">
        <v>40820916</v>
      </c>
    </row>
    <row r="3262" spans="1:16">
      <c r="A3262" t="s">
        <v>162</v>
      </c>
      <c r="B3262">
        <v>0</v>
      </c>
      <c r="G3262" t="s">
        <v>3338</v>
      </c>
      <c r="I3262" t="s">
        <v>3338</v>
      </c>
      <c r="N3262" t="s">
        <v>3406</v>
      </c>
      <c r="O3262" t="s">
        <v>3407</v>
      </c>
      <c r="P3262">
        <v>40820916</v>
      </c>
    </row>
    <row r="3263" spans="1:16">
      <c r="A3263" t="s">
        <v>162</v>
      </c>
      <c r="B3263">
        <v>1</v>
      </c>
      <c r="E3263" t="s">
        <v>3406</v>
      </c>
      <c r="F3263" t="s">
        <v>3407</v>
      </c>
      <c r="G3263" t="s">
        <v>3408</v>
      </c>
      <c r="I3263" t="s">
        <v>3338</v>
      </c>
      <c r="J3263" t="s">
        <v>2421</v>
      </c>
      <c r="K3263" t="s">
        <v>3354</v>
      </c>
      <c r="L3263" t="s">
        <v>3369</v>
      </c>
      <c r="N3263" t="s">
        <v>3409</v>
      </c>
      <c r="O3263" t="s">
        <v>3410</v>
      </c>
      <c r="P3263">
        <v>40820916</v>
      </c>
    </row>
    <row r="3264" spans="1:16">
      <c r="A3264" t="s">
        <v>162</v>
      </c>
      <c r="B3264">
        <v>1</v>
      </c>
      <c r="E3264" t="s">
        <v>3406</v>
      </c>
      <c r="F3264" t="s">
        <v>3407</v>
      </c>
      <c r="G3264" t="s">
        <v>3408</v>
      </c>
      <c r="I3264" t="s">
        <v>3338</v>
      </c>
      <c r="L3264" t="s">
        <v>193</v>
      </c>
      <c r="N3264" t="s">
        <v>3411</v>
      </c>
      <c r="O3264" t="s">
        <v>3412</v>
      </c>
      <c r="P3264">
        <v>40820916</v>
      </c>
    </row>
    <row r="3265" spans="1:16">
      <c r="A3265" t="s">
        <v>162</v>
      </c>
      <c r="B3265">
        <v>2</v>
      </c>
      <c r="E3265" t="s">
        <v>3411</v>
      </c>
      <c r="F3265" t="s">
        <v>3412</v>
      </c>
      <c r="G3265" t="s">
        <v>3413</v>
      </c>
      <c r="I3265" t="s">
        <v>3338</v>
      </c>
      <c r="L3265" t="s">
        <v>3342</v>
      </c>
      <c r="N3265" t="s">
        <v>3414</v>
      </c>
      <c r="O3265" t="s">
        <v>3415</v>
      </c>
      <c r="P3265">
        <v>40820916</v>
      </c>
    </row>
    <row r="3266" spans="1:16">
      <c r="A3266" t="s">
        <v>162</v>
      </c>
      <c r="B3266">
        <v>2</v>
      </c>
      <c r="E3266" t="s">
        <v>3411</v>
      </c>
      <c r="F3266" t="s">
        <v>3412</v>
      </c>
      <c r="G3266" t="s">
        <v>3413</v>
      </c>
      <c r="I3266" t="s">
        <v>3338</v>
      </c>
      <c r="J3266" t="s">
        <v>2232</v>
      </c>
      <c r="K3266" t="s">
        <v>2233</v>
      </c>
      <c r="L3266" t="s">
        <v>3342</v>
      </c>
      <c r="N3266" t="s">
        <v>3416</v>
      </c>
      <c r="O3266" t="s">
        <v>3417</v>
      </c>
      <c r="P3266">
        <v>40820916</v>
      </c>
    </row>
    <row r="3267" spans="1:16">
      <c r="A3267" t="s">
        <v>162</v>
      </c>
      <c r="B3267">
        <v>2</v>
      </c>
      <c r="E3267" t="s">
        <v>3411</v>
      </c>
      <c r="F3267" t="s">
        <v>3412</v>
      </c>
      <c r="G3267" t="s">
        <v>3413</v>
      </c>
      <c r="I3267" t="s">
        <v>3338</v>
      </c>
      <c r="J3267" t="s">
        <v>2232</v>
      </c>
      <c r="K3267" t="s">
        <v>2233</v>
      </c>
      <c r="L3267" t="s">
        <v>3342</v>
      </c>
      <c r="N3267" t="s">
        <v>3418</v>
      </c>
      <c r="O3267" t="s">
        <v>3419</v>
      </c>
      <c r="P3267">
        <v>40820916</v>
      </c>
    </row>
    <row r="3268" spans="1:16">
      <c r="A3268" t="s">
        <v>162</v>
      </c>
      <c r="B3268">
        <v>2</v>
      </c>
      <c r="E3268" t="s">
        <v>3411</v>
      </c>
      <c r="F3268" t="s">
        <v>3412</v>
      </c>
      <c r="G3268" t="s">
        <v>3413</v>
      </c>
      <c r="I3268" t="s">
        <v>3338</v>
      </c>
      <c r="L3268" t="s">
        <v>3342</v>
      </c>
      <c r="N3268" t="s">
        <v>3420</v>
      </c>
      <c r="O3268" t="s">
        <v>3421</v>
      </c>
      <c r="P3268">
        <v>40820916</v>
      </c>
    </row>
    <row r="3269" spans="1:16">
      <c r="A3269" t="s">
        <v>162</v>
      </c>
      <c r="B3269">
        <v>2</v>
      </c>
      <c r="E3269" t="s">
        <v>3411</v>
      </c>
      <c r="F3269" t="s">
        <v>3412</v>
      </c>
      <c r="G3269" t="s">
        <v>3413</v>
      </c>
      <c r="I3269" t="s">
        <v>3338</v>
      </c>
      <c r="J3269" t="s">
        <v>2232</v>
      </c>
      <c r="K3269" t="s">
        <v>2233</v>
      </c>
      <c r="L3269" t="s">
        <v>3342</v>
      </c>
      <c r="N3269" t="s">
        <v>3422</v>
      </c>
      <c r="O3269" t="s">
        <v>3423</v>
      </c>
      <c r="P3269">
        <v>40820916</v>
      </c>
    </row>
    <row r="3270" spans="1:16">
      <c r="A3270" t="s">
        <v>162</v>
      </c>
      <c r="B3270">
        <v>0</v>
      </c>
      <c r="G3270" t="s">
        <v>3338</v>
      </c>
      <c r="I3270" t="s">
        <v>3338</v>
      </c>
      <c r="N3270" t="s">
        <v>3424</v>
      </c>
      <c r="O3270" t="s">
        <v>3425</v>
      </c>
      <c r="P3270">
        <v>40820916</v>
      </c>
    </row>
    <row r="3271" spans="1:16">
      <c r="A3271" t="s">
        <v>162</v>
      </c>
      <c r="B3271">
        <v>1</v>
      </c>
      <c r="E3271" t="s">
        <v>3424</v>
      </c>
      <c r="F3271" t="s">
        <v>3425</v>
      </c>
      <c r="G3271" t="s">
        <v>3426</v>
      </c>
      <c r="I3271" t="s">
        <v>3338</v>
      </c>
      <c r="J3271" t="s">
        <v>2421</v>
      </c>
      <c r="K3271" t="s">
        <v>3354</v>
      </c>
      <c r="L3271" t="s">
        <v>3369</v>
      </c>
      <c r="N3271" t="s">
        <v>3427</v>
      </c>
      <c r="O3271" t="s">
        <v>3428</v>
      </c>
      <c r="P3271">
        <v>40820916</v>
      </c>
    </row>
    <row r="3272" spans="1:16">
      <c r="A3272" t="s">
        <v>162</v>
      </c>
      <c r="B3272">
        <v>1</v>
      </c>
      <c r="E3272" t="s">
        <v>3424</v>
      </c>
      <c r="F3272" t="s">
        <v>3425</v>
      </c>
      <c r="G3272" t="s">
        <v>3426</v>
      </c>
      <c r="I3272" t="s">
        <v>3338</v>
      </c>
      <c r="J3272" t="s">
        <v>2421</v>
      </c>
      <c r="K3272" t="s">
        <v>3354</v>
      </c>
      <c r="L3272" t="s">
        <v>3369</v>
      </c>
      <c r="N3272" t="s">
        <v>3429</v>
      </c>
      <c r="O3272" t="s">
        <v>3430</v>
      </c>
      <c r="P3272">
        <v>40820916</v>
      </c>
    </row>
    <row r="3273" spans="1:16">
      <c r="A3273" t="s">
        <v>162</v>
      </c>
      <c r="B3273">
        <v>1</v>
      </c>
      <c r="E3273" t="s">
        <v>3424</v>
      </c>
      <c r="F3273" t="s">
        <v>3425</v>
      </c>
      <c r="G3273" t="s">
        <v>3426</v>
      </c>
      <c r="I3273" t="s">
        <v>3338</v>
      </c>
      <c r="J3273" t="s">
        <v>2232</v>
      </c>
      <c r="K3273" t="s">
        <v>2233</v>
      </c>
      <c r="L3273" t="s">
        <v>3342</v>
      </c>
      <c r="N3273" t="s">
        <v>3431</v>
      </c>
      <c r="O3273" t="s">
        <v>3432</v>
      </c>
      <c r="P3273">
        <v>40820916</v>
      </c>
    </row>
    <row r="3274" spans="1:16">
      <c r="A3274" t="s">
        <v>162</v>
      </c>
      <c r="B3274">
        <v>0</v>
      </c>
      <c r="G3274" t="s">
        <v>3338</v>
      </c>
      <c r="I3274" t="s">
        <v>3338</v>
      </c>
      <c r="N3274" t="s">
        <v>3433</v>
      </c>
      <c r="O3274" t="s">
        <v>3434</v>
      </c>
      <c r="P3274">
        <v>40820916</v>
      </c>
    </row>
    <row r="3275" spans="1:16">
      <c r="A3275" t="s">
        <v>162</v>
      </c>
      <c r="B3275">
        <v>1</v>
      </c>
      <c r="E3275" t="s">
        <v>3433</v>
      </c>
      <c r="F3275" t="s">
        <v>3434</v>
      </c>
      <c r="G3275" t="s">
        <v>3435</v>
      </c>
      <c r="I3275" t="s">
        <v>3338</v>
      </c>
      <c r="J3275" t="s">
        <v>2232</v>
      </c>
      <c r="K3275" t="s">
        <v>2233</v>
      </c>
      <c r="L3275" t="s">
        <v>3342</v>
      </c>
      <c r="N3275" t="s">
        <v>3436</v>
      </c>
      <c r="O3275" t="s">
        <v>3437</v>
      </c>
      <c r="P3275">
        <v>40820916</v>
      </c>
    </row>
    <row r="3276" spans="1:16">
      <c r="A3276" t="s">
        <v>162</v>
      </c>
      <c r="B3276">
        <v>1</v>
      </c>
      <c r="E3276" t="s">
        <v>3433</v>
      </c>
      <c r="F3276" t="s">
        <v>3434</v>
      </c>
      <c r="G3276" t="s">
        <v>3435</v>
      </c>
      <c r="I3276" t="s">
        <v>3338</v>
      </c>
      <c r="J3276" t="s">
        <v>2232</v>
      </c>
      <c r="K3276" t="s">
        <v>2233</v>
      </c>
      <c r="L3276" t="s">
        <v>3342</v>
      </c>
      <c r="N3276" t="s">
        <v>3438</v>
      </c>
      <c r="O3276" t="s">
        <v>3439</v>
      </c>
      <c r="P3276">
        <v>40820916</v>
      </c>
    </row>
    <row r="3277" spans="1:16">
      <c r="A3277" t="s">
        <v>162</v>
      </c>
      <c r="B3277">
        <v>1</v>
      </c>
      <c r="E3277" t="s">
        <v>3433</v>
      </c>
      <c r="F3277" t="s">
        <v>3434</v>
      </c>
      <c r="G3277" t="s">
        <v>3435</v>
      </c>
      <c r="I3277" t="s">
        <v>3338</v>
      </c>
      <c r="J3277" t="s">
        <v>2232</v>
      </c>
      <c r="K3277" t="s">
        <v>2233</v>
      </c>
      <c r="L3277" t="s">
        <v>3342</v>
      </c>
      <c r="N3277" t="s">
        <v>3440</v>
      </c>
      <c r="O3277" t="s">
        <v>3441</v>
      </c>
      <c r="P3277">
        <v>40820916</v>
      </c>
    </row>
    <row r="3278" spans="1:16">
      <c r="A3278" t="s">
        <v>162</v>
      </c>
      <c r="B3278">
        <v>1</v>
      </c>
      <c r="E3278" t="s">
        <v>3433</v>
      </c>
      <c r="F3278" t="s">
        <v>3434</v>
      </c>
      <c r="G3278" t="s">
        <v>3435</v>
      </c>
      <c r="I3278" t="s">
        <v>3338</v>
      </c>
      <c r="J3278" t="s">
        <v>2232</v>
      </c>
      <c r="K3278" t="s">
        <v>2233</v>
      </c>
      <c r="L3278" t="s">
        <v>3342</v>
      </c>
      <c r="N3278" t="s">
        <v>3442</v>
      </c>
      <c r="O3278" t="s">
        <v>3443</v>
      </c>
      <c r="P3278">
        <v>40820916</v>
      </c>
    </row>
    <row r="3279" spans="1:16">
      <c r="A3279" t="s">
        <v>162</v>
      </c>
      <c r="B3279">
        <v>1</v>
      </c>
      <c r="E3279" t="s">
        <v>3433</v>
      </c>
      <c r="F3279" t="s">
        <v>3434</v>
      </c>
      <c r="G3279" t="s">
        <v>3435</v>
      </c>
      <c r="I3279" t="s">
        <v>3338</v>
      </c>
      <c r="J3279" t="s">
        <v>2232</v>
      </c>
      <c r="K3279" t="s">
        <v>2233</v>
      </c>
      <c r="L3279" t="s">
        <v>3342</v>
      </c>
      <c r="N3279" t="s">
        <v>3444</v>
      </c>
      <c r="O3279" t="s">
        <v>3445</v>
      </c>
      <c r="P3279">
        <v>40820916</v>
      </c>
    </row>
    <row r="3280" spans="1:16">
      <c r="A3280" t="s">
        <v>162</v>
      </c>
      <c r="B3280">
        <v>1</v>
      </c>
      <c r="E3280" t="s">
        <v>3433</v>
      </c>
      <c r="F3280" t="s">
        <v>3434</v>
      </c>
      <c r="G3280" t="s">
        <v>3435</v>
      </c>
      <c r="I3280" t="s">
        <v>3338</v>
      </c>
      <c r="J3280" t="s">
        <v>2232</v>
      </c>
      <c r="K3280" t="s">
        <v>2233</v>
      </c>
      <c r="L3280" t="s">
        <v>3342</v>
      </c>
      <c r="N3280" t="s">
        <v>3446</v>
      </c>
      <c r="O3280" t="s">
        <v>3447</v>
      </c>
      <c r="P3280">
        <v>40820916</v>
      </c>
    </row>
    <row r="3281" spans="1:16">
      <c r="A3281" t="s">
        <v>162</v>
      </c>
      <c r="B3281">
        <v>0</v>
      </c>
      <c r="G3281" t="s">
        <v>3338</v>
      </c>
      <c r="I3281" t="s">
        <v>3338</v>
      </c>
      <c r="N3281" t="s">
        <v>3448</v>
      </c>
      <c r="O3281" t="s">
        <v>3449</v>
      </c>
      <c r="P3281">
        <v>40820916</v>
      </c>
    </row>
    <row r="3282" spans="1:16">
      <c r="A3282" t="s">
        <v>162</v>
      </c>
      <c r="B3282">
        <v>1</v>
      </c>
      <c r="E3282" t="s">
        <v>3448</v>
      </c>
      <c r="F3282" t="s">
        <v>3449</v>
      </c>
      <c r="G3282" t="s">
        <v>3450</v>
      </c>
      <c r="I3282" t="s">
        <v>3338</v>
      </c>
      <c r="J3282" t="s">
        <v>2421</v>
      </c>
      <c r="K3282" t="s">
        <v>3354</v>
      </c>
      <c r="L3282" t="s">
        <v>3451</v>
      </c>
      <c r="N3282" t="s">
        <v>3452</v>
      </c>
      <c r="O3282" t="s">
        <v>3453</v>
      </c>
      <c r="P3282">
        <v>40820916</v>
      </c>
    </row>
    <row r="3283" spans="1:16">
      <c r="A3283" t="s">
        <v>164</v>
      </c>
      <c r="B3283">
        <v>0</v>
      </c>
      <c r="G3283" t="s">
        <v>3338</v>
      </c>
      <c r="I3283" t="s">
        <v>3338</v>
      </c>
      <c r="N3283" t="s">
        <v>3339</v>
      </c>
      <c r="O3283" t="s">
        <v>3340</v>
      </c>
      <c r="P3283">
        <v>40817026</v>
      </c>
    </row>
    <row r="3284" spans="1:16">
      <c r="A3284" t="s">
        <v>164</v>
      </c>
      <c r="B3284">
        <v>1</v>
      </c>
      <c r="E3284" t="s">
        <v>3339</v>
      </c>
      <c r="F3284" t="s">
        <v>3340</v>
      </c>
      <c r="G3284" t="s">
        <v>3341</v>
      </c>
      <c r="I3284" t="s">
        <v>3338</v>
      </c>
      <c r="J3284" t="s">
        <v>2232</v>
      </c>
      <c r="K3284" t="s">
        <v>2233</v>
      </c>
      <c r="L3284" t="s">
        <v>3342</v>
      </c>
      <c r="N3284" t="s">
        <v>3343</v>
      </c>
      <c r="O3284" t="s">
        <v>3344</v>
      </c>
      <c r="P3284">
        <v>40817026</v>
      </c>
    </row>
    <row r="3285" spans="1:16">
      <c r="A3285" t="s">
        <v>164</v>
      </c>
      <c r="B3285">
        <v>1</v>
      </c>
      <c r="E3285" t="s">
        <v>3339</v>
      </c>
      <c r="F3285" t="s">
        <v>3340</v>
      </c>
      <c r="G3285" t="s">
        <v>3341</v>
      </c>
      <c r="I3285" t="s">
        <v>3338</v>
      </c>
      <c r="J3285" t="s">
        <v>2232</v>
      </c>
      <c r="K3285" t="s">
        <v>2233</v>
      </c>
      <c r="L3285" t="s">
        <v>3342</v>
      </c>
      <c r="N3285" t="s">
        <v>3345</v>
      </c>
      <c r="O3285" t="s">
        <v>3346</v>
      </c>
      <c r="P3285">
        <v>40817026</v>
      </c>
    </row>
    <row r="3286" spans="1:16">
      <c r="A3286" t="s">
        <v>164</v>
      </c>
      <c r="B3286">
        <v>0</v>
      </c>
      <c r="G3286" t="s">
        <v>3338</v>
      </c>
      <c r="I3286" t="s">
        <v>3338</v>
      </c>
      <c r="N3286" t="s">
        <v>3347</v>
      </c>
      <c r="O3286" t="s">
        <v>3344</v>
      </c>
      <c r="P3286">
        <v>40817026</v>
      </c>
    </row>
    <row r="3287" spans="1:16">
      <c r="A3287" t="s">
        <v>164</v>
      </c>
      <c r="B3287">
        <v>1</v>
      </c>
      <c r="E3287" t="s">
        <v>3347</v>
      </c>
      <c r="F3287" t="s">
        <v>3344</v>
      </c>
      <c r="G3287" t="s">
        <v>3348</v>
      </c>
      <c r="I3287" t="s">
        <v>3338</v>
      </c>
      <c r="J3287" t="s">
        <v>2232</v>
      </c>
      <c r="K3287" t="s">
        <v>2233</v>
      </c>
      <c r="L3287" t="s">
        <v>3342</v>
      </c>
      <c r="N3287" t="s">
        <v>3349</v>
      </c>
      <c r="O3287" t="s">
        <v>3350</v>
      </c>
      <c r="P3287">
        <v>40817026</v>
      </c>
    </row>
    <row r="3288" spans="1:16">
      <c r="A3288" t="s">
        <v>164</v>
      </c>
      <c r="B3288">
        <v>1</v>
      </c>
      <c r="E3288" t="s">
        <v>3347</v>
      </c>
      <c r="F3288" t="s">
        <v>3344</v>
      </c>
      <c r="G3288" t="s">
        <v>3348</v>
      </c>
      <c r="I3288" t="s">
        <v>3338</v>
      </c>
      <c r="L3288" t="s">
        <v>193</v>
      </c>
      <c r="N3288" t="s">
        <v>3351</v>
      </c>
      <c r="O3288" t="s">
        <v>3352</v>
      </c>
      <c r="P3288">
        <v>40817026</v>
      </c>
    </row>
    <row r="3289" spans="1:16">
      <c r="A3289" t="s">
        <v>164</v>
      </c>
      <c r="B3289">
        <v>2</v>
      </c>
      <c r="E3289" t="s">
        <v>3351</v>
      </c>
      <c r="F3289" t="s">
        <v>3352</v>
      </c>
      <c r="G3289" t="s">
        <v>3353</v>
      </c>
      <c r="I3289" t="s">
        <v>3338</v>
      </c>
      <c r="J3289" t="s">
        <v>2421</v>
      </c>
      <c r="K3289" t="s">
        <v>3354</v>
      </c>
      <c r="L3289" t="s">
        <v>3355</v>
      </c>
      <c r="N3289" t="s">
        <v>3356</v>
      </c>
      <c r="O3289" t="s">
        <v>3357</v>
      </c>
      <c r="P3289">
        <v>40817026</v>
      </c>
    </row>
    <row r="3290" spans="1:16">
      <c r="A3290" t="s">
        <v>164</v>
      </c>
      <c r="B3290">
        <v>2</v>
      </c>
      <c r="E3290" t="s">
        <v>3351</v>
      </c>
      <c r="F3290" t="s">
        <v>3352</v>
      </c>
      <c r="G3290" t="s">
        <v>3353</v>
      </c>
      <c r="I3290" t="s">
        <v>3338</v>
      </c>
      <c r="J3290" t="s">
        <v>2421</v>
      </c>
      <c r="K3290" t="s">
        <v>3354</v>
      </c>
      <c r="L3290" t="s">
        <v>3355</v>
      </c>
      <c r="N3290" t="s">
        <v>3358</v>
      </c>
      <c r="O3290" t="s">
        <v>3359</v>
      </c>
      <c r="P3290">
        <v>40817026</v>
      </c>
    </row>
    <row r="3291" spans="1:16">
      <c r="A3291" t="s">
        <v>164</v>
      </c>
      <c r="B3291">
        <v>2</v>
      </c>
      <c r="E3291" t="s">
        <v>3351</v>
      </c>
      <c r="F3291" t="s">
        <v>3352</v>
      </c>
      <c r="G3291" t="s">
        <v>3353</v>
      </c>
      <c r="I3291" t="s">
        <v>3338</v>
      </c>
      <c r="J3291" t="s">
        <v>2421</v>
      </c>
      <c r="K3291" t="s">
        <v>3354</v>
      </c>
      <c r="L3291" t="s">
        <v>3355</v>
      </c>
      <c r="N3291" t="s">
        <v>3360</v>
      </c>
      <c r="O3291" t="s">
        <v>3361</v>
      </c>
      <c r="P3291">
        <v>40817026</v>
      </c>
    </row>
    <row r="3292" spans="1:16">
      <c r="A3292" t="s">
        <v>164</v>
      </c>
      <c r="B3292">
        <v>1</v>
      </c>
      <c r="E3292" t="s">
        <v>3347</v>
      </c>
      <c r="F3292" t="s">
        <v>3344</v>
      </c>
      <c r="G3292" t="s">
        <v>3348</v>
      </c>
      <c r="I3292" t="s">
        <v>3338</v>
      </c>
      <c r="J3292" t="s">
        <v>2236</v>
      </c>
      <c r="K3292" t="s">
        <v>3362</v>
      </c>
      <c r="L3292" t="s">
        <v>3363</v>
      </c>
      <c r="N3292" t="s">
        <v>3364</v>
      </c>
      <c r="O3292" t="s">
        <v>3365</v>
      </c>
      <c r="P3292">
        <v>40817026</v>
      </c>
    </row>
    <row r="3293" spans="1:16">
      <c r="A3293" t="s">
        <v>164</v>
      </c>
      <c r="B3293">
        <v>1</v>
      </c>
      <c r="E3293" t="s">
        <v>3347</v>
      </c>
      <c r="F3293" t="s">
        <v>3344</v>
      </c>
      <c r="G3293" t="s">
        <v>3348</v>
      </c>
      <c r="I3293" t="s">
        <v>3338</v>
      </c>
      <c r="L3293" t="s">
        <v>193</v>
      </c>
      <c r="N3293" t="s">
        <v>3366</v>
      </c>
      <c r="O3293" t="s">
        <v>3367</v>
      </c>
      <c r="P3293">
        <v>40817026</v>
      </c>
    </row>
    <row r="3294" spans="1:16">
      <c r="A3294" t="s">
        <v>164</v>
      </c>
      <c r="B3294">
        <v>2</v>
      </c>
      <c r="E3294" t="s">
        <v>3366</v>
      </c>
      <c r="F3294" t="s">
        <v>3367</v>
      </c>
      <c r="G3294" t="s">
        <v>3368</v>
      </c>
      <c r="I3294" t="s">
        <v>3338</v>
      </c>
      <c r="J3294" t="s">
        <v>2421</v>
      </c>
      <c r="K3294" t="s">
        <v>3354</v>
      </c>
      <c r="L3294" t="s">
        <v>3369</v>
      </c>
      <c r="N3294" t="s">
        <v>3370</v>
      </c>
      <c r="O3294" t="s">
        <v>3359</v>
      </c>
      <c r="P3294">
        <v>40817026</v>
      </c>
    </row>
    <row r="3295" spans="1:16">
      <c r="A3295" t="s">
        <v>164</v>
      </c>
      <c r="B3295">
        <v>2</v>
      </c>
      <c r="E3295" t="s">
        <v>3366</v>
      </c>
      <c r="F3295" t="s">
        <v>3367</v>
      </c>
      <c r="G3295" t="s">
        <v>3368</v>
      </c>
      <c r="I3295" t="s">
        <v>3338</v>
      </c>
      <c r="J3295" t="s">
        <v>2421</v>
      </c>
      <c r="K3295" t="s">
        <v>3354</v>
      </c>
      <c r="L3295" t="s">
        <v>3369</v>
      </c>
      <c r="N3295" t="s">
        <v>3371</v>
      </c>
      <c r="O3295" t="s">
        <v>3372</v>
      </c>
      <c r="P3295">
        <v>40817026</v>
      </c>
    </row>
    <row r="3296" spans="1:16">
      <c r="A3296" t="s">
        <v>164</v>
      </c>
      <c r="B3296">
        <v>2</v>
      </c>
      <c r="E3296" t="s">
        <v>3366</v>
      </c>
      <c r="F3296" t="s">
        <v>3367</v>
      </c>
      <c r="G3296" t="s">
        <v>3368</v>
      </c>
      <c r="I3296" t="s">
        <v>3338</v>
      </c>
      <c r="J3296" t="s">
        <v>2421</v>
      </c>
      <c r="K3296" t="s">
        <v>3354</v>
      </c>
      <c r="L3296" t="s">
        <v>3369</v>
      </c>
      <c r="N3296" t="s">
        <v>3373</v>
      </c>
      <c r="O3296" t="s">
        <v>3374</v>
      </c>
      <c r="P3296">
        <v>40817026</v>
      </c>
    </row>
    <row r="3297" spans="1:16">
      <c r="A3297" t="s">
        <v>164</v>
      </c>
      <c r="B3297">
        <v>2</v>
      </c>
      <c r="E3297" t="s">
        <v>3366</v>
      </c>
      <c r="F3297" t="s">
        <v>3367</v>
      </c>
      <c r="G3297" t="s">
        <v>3368</v>
      </c>
      <c r="I3297" t="s">
        <v>3338</v>
      </c>
      <c r="J3297" t="s">
        <v>2236</v>
      </c>
      <c r="K3297" t="s">
        <v>3362</v>
      </c>
      <c r="L3297" t="s">
        <v>3363</v>
      </c>
      <c r="N3297" t="s">
        <v>3375</v>
      </c>
      <c r="O3297" t="s">
        <v>3376</v>
      </c>
      <c r="P3297">
        <v>40817026</v>
      </c>
    </row>
    <row r="3298" spans="1:16">
      <c r="A3298" t="s">
        <v>164</v>
      </c>
      <c r="B3298">
        <v>0</v>
      </c>
      <c r="G3298" t="s">
        <v>3338</v>
      </c>
      <c r="I3298" t="s">
        <v>3338</v>
      </c>
      <c r="N3298" t="s">
        <v>3377</v>
      </c>
      <c r="O3298" t="s">
        <v>3346</v>
      </c>
      <c r="P3298">
        <v>40817026</v>
      </c>
    </row>
    <row r="3299" spans="1:16">
      <c r="A3299" t="s">
        <v>164</v>
      </c>
      <c r="B3299">
        <v>1</v>
      </c>
      <c r="E3299" t="s">
        <v>3377</v>
      </c>
      <c r="F3299" t="s">
        <v>3346</v>
      </c>
      <c r="G3299" t="s">
        <v>3378</v>
      </c>
      <c r="I3299" t="s">
        <v>3338</v>
      </c>
      <c r="L3299" t="s">
        <v>193</v>
      </c>
      <c r="N3299" t="s">
        <v>3379</v>
      </c>
      <c r="O3299" t="s">
        <v>3380</v>
      </c>
      <c r="P3299">
        <v>40817026</v>
      </c>
    </row>
    <row r="3300" spans="1:16">
      <c r="A3300" t="s">
        <v>164</v>
      </c>
      <c r="B3300">
        <v>2</v>
      </c>
      <c r="E3300" t="s">
        <v>3379</v>
      </c>
      <c r="F3300" t="s">
        <v>3380</v>
      </c>
      <c r="G3300" t="s">
        <v>3381</v>
      </c>
      <c r="I3300" t="s">
        <v>3338</v>
      </c>
      <c r="J3300" t="s">
        <v>2421</v>
      </c>
      <c r="K3300" t="s">
        <v>3354</v>
      </c>
      <c r="L3300" t="s">
        <v>3369</v>
      </c>
      <c r="N3300" t="s">
        <v>3382</v>
      </c>
      <c r="O3300" t="s">
        <v>3352</v>
      </c>
      <c r="P3300">
        <v>40817026</v>
      </c>
    </row>
    <row r="3301" spans="1:16">
      <c r="A3301" t="s">
        <v>164</v>
      </c>
      <c r="B3301">
        <v>2</v>
      </c>
      <c r="E3301" t="s">
        <v>3379</v>
      </c>
      <c r="F3301" t="s">
        <v>3380</v>
      </c>
      <c r="G3301" t="s">
        <v>3381</v>
      </c>
      <c r="I3301" t="s">
        <v>3338</v>
      </c>
      <c r="L3301" t="s">
        <v>3383</v>
      </c>
      <c r="N3301" t="s">
        <v>3384</v>
      </c>
      <c r="O3301" t="s">
        <v>3385</v>
      </c>
      <c r="P3301">
        <v>40817026</v>
      </c>
    </row>
    <row r="3302" spans="1:16">
      <c r="A3302" t="s">
        <v>164</v>
      </c>
      <c r="B3302">
        <v>2</v>
      </c>
      <c r="E3302" t="s">
        <v>3379</v>
      </c>
      <c r="F3302" t="s">
        <v>3380</v>
      </c>
      <c r="G3302" t="s">
        <v>3381</v>
      </c>
      <c r="I3302" t="s">
        <v>3338</v>
      </c>
      <c r="J3302" t="s">
        <v>2232</v>
      </c>
      <c r="K3302" t="s">
        <v>2233</v>
      </c>
      <c r="L3302" t="s">
        <v>3342</v>
      </c>
      <c r="N3302" t="s">
        <v>3386</v>
      </c>
      <c r="O3302" t="s">
        <v>3350</v>
      </c>
      <c r="P3302">
        <v>40817026</v>
      </c>
    </row>
    <row r="3303" spans="1:16">
      <c r="A3303" t="s">
        <v>164</v>
      </c>
      <c r="B3303">
        <v>1</v>
      </c>
      <c r="E3303" t="s">
        <v>3377</v>
      </c>
      <c r="F3303" t="s">
        <v>3346</v>
      </c>
      <c r="G3303" t="s">
        <v>3378</v>
      </c>
      <c r="I3303" t="s">
        <v>3338</v>
      </c>
      <c r="L3303" t="s">
        <v>193</v>
      </c>
      <c r="N3303" t="s">
        <v>3387</v>
      </c>
      <c r="O3303" t="s">
        <v>3388</v>
      </c>
      <c r="P3303">
        <v>40817026</v>
      </c>
    </row>
    <row r="3304" spans="1:16">
      <c r="A3304" t="s">
        <v>164</v>
      </c>
      <c r="B3304">
        <v>2</v>
      </c>
      <c r="E3304" t="s">
        <v>3387</v>
      </c>
      <c r="F3304" t="s">
        <v>3388</v>
      </c>
      <c r="G3304" t="s">
        <v>3389</v>
      </c>
      <c r="I3304" t="s">
        <v>3338</v>
      </c>
      <c r="L3304" t="s">
        <v>3369</v>
      </c>
      <c r="N3304" t="s">
        <v>3390</v>
      </c>
      <c r="O3304" t="s">
        <v>3352</v>
      </c>
      <c r="P3304">
        <v>40817026</v>
      </c>
    </row>
    <row r="3305" spans="1:16">
      <c r="A3305" t="s">
        <v>164</v>
      </c>
      <c r="B3305">
        <v>2</v>
      </c>
      <c r="E3305" t="s">
        <v>3387</v>
      </c>
      <c r="F3305" t="s">
        <v>3388</v>
      </c>
      <c r="G3305" t="s">
        <v>3389</v>
      </c>
      <c r="I3305" t="s">
        <v>3338</v>
      </c>
      <c r="L3305" t="s">
        <v>3342</v>
      </c>
      <c r="N3305" t="s">
        <v>3391</v>
      </c>
      <c r="O3305" t="s">
        <v>3392</v>
      </c>
      <c r="P3305">
        <v>40817026</v>
      </c>
    </row>
    <row r="3306" spans="1:16">
      <c r="A3306" t="s">
        <v>164</v>
      </c>
      <c r="B3306">
        <v>2</v>
      </c>
      <c r="E3306" t="s">
        <v>3387</v>
      </c>
      <c r="F3306" t="s">
        <v>3388</v>
      </c>
      <c r="G3306" t="s">
        <v>3389</v>
      </c>
      <c r="I3306" t="s">
        <v>3338</v>
      </c>
      <c r="L3306" t="s">
        <v>3383</v>
      </c>
      <c r="N3306" t="s">
        <v>3393</v>
      </c>
      <c r="O3306" t="s">
        <v>3385</v>
      </c>
      <c r="P3306">
        <v>40817026</v>
      </c>
    </row>
    <row r="3307" spans="1:16">
      <c r="A3307" t="s">
        <v>164</v>
      </c>
      <c r="B3307">
        <v>2</v>
      </c>
      <c r="E3307" t="s">
        <v>3387</v>
      </c>
      <c r="F3307" t="s">
        <v>3388</v>
      </c>
      <c r="G3307" t="s">
        <v>3389</v>
      </c>
      <c r="I3307" t="s">
        <v>3338</v>
      </c>
      <c r="L3307" t="s">
        <v>3342</v>
      </c>
      <c r="N3307" t="s">
        <v>3394</v>
      </c>
      <c r="O3307" t="s">
        <v>3350</v>
      </c>
      <c r="P3307">
        <v>40817026</v>
      </c>
    </row>
    <row r="3308" spans="1:16">
      <c r="A3308" t="s">
        <v>164</v>
      </c>
      <c r="B3308">
        <v>0</v>
      </c>
      <c r="G3308" t="s">
        <v>3338</v>
      </c>
      <c r="I3308" t="s">
        <v>3338</v>
      </c>
      <c r="N3308" t="s">
        <v>3395</v>
      </c>
      <c r="O3308" t="s">
        <v>3396</v>
      </c>
      <c r="P3308">
        <v>40817026</v>
      </c>
    </row>
    <row r="3309" spans="1:16">
      <c r="A3309" t="s">
        <v>164</v>
      </c>
      <c r="B3309">
        <v>1</v>
      </c>
      <c r="E3309" t="s">
        <v>3395</v>
      </c>
      <c r="F3309" t="s">
        <v>3396</v>
      </c>
      <c r="G3309" t="s">
        <v>3397</v>
      </c>
      <c r="I3309" t="s">
        <v>3338</v>
      </c>
      <c r="L3309" t="s">
        <v>3342</v>
      </c>
      <c r="N3309" t="s">
        <v>3398</v>
      </c>
      <c r="O3309" t="s">
        <v>3399</v>
      </c>
      <c r="P3309">
        <v>40817026</v>
      </c>
    </row>
    <row r="3310" spans="1:16">
      <c r="A3310" t="s">
        <v>164</v>
      </c>
      <c r="B3310">
        <v>1</v>
      </c>
      <c r="E3310" t="s">
        <v>3395</v>
      </c>
      <c r="F3310" t="s">
        <v>3396</v>
      </c>
      <c r="G3310" t="s">
        <v>3397</v>
      </c>
      <c r="I3310" t="s">
        <v>3338</v>
      </c>
      <c r="J3310" t="s">
        <v>2232</v>
      </c>
      <c r="K3310" t="s">
        <v>2233</v>
      </c>
      <c r="L3310" t="s">
        <v>3342</v>
      </c>
      <c r="N3310" t="s">
        <v>3400</v>
      </c>
      <c r="O3310" t="s">
        <v>3401</v>
      </c>
      <c r="P3310">
        <v>40817026</v>
      </c>
    </row>
    <row r="3311" spans="1:16">
      <c r="A3311" t="s">
        <v>164</v>
      </c>
      <c r="B3311">
        <v>1</v>
      </c>
      <c r="E3311" t="s">
        <v>3395</v>
      </c>
      <c r="F3311" t="s">
        <v>3396</v>
      </c>
      <c r="G3311" t="s">
        <v>3397</v>
      </c>
      <c r="I3311" t="s">
        <v>3338</v>
      </c>
      <c r="L3311" t="s">
        <v>3342</v>
      </c>
      <c r="N3311" t="s">
        <v>3402</v>
      </c>
      <c r="O3311" t="s">
        <v>3403</v>
      </c>
      <c r="P3311">
        <v>40817026</v>
      </c>
    </row>
    <row r="3312" spans="1:16">
      <c r="A3312" t="s">
        <v>164</v>
      </c>
      <c r="B3312">
        <v>1</v>
      </c>
      <c r="E3312" t="s">
        <v>3395</v>
      </c>
      <c r="F3312" t="s">
        <v>3396</v>
      </c>
      <c r="G3312" t="s">
        <v>3397</v>
      </c>
      <c r="I3312" t="s">
        <v>3338</v>
      </c>
      <c r="L3312" t="s">
        <v>3342</v>
      </c>
      <c r="N3312" t="s">
        <v>3404</v>
      </c>
      <c r="O3312" t="s">
        <v>3405</v>
      </c>
      <c r="P3312">
        <v>40817026</v>
      </c>
    </row>
    <row r="3313" spans="1:16">
      <c r="A3313" t="s">
        <v>164</v>
      </c>
      <c r="B3313">
        <v>0</v>
      </c>
      <c r="G3313" t="s">
        <v>3338</v>
      </c>
      <c r="I3313" t="s">
        <v>3338</v>
      </c>
      <c r="N3313" t="s">
        <v>3406</v>
      </c>
      <c r="O3313" t="s">
        <v>3407</v>
      </c>
      <c r="P3313">
        <v>40817026</v>
      </c>
    </row>
    <row r="3314" spans="1:16">
      <c r="A3314" t="s">
        <v>164</v>
      </c>
      <c r="B3314">
        <v>1</v>
      </c>
      <c r="E3314" t="s">
        <v>3406</v>
      </c>
      <c r="F3314" t="s">
        <v>3407</v>
      </c>
      <c r="G3314" t="s">
        <v>3408</v>
      </c>
      <c r="I3314" t="s">
        <v>3338</v>
      </c>
      <c r="J3314" t="s">
        <v>2421</v>
      </c>
      <c r="K3314" t="s">
        <v>3354</v>
      </c>
      <c r="L3314" t="s">
        <v>3369</v>
      </c>
      <c r="N3314" t="s">
        <v>3409</v>
      </c>
      <c r="O3314" t="s">
        <v>3410</v>
      </c>
      <c r="P3314">
        <v>40817026</v>
      </c>
    </row>
    <row r="3315" spans="1:16">
      <c r="A3315" t="s">
        <v>164</v>
      </c>
      <c r="B3315">
        <v>1</v>
      </c>
      <c r="E3315" t="s">
        <v>3406</v>
      </c>
      <c r="F3315" t="s">
        <v>3407</v>
      </c>
      <c r="G3315" t="s">
        <v>3408</v>
      </c>
      <c r="I3315" t="s">
        <v>3338</v>
      </c>
      <c r="L3315" t="s">
        <v>193</v>
      </c>
      <c r="N3315" t="s">
        <v>3411</v>
      </c>
      <c r="O3315" t="s">
        <v>3412</v>
      </c>
      <c r="P3315">
        <v>40817026</v>
      </c>
    </row>
    <row r="3316" spans="1:16">
      <c r="A3316" t="s">
        <v>164</v>
      </c>
      <c r="B3316">
        <v>2</v>
      </c>
      <c r="E3316" t="s">
        <v>3411</v>
      </c>
      <c r="F3316" t="s">
        <v>3412</v>
      </c>
      <c r="G3316" t="s">
        <v>3413</v>
      </c>
      <c r="I3316" t="s">
        <v>3338</v>
      </c>
      <c r="L3316" t="s">
        <v>3342</v>
      </c>
      <c r="N3316" t="s">
        <v>3414</v>
      </c>
      <c r="O3316" t="s">
        <v>3415</v>
      </c>
      <c r="P3316">
        <v>40817026</v>
      </c>
    </row>
    <row r="3317" spans="1:16">
      <c r="A3317" t="s">
        <v>164</v>
      </c>
      <c r="B3317">
        <v>2</v>
      </c>
      <c r="E3317" t="s">
        <v>3411</v>
      </c>
      <c r="F3317" t="s">
        <v>3412</v>
      </c>
      <c r="G3317" t="s">
        <v>3413</v>
      </c>
      <c r="I3317" t="s">
        <v>3338</v>
      </c>
      <c r="J3317" t="s">
        <v>2232</v>
      </c>
      <c r="K3317" t="s">
        <v>2233</v>
      </c>
      <c r="L3317" t="s">
        <v>3342</v>
      </c>
      <c r="N3317" t="s">
        <v>3416</v>
      </c>
      <c r="O3317" t="s">
        <v>3417</v>
      </c>
      <c r="P3317">
        <v>40817026</v>
      </c>
    </row>
    <row r="3318" spans="1:16">
      <c r="A3318" t="s">
        <v>164</v>
      </c>
      <c r="B3318">
        <v>2</v>
      </c>
      <c r="E3318" t="s">
        <v>3411</v>
      </c>
      <c r="F3318" t="s">
        <v>3412</v>
      </c>
      <c r="G3318" t="s">
        <v>3413</v>
      </c>
      <c r="I3318" t="s">
        <v>3338</v>
      </c>
      <c r="J3318" t="s">
        <v>2232</v>
      </c>
      <c r="K3318" t="s">
        <v>2233</v>
      </c>
      <c r="L3318" t="s">
        <v>3342</v>
      </c>
      <c r="N3318" t="s">
        <v>3418</v>
      </c>
      <c r="O3318" t="s">
        <v>3419</v>
      </c>
      <c r="P3318">
        <v>40817026</v>
      </c>
    </row>
    <row r="3319" spans="1:16">
      <c r="A3319" t="s">
        <v>164</v>
      </c>
      <c r="B3319">
        <v>2</v>
      </c>
      <c r="E3319" t="s">
        <v>3411</v>
      </c>
      <c r="F3319" t="s">
        <v>3412</v>
      </c>
      <c r="G3319" t="s">
        <v>3413</v>
      </c>
      <c r="I3319" t="s">
        <v>3338</v>
      </c>
      <c r="L3319" t="s">
        <v>3342</v>
      </c>
      <c r="N3319" t="s">
        <v>3420</v>
      </c>
      <c r="O3319" t="s">
        <v>3421</v>
      </c>
      <c r="P3319">
        <v>40817026</v>
      </c>
    </row>
    <row r="3320" spans="1:16">
      <c r="A3320" t="s">
        <v>164</v>
      </c>
      <c r="B3320">
        <v>2</v>
      </c>
      <c r="E3320" t="s">
        <v>3411</v>
      </c>
      <c r="F3320" t="s">
        <v>3412</v>
      </c>
      <c r="G3320" t="s">
        <v>3413</v>
      </c>
      <c r="I3320" t="s">
        <v>3338</v>
      </c>
      <c r="J3320" t="s">
        <v>2232</v>
      </c>
      <c r="K3320" t="s">
        <v>2233</v>
      </c>
      <c r="L3320" t="s">
        <v>3342</v>
      </c>
      <c r="N3320" t="s">
        <v>3422</v>
      </c>
      <c r="O3320" t="s">
        <v>3423</v>
      </c>
      <c r="P3320">
        <v>40817026</v>
      </c>
    </row>
    <row r="3321" spans="1:16">
      <c r="A3321" t="s">
        <v>164</v>
      </c>
      <c r="B3321">
        <v>0</v>
      </c>
      <c r="G3321" t="s">
        <v>3338</v>
      </c>
      <c r="I3321" t="s">
        <v>3338</v>
      </c>
      <c r="N3321" t="s">
        <v>3424</v>
      </c>
      <c r="O3321" t="s">
        <v>3425</v>
      </c>
      <c r="P3321">
        <v>40817026</v>
      </c>
    </row>
    <row r="3322" spans="1:16">
      <c r="A3322" t="s">
        <v>164</v>
      </c>
      <c r="B3322">
        <v>1</v>
      </c>
      <c r="E3322" t="s">
        <v>3424</v>
      </c>
      <c r="F3322" t="s">
        <v>3425</v>
      </c>
      <c r="G3322" t="s">
        <v>3426</v>
      </c>
      <c r="I3322" t="s">
        <v>3338</v>
      </c>
      <c r="J3322" t="s">
        <v>2421</v>
      </c>
      <c r="K3322" t="s">
        <v>3354</v>
      </c>
      <c r="L3322" t="s">
        <v>3369</v>
      </c>
      <c r="N3322" t="s">
        <v>3427</v>
      </c>
      <c r="O3322" t="s">
        <v>3428</v>
      </c>
      <c r="P3322">
        <v>40817026</v>
      </c>
    </row>
    <row r="3323" spans="1:16">
      <c r="A3323" t="s">
        <v>164</v>
      </c>
      <c r="B3323">
        <v>1</v>
      </c>
      <c r="E3323" t="s">
        <v>3424</v>
      </c>
      <c r="F3323" t="s">
        <v>3425</v>
      </c>
      <c r="G3323" t="s">
        <v>3426</v>
      </c>
      <c r="I3323" t="s">
        <v>3338</v>
      </c>
      <c r="J3323" t="s">
        <v>2421</v>
      </c>
      <c r="K3323" t="s">
        <v>3354</v>
      </c>
      <c r="L3323" t="s">
        <v>3369</v>
      </c>
      <c r="N3323" t="s">
        <v>3429</v>
      </c>
      <c r="O3323" t="s">
        <v>3430</v>
      </c>
      <c r="P3323">
        <v>40817026</v>
      </c>
    </row>
    <row r="3324" spans="1:16">
      <c r="A3324" t="s">
        <v>164</v>
      </c>
      <c r="B3324">
        <v>1</v>
      </c>
      <c r="E3324" t="s">
        <v>3424</v>
      </c>
      <c r="F3324" t="s">
        <v>3425</v>
      </c>
      <c r="G3324" t="s">
        <v>3426</v>
      </c>
      <c r="I3324" t="s">
        <v>3338</v>
      </c>
      <c r="J3324" t="s">
        <v>2232</v>
      </c>
      <c r="K3324" t="s">
        <v>2233</v>
      </c>
      <c r="L3324" t="s">
        <v>3342</v>
      </c>
      <c r="N3324" t="s">
        <v>3431</v>
      </c>
      <c r="O3324" t="s">
        <v>3432</v>
      </c>
      <c r="P3324">
        <v>40817026</v>
      </c>
    </row>
    <row r="3325" spans="1:16">
      <c r="A3325" t="s">
        <v>164</v>
      </c>
      <c r="B3325">
        <v>0</v>
      </c>
      <c r="G3325" t="s">
        <v>3338</v>
      </c>
      <c r="I3325" t="s">
        <v>3338</v>
      </c>
      <c r="N3325" t="s">
        <v>3433</v>
      </c>
      <c r="O3325" t="s">
        <v>3434</v>
      </c>
      <c r="P3325">
        <v>40817026</v>
      </c>
    </row>
    <row r="3326" spans="1:16">
      <c r="A3326" t="s">
        <v>164</v>
      </c>
      <c r="B3326">
        <v>1</v>
      </c>
      <c r="E3326" t="s">
        <v>3433</v>
      </c>
      <c r="F3326" t="s">
        <v>3434</v>
      </c>
      <c r="G3326" t="s">
        <v>3435</v>
      </c>
      <c r="I3326" t="s">
        <v>3338</v>
      </c>
      <c r="J3326" t="s">
        <v>2232</v>
      </c>
      <c r="K3326" t="s">
        <v>2233</v>
      </c>
      <c r="L3326" t="s">
        <v>3342</v>
      </c>
      <c r="N3326" t="s">
        <v>3436</v>
      </c>
      <c r="O3326" t="s">
        <v>3437</v>
      </c>
      <c r="P3326">
        <v>40817026</v>
      </c>
    </row>
    <row r="3327" spans="1:16">
      <c r="A3327" t="s">
        <v>164</v>
      </c>
      <c r="B3327">
        <v>1</v>
      </c>
      <c r="E3327" t="s">
        <v>3433</v>
      </c>
      <c r="F3327" t="s">
        <v>3434</v>
      </c>
      <c r="G3327" t="s">
        <v>3435</v>
      </c>
      <c r="I3327" t="s">
        <v>3338</v>
      </c>
      <c r="J3327" t="s">
        <v>2232</v>
      </c>
      <c r="K3327" t="s">
        <v>2233</v>
      </c>
      <c r="L3327" t="s">
        <v>3342</v>
      </c>
      <c r="N3327" t="s">
        <v>3438</v>
      </c>
      <c r="O3327" t="s">
        <v>3439</v>
      </c>
      <c r="P3327">
        <v>40817026</v>
      </c>
    </row>
    <row r="3328" spans="1:16">
      <c r="A3328" t="s">
        <v>164</v>
      </c>
      <c r="B3328">
        <v>1</v>
      </c>
      <c r="E3328" t="s">
        <v>3433</v>
      </c>
      <c r="F3328" t="s">
        <v>3434</v>
      </c>
      <c r="G3328" t="s">
        <v>3435</v>
      </c>
      <c r="I3328" t="s">
        <v>3338</v>
      </c>
      <c r="J3328" t="s">
        <v>2232</v>
      </c>
      <c r="K3328" t="s">
        <v>2233</v>
      </c>
      <c r="L3328" t="s">
        <v>3342</v>
      </c>
      <c r="N3328" t="s">
        <v>3440</v>
      </c>
      <c r="O3328" t="s">
        <v>3441</v>
      </c>
      <c r="P3328">
        <v>40817026</v>
      </c>
    </row>
    <row r="3329" spans="1:16">
      <c r="A3329" t="s">
        <v>164</v>
      </c>
      <c r="B3329">
        <v>1</v>
      </c>
      <c r="E3329" t="s">
        <v>3433</v>
      </c>
      <c r="F3329" t="s">
        <v>3434</v>
      </c>
      <c r="G3329" t="s">
        <v>3435</v>
      </c>
      <c r="I3329" t="s">
        <v>3338</v>
      </c>
      <c r="J3329" t="s">
        <v>2232</v>
      </c>
      <c r="K3329" t="s">
        <v>2233</v>
      </c>
      <c r="L3329" t="s">
        <v>3342</v>
      </c>
      <c r="N3329" t="s">
        <v>3442</v>
      </c>
      <c r="O3329" t="s">
        <v>3443</v>
      </c>
      <c r="P3329">
        <v>40817026</v>
      </c>
    </row>
    <row r="3330" spans="1:16">
      <c r="A3330" t="s">
        <v>164</v>
      </c>
      <c r="B3330">
        <v>1</v>
      </c>
      <c r="E3330" t="s">
        <v>3433</v>
      </c>
      <c r="F3330" t="s">
        <v>3434</v>
      </c>
      <c r="G3330" t="s">
        <v>3435</v>
      </c>
      <c r="I3330" t="s">
        <v>3338</v>
      </c>
      <c r="J3330" t="s">
        <v>2232</v>
      </c>
      <c r="K3330" t="s">
        <v>2233</v>
      </c>
      <c r="L3330" t="s">
        <v>3342</v>
      </c>
      <c r="N3330" t="s">
        <v>3444</v>
      </c>
      <c r="O3330" t="s">
        <v>3445</v>
      </c>
      <c r="P3330">
        <v>40817026</v>
      </c>
    </row>
    <row r="3331" spans="1:16">
      <c r="A3331" t="s">
        <v>164</v>
      </c>
      <c r="B3331">
        <v>1</v>
      </c>
      <c r="E3331" t="s">
        <v>3433</v>
      </c>
      <c r="F3331" t="s">
        <v>3434</v>
      </c>
      <c r="G3331" t="s">
        <v>3435</v>
      </c>
      <c r="I3331" t="s">
        <v>3338</v>
      </c>
      <c r="J3331" t="s">
        <v>2232</v>
      </c>
      <c r="K3331" t="s">
        <v>2233</v>
      </c>
      <c r="L3331" t="s">
        <v>3342</v>
      </c>
      <c r="N3331" t="s">
        <v>3446</v>
      </c>
      <c r="O3331" t="s">
        <v>3447</v>
      </c>
      <c r="P3331">
        <v>40817026</v>
      </c>
    </row>
    <row r="3332" spans="1:16">
      <c r="A3332" t="s">
        <v>164</v>
      </c>
      <c r="B3332">
        <v>0</v>
      </c>
      <c r="G3332" t="s">
        <v>3338</v>
      </c>
      <c r="I3332" t="s">
        <v>3338</v>
      </c>
      <c r="N3332" t="s">
        <v>3470</v>
      </c>
      <c r="O3332" t="s">
        <v>3471</v>
      </c>
      <c r="P3332">
        <v>40817026</v>
      </c>
    </row>
    <row r="3333" spans="1:16">
      <c r="A3333" t="s">
        <v>164</v>
      </c>
      <c r="B3333">
        <v>1</v>
      </c>
      <c r="E3333" t="s">
        <v>3470</v>
      </c>
      <c r="F3333" t="s">
        <v>3471</v>
      </c>
      <c r="G3333" t="s">
        <v>3472</v>
      </c>
      <c r="I3333" t="s">
        <v>3338</v>
      </c>
      <c r="J3333" t="s">
        <v>2232</v>
      </c>
      <c r="K3333" t="s">
        <v>2233</v>
      </c>
      <c r="L3333" t="s">
        <v>3342</v>
      </c>
      <c r="N3333" t="s">
        <v>3473</v>
      </c>
      <c r="O3333" t="s">
        <v>3474</v>
      </c>
      <c r="P3333">
        <v>40817026</v>
      </c>
    </row>
    <row r="3334" spans="1:16">
      <c r="A3334" t="s">
        <v>164</v>
      </c>
      <c r="B3334">
        <v>1</v>
      </c>
      <c r="E3334" t="s">
        <v>3470</v>
      </c>
      <c r="F3334" t="s">
        <v>3471</v>
      </c>
      <c r="G3334" t="s">
        <v>3472</v>
      </c>
      <c r="I3334" t="s">
        <v>3338</v>
      </c>
      <c r="J3334" t="s">
        <v>2232</v>
      </c>
      <c r="K3334" t="s">
        <v>2233</v>
      </c>
      <c r="L3334" t="s">
        <v>3342</v>
      </c>
      <c r="N3334" t="s">
        <v>3475</v>
      </c>
      <c r="O3334" t="s">
        <v>3476</v>
      </c>
      <c r="P3334">
        <v>40817026</v>
      </c>
    </row>
    <row r="3335" spans="1:16">
      <c r="A3335" t="s">
        <v>164</v>
      </c>
      <c r="B3335">
        <v>1</v>
      </c>
      <c r="E3335" t="s">
        <v>3470</v>
      </c>
      <c r="F3335" t="s">
        <v>3471</v>
      </c>
      <c r="G3335" t="s">
        <v>3472</v>
      </c>
      <c r="I3335" t="s">
        <v>3338</v>
      </c>
      <c r="J3335" t="s">
        <v>2232</v>
      </c>
      <c r="K3335" t="s">
        <v>2233</v>
      </c>
      <c r="L3335" t="s">
        <v>3342</v>
      </c>
      <c r="N3335" t="s">
        <v>3477</v>
      </c>
      <c r="O3335" t="s">
        <v>3478</v>
      </c>
      <c r="P3335">
        <v>40817026</v>
      </c>
    </row>
    <row r="3336" spans="1:16">
      <c r="A3336" t="s">
        <v>164</v>
      </c>
      <c r="B3336">
        <v>0</v>
      </c>
      <c r="G3336" t="s">
        <v>3338</v>
      </c>
      <c r="I3336" t="s">
        <v>3338</v>
      </c>
      <c r="N3336" t="s">
        <v>3448</v>
      </c>
      <c r="O3336" t="s">
        <v>3449</v>
      </c>
      <c r="P3336">
        <v>40817026</v>
      </c>
    </row>
    <row r="3337" spans="1:16">
      <c r="A3337" t="s">
        <v>164</v>
      </c>
      <c r="B3337">
        <v>1</v>
      </c>
      <c r="E3337" t="s">
        <v>3448</v>
      </c>
      <c r="F3337" t="s">
        <v>3449</v>
      </c>
      <c r="G3337" t="s">
        <v>3450</v>
      </c>
      <c r="I3337" t="s">
        <v>3338</v>
      </c>
      <c r="J3337" t="s">
        <v>2421</v>
      </c>
      <c r="K3337" t="s">
        <v>3354</v>
      </c>
      <c r="L3337" t="s">
        <v>3451</v>
      </c>
      <c r="N3337" t="s">
        <v>3452</v>
      </c>
      <c r="O3337" t="s">
        <v>3453</v>
      </c>
      <c r="P3337">
        <v>40817026</v>
      </c>
    </row>
    <row r="3338" spans="1:16">
      <c r="A3338" t="s">
        <v>166</v>
      </c>
      <c r="B3338">
        <v>0</v>
      </c>
      <c r="G3338" t="s">
        <v>3338</v>
      </c>
      <c r="I3338" t="s">
        <v>3338</v>
      </c>
      <c r="N3338" t="s">
        <v>3339</v>
      </c>
      <c r="O3338" t="s">
        <v>3340</v>
      </c>
      <c r="P3338">
        <v>41091081</v>
      </c>
    </row>
    <row r="3339" spans="1:16">
      <c r="A3339" t="s">
        <v>166</v>
      </c>
      <c r="B3339">
        <v>1</v>
      </c>
      <c r="E3339" t="s">
        <v>3339</v>
      </c>
      <c r="F3339" t="s">
        <v>3340</v>
      </c>
      <c r="G3339" t="s">
        <v>3341</v>
      </c>
      <c r="I3339" t="s">
        <v>3338</v>
      </c>
      <c r="J3339" t="s">
        <v>2232</v>
      </c>
      <c r="K3339" t="s">
        <v>2233</v>
      </c>
      <c r="L3339" t="s">
        <v>3342</v>
      </c>
      <c r="N3339" t="s">
        <v>3343</v>
      </c>
      <c r="O3339" t="s">
        <v>3344</v>
      </c>
      <c r="P3339">
        <v>41091081</v>
      </c>
    </row>
    <row r="3340" spans="1:16">
      <c r="A3340" t="s">
        <v>166</v>
      </c>
      <c r="B3340">
        <v>1</v>
      </c>
      <c r="E3340" t="s">
        <v>3339</v>
      </c>
      <c r="F3340" t="s">
        <v>3340</v>
      </c>
      <c r="G3340" t="s">
        <v>3341</v>
      </c>
      <c r="I3340" t="s">
        <v>3338</v>
      </c>
      <c r="J3340" t="s">
        <v>2232</v>
      </c>
      <c r="K3340" t="s">
        <v>2233</v>
      </c>
      <c r="L3340" t="s">
        <v>3342</v>
      </c>
      <c r="N3340" t="s">
        <v>3345</v>
      </c>
      <c r="O3340" t="s">
        <v>3346</v>
      </c>
      <c r="P3340">
        <v>41091081</v>
      </c>
    </row>
    <row r="3341" spans="1:16">
      <c r="A3341" t="s">
        <v>166</v>
      </c>
      <c r="B3341">
        <v>0</v>
      </c>
      <c r="G3341" t="s">
        <v>3338</v>
      </c>
      <c r="I3341" t="s">
        <v>3338</v>
      </c>
      <c r="N3341" t="s">
        <v>3347</v>
      </c>
      <c r="O3341" t="s">
        <v>3344</v>
      </c>
      <c r="P3341">
        <v>41091081</v>
      </c>
    </row>
    <row r="3342" spans="1:16">
      <c r="A3342" t="s">
        <v>166</v>
      </c>
      <c r="B3342">
        <v>1</v>
      </c>
      <c r="E3342" t="s">
        <v>3347</v>
      </c>
      <c r="F3342" t="s">
        <v>3344</v>
      </c>
      <c r="G3342" t="s">
        <v>3348</v>
      </c>
      <c r="I3342" t="s">
        <v>3338</v>
      </c>
      <c r="J3342" t="s">
        <v>2232</v>
      </c>
      <c r="K3342" t="s">
        <v>2233</v>
      </c>
      <c r="L3342" t="s">
        <v>3342</v>
      </c>
      <c r="N3342" t="s">
        <v>3349</v>
      </c>
      <c r="O3342" t="s">
        <v>3350</v>
      </c>
      <c r="P3342">
        <v>41091081</v>
      </c>
    </row>
    <row r="3343" spans="1:16">
      <c r="A3343" t="s">
        <v>166</v>
      </c>
      <c r="B3343">
        <v>1</v>
      </c>
      <c r="E3343" t="s">
        <v>3347</v>
      </c>
      <c r="F3343" t="s">
        <v>3344</v>
      </c>
      <c r="G3343" t="s">
        <v>3348</v>
      </c>
      <c r="I3343" t="s">
        <v>3338</v>
      </c>
      <c r="L3343" t="s">
        <v>193</v>
      </c>
      <c r="N3343" t="s">
        <v>3351</v>
      </c>
      <c r="O3343" t="s">
        <v>3352</v>
      </c>
      <c r="P3343">
        <v>41091081</v>
      </c>
    </row>
    <row r="3344" spans="1:16">
      <c r="A3344" t="s">
        <v>166</v>
      </c>
      <c r="B3344">
        <v>2</v>
      </c>
      <c r="E3344" t="s">
        <v>3351</v>
      </c>
      <c r="F3344" t="s">
        <v>3352</v>
      </c>
      <c r="G3344" t="s">
        <v>3353</v>
      </c>
      <c r="I3344" t="s">
        <v>3338</v>
      </c>
      <c r="J3344" t="s">
        <v>2421</v>
      </c>
      <c r="K3344" t="s">
        <v>3354</v>
      </c>
      <c r="L3344" t="s">
        <v>3355</v>
      </c>
      <c r="N3344" t="s">
        <v>3356</v>
      </c>
      <c r="O3344" t="s">
        <v>3357</v>
      </c>
      <c r="P3344">
        <v>41091081</v>
      </c>
    </row>
    <row r="3345" spans="1:16">
      <c r="A3345" t="s">
        <v>166</v>
      </c>
      <c r="B3345">
        <v>2</v>
      </c>
      <c r="E3345" t="s">
        <v>3351</v>
      </c>
      <c r="F3345" t="s">
        <v>3352</v>
      </c>
      <c r="G3345" t="s">
        <v>3353</v>
      </c>
      <c r="I3345" t="s">
        <v>3338</v>
      </c>
      <c r="J3345" t="s">
        <v>2421</v>
      </c>
      <c r="K3345" t="s">
        <v>3354</v>
      </c>
      <c r="L3345" t="s">
        <v>3355</v>
      </c>
      <c r="N3345" t="s">
        <v>3358</v>
      </c>
      <c r="O3345" t="s">
        <v>3359</v>
      </c>
      <c r="P3345">
        <v>41091081</v>
      </c>
    </row>
    <row r="3346" spans="1:16">
      <c r="A3346" t="s">
        <v>166</v>
      </c>
      <c r="B3346">
        <v>2</v>
      </c>
      <c r="E3346" t="s">
        <v>3351</v>
      </c>
      <c r="F3346" t="s">
        <v>3352</v>
      </c>
      <c r="G3346" t="s">
        <v>3353</v>
      </c>
      <c r="I3346" t="s">
        <v>3338</v>
      </c>
      <c r="J3346" t="s">
        <v>2421</v>
      </c>
      <c r="K3346" t="s">
        <v>3354</v>
      </c>
      <c r="L3346" t="s">
        <v>3355</v>
      </c>
      <c r="N3346" t="s">
        <v>3360</v>
      </c>
      <c r="O3346" t="s">
        <v>3361</v>
      </c>
      <c r="P3346">
        <v>41091081</v>
      </c>
    </row>
    <row r="3347" spans="1:16">
      <c r="A3347" t="s">
        <v>166</v>
      </c>
      <c r="B3347">
        <v>1</v>
      </c>
      <c r="E3347" t="s">
        <v>3347</v>
      </c>
      <c r="F3347" t="s">
        <v>3344</v>
      </c>
      <c r="G3347" t="s">
        <v>3348</v>
      </c>
      <c r="I3347" t="s">
        <v>3338</v>
      </c>
      <c r="J3347" t="s">
        <v>2236</v>
      </c>
      <c r="K3347" t="s">
        <v>3362</v>
      </c>
      <c r="L3347" t="s">
        <v>3363</v>
      </c>
      <c r="N3347" t="s">
        <v>3364</v>
      </c>
      <c r="O3347" t="s">
        <v>3365</v>
      </c>
      <c r="P3347">
        <v>41091081</v>
      </c>
    </row>
    <row r="3348" spans="1:16">
      <c r="A3348" t="s">
        <v>166</v>
      </c>
      <c r="B3348">
        <v>1</v>
      </c>
      <c r="E3348" t="s">
        <v>3347</v>
      </c>
      <c r="F3348" t="s">
        <v>3344</v>
      </c>
      <c r="G3348" t="s">
        <v>3348</v>
      </c>
      <c r="I3348" t="s">
        <v>3338</v>
      </c>
      <c r="L3348" t="s">
        <v>193</v>
      </c>
      <c r="N3348" t="s">
        <v>3366</v>
      </c>
      <c r="O3348" t="s">
        <v>3367</v>
      </c>
      <c r="P3348">
        <v>41091081</v>
      </c>
    </row>
    <row r="3349" spans="1:16">
      <c r="A3349" t="s">
        <v>166</v>
      </c>
      <c r="B3349">
        <v>2</v>
      </c>
      <c r="E3349" t="s">
        <v>3366</v>
      </c>
      <c r="F3349" t="s">
        <v>3367</v>
      </c>
      <c r="G3349" t="s">
        <v>3368</v>
      </c>
      <c r="I3349" t="s">
        <v>3338</v>
      </c>
      <c r="J3349" t="s">
        <v>2421</v>
      </c>
      <c r="K3349" t="s">
        <v>3354</v>
      </c>
      <c r="L3349" t="s">
        <v>3369</v>
      </c>
      <c r="N3349" t="s">
        <v>3370</v>
      </c>
      <c r="O3349" t="s">
        <v>3359</v>
      </c>
      <c r="P3349">
        <v>41091081</v>
      </c>
    </row>
    <row r="3350" spans="1:16">
      <c r="A3350" t="s">
        <v>166</v>
      </c>
      <c r="B3350">
        <v>2</v>
      </c>
      <c r="E3350" t="s">
        <v>3366</v>
      </c>
      <c r="F3350" t="s">
        <v>3367</v>
      </c>
      <c r="G3350" t="s">
        <v>3368</v>
      </c>
      <c r="I3350" t="s">
        <v>3338</v>
      </c>
      <c r="J3350" t="s">
        <v>2421</v>
      </c>
      <c r="K3350" t="s">
        <v>3354</v>
      </c>
      <c r="L3350" t="s">
        <v>3369</v>
      </c>
      <c r="N3350" t="s">
        <v>3371</v>
      </c>
      <c r="O3350" t="s">
        <v>3372</v>
      </c>
      <c r="P3350">
        <v>41091081</v>
      </c>
    </row>
    <row r="3351" spans="1:16">
      <c r="A3351" t="s">
        <v>166</v>
      </c>
      <c r="B3351">
        <v>2</v>
      </c>
      <c r="E3351" t="s">
        <v>3366</v>
      </c>
      <c r="F3351" t="s">
        <v>3367</v>
      </c>
      <c r="G3351" t="s">
        <v>3368</v>
      </c>
      <c r="I3351" t="s">
        <v>3338</v>
      </c>
      <c r="J3351" t="s">
        <v>2421</v>
      </c>
      <c r="K3351" t="s">
        <v>3354</v>
      </c>
      <c r="L3351" t="s">
        <v>3369</v>
      </c>
      <c r="N3351" t="s">
        <v>3373</v>
      </c>
      <c r="O3351" t="s">
        <v>3374</v>
      </c>
      <c r="P3351">
        <v>41091081</v>
      </c>
    </row>
    <row r="3352" spans="1:16">
      <c r="A3352" t="s">
        <v>166</v>
      </c>
      <c r="B3352">
        <v>2</v>
      </c>
      <c r="E3352" t="s">
        <v>3366</v>
      </c>
      <c r="F3352" t="s">
        <v>3367</v>
      </c>
      <c r="G3352" t="s">
        <v>3368</v>
      </c>
      <c r="I3352" t="s">
        <v>3338</v>
      </c>
      <c r="J3352" t="s">
        <v>2236</v>
      </c>
      <c r="K3352" t="s">
        <v>3362</v>
      </c>
      <c r="L3352" t="s">
        <v>3363</v>
      </c>
      <c r="N3352" t="s">
        <v>3375</v>
      </c>
      <c r="O3352" t="s">
        <v>3376</v>
      </c>
      <c r="P3352">
        <v>41091081</v>
      </c>
    </row>
    <row r="3353" spans="1:16">
      <c r="A3353" t="s">
        <v>166</v>
      </c>
      <c r="B3353">
        <v>1</v>
      </c>
      <c r="E3353" t="s">
        <v>3347</v>
      </c>
      <c r="F3353" t="s">
        <v>3344</v>
      </c>
      <c r="G3353" t="s">
        <v>3348</v>
      </c>
      <c r="I3353" t="s">
        <v>3338</v>
      </c>
      <c r="J3353" t="s">
        <v>2232</v>
      </c>
      <c r="K3353" t="s">
        <v>2233</v>
      </c>
      <c r="L3353" t="s">
        <v>3342</v>
      </c>
      <c r="N3353" t="s">
        <v>3454</v>
      </c>
      <c r="O3353" t="s">
        <v>3455</v>
      </c>
      <c r="P3353">
        <v>41091081</v>
      </c>
    </row>
    <row r="3354" spans="1:16">
      <c r="A3354" t="s">
        <v>166</v>
      </c>
      <c r="B3354">
        <v>0</v>
      </c>
      <c r="G3354" t="s">
        <v>3338</v>
      </c>
      <c r="I3354" t="s">
        <v>3338</v>
      </c>
      <c r="N3354" t="s">
        <v>3377</v>
      </c>
      <c r="O3354" t="s">
        <v>3346</v>
      </c>
      <c r="P3354">
        <v>41091081</v>
      </c>
    </row>
    <row r="3355" spans="1:16">
      <c r="A3355" t="s">
        <v>166</v>
      </c>
      <c r="B3355">
        <v>1</v>
      </c>
      <c r="E3355" t="s">
        <v>3377</v>
      </c>
      <c r="F3355" t="s">
        <v>3346</v>
      </c>
      <c r="G3355" t="s">
        <v>3378</v>
      </c>
      <c r="I3355" t="s">
        <v>3338</v>
      </c>
      <c r="L3355" t="s">
        <v>193</v>
      </c>
      <c r="N3355" t="s">
        <v>3379</v>
      </c>
      <c r="O3355" t="s">
        <v>3380</v>
      </c>
      <c r="P3355">
        <v>41091081</v>
      </c>
    </row>
    <row r="3356" spans="1:16">
      <c r="A3356" t="s">
        <v>166</v>
      </c>
      <c r="B3356">
        <v>2</v>
      </c>
      <c r="E3356" t="s">
        <v>3379</v>
      </c>
      <c r="F3356" t="s">
        <v>3380</v>
      </c>
      <c r="G3356" t="s">
        <v>3381</v>
      </c>
      <c r="I3356" t="s">
        <v>3338</v>
      </c>
      <c r="J3356" t="s">
        <v>2421</v>
      </c>
      <c r="K3356" t="s">
        <v>3354</v>
      </c>
      <c r="L3356" t="s">
        <v>3369</v>
      </c>
      <c r="N3356" t="s">
        <v>3382</v>
      </c>
      <c r="O3356" t="s">
        <v>3352</v>
      </c>
      <c r="P3356">
        <v>41091081</v>
      </c>
    </row>
    <row r="3357" spans="1:16">
      <c r="A3357" t="s">
        <v>166</v>
      </c>
      <c r="B3357">
        <v>2</v>
      </c>
      <c r="E3357" t="s">
        <v>3379</v>
      </c>
      <c r="F3357" t="s">
        <v>3380</v>
      </c>
      <c r="G3357" t="s">
        <v>3381</v>
      </c>
      <c r="I3357" t="s">
        <v>3338</v>
      </c>
      <c r="L3357" t="s">
        <v>3383</v>
      </c>
      <c r="N3357" t="s">
        <v>3384</v>
      </c>
      <c r="O3357" t="s">
        <v>3385</v>
      </c>
      <c r="P3357">
        <v>41091081</v>
      </c>
    </row>
    <row r="3358" spans="1:16">
      <c r="A3358" t="s">
        <v>166</v>
      </c>
      <c r="B3358">
        <v>2</v>
      </c>
      <c r="E3358" t="s">
        <v>3379</v>
      </c>
      <c r="F3358" t="s">
        <v>3380</v>
      </c>
      <c r="G3358" t="s">
        <v>3381</v>
      </c>
      <c r="I3358" t="s">
        <v>3338</v>
      </c>
      <c r="J3358" t="s">
        <v>2232</v>
      </c>
      <c r="K3358" t="s">
        <v>2233</v>
      </c>
      <c r="L3358" t="s">
        <v>3342</v>
      </c>
      <c r="N3358" t="s">
        <v>3386</v>
      </c>
      <c r="O3358" t="s">
        <v>3350</v>
      </c>
      <c r="P3358">
        <v>41091081</v>
      </c>
    </row>
    <row r="3359" spans="1:16">
      <c r="A3359" t="s">
        <v>166</v>
      </c>
      <c r="B3359">
        <v>1</v>
      </c>
      <c r="E3359" t="s">
        <v>3377</v>
      </c>
      <c r="F3359" t="s">
        <v>3346</v>
      </c>
      <c r="G3359" t="s">
        <v>3378</v>
      </c>
      <c r="I3359" t="s">
        <v>3338</v>
      </c>
      <c r="L3359" t="s">
        <v>193</v>
      </c>
      <c r="N3359" t="s">
        <v>3387</v>
      </c>
      <c r="O3359" t="s">
        <v>3388</v>
      </c>
      <c r="P3359">
        <v>41091081</v>
      </c>
    </row>
    <row r="3360" spans="1:16">
      <c r="A3360" t="s">
        <v>166</v>
      </c>
      <c r="B3360">
        <v>2</v>
      </c>
      <c r="E3360" t="s">
        <v>3387</v>
      </c>
      <c r="F3360" t="s">
        <v>3388</v>
      </c>
      <c r="G3360" t="s">
        <v>3389</v>
      </c>
      <c r="I3360" t="s">
        <v>3338</v>
      </c>
      <c r="L3360" t="s">
        <v>3369</v>
      </c>
      <c r="N3360" t="s">
        <v>3390</v>
      </c>
      <c r="O3360" t="s">
        <v>3352</v>
      </c>
      <c r="P3360">
        <v>41091081</v>
      </c>
    </row>
    <row r="3361" spans="1:16">
      <c r="A3361" t="s">
        <v>166</v>
      </c>
      <c r="B3361">
        <v>2</v>
      </c>
      <c r="E3361" t="s">
        <v>3387</v>
      </c>
      <c r="F3361" t="s">
        <v>3388</v>
      </c>
      <c r="G3361" t="s">
        <v>3389</v>
      </c>
      <c r="I3361" t="s">
        <v>3338</v>
      </c>
      <c r="L3361" t="s">
        <v>3342</v>
      </c>
      <c r="N3361" t="s">
        <v>3391</v>
      </c>
      <c r="O3361" t="s">
        <v>3392</v>
      </c>
      <c r="P3361">
        <v>41091081</v>
      </c>
    </row>
    <row r="3362" spans="1:16">
      <c r="A3362" t="s">
        <v>166</v>
      </c>
      <c r="B3362">
        <v>2</v>
      </c>
      <c r="E3362" t="s">
        <v>3387</v>
      </c>
      <c r="F3362" t="s">
        <v>3388</v>
      </c>
      <c r="G3362" t="s">
        <v>3389</v>
      </c>
      <c r="I3362" t="s">
        <v>3338</v>
      </c>
      <c r="L3362" t="s">
        <v>3383</v>
      </c>
      <c r="N3362" t="s">
        <v>3393</v>
      </c>
      <c r="O3362" t="s">
        <v>3385</v>
      </c>
      <c r="P3362">
        <v>41091081</v>
      </c>
    </row>
    <row r="3363" spans="1:16">
      <c r="A3363" t="s">
        <v>166</v>
      </c>
      <c r="B3363">
        <v>2</v>
      </c>
      <c r="E3363" t="s">
        <v>3387</v>
      </c>
      <c r="F3363" t="s">
        <v>3388</v>
      </c>
      <c r="G3363" t="s">
        <v>3389</v>
      </c>
      <c r="I3363" t="s">
        <v>3338</v>
      </c>
      <c r="L3363" t="s">
        <v>3342</v>
      </c>
      <c r="N3363" t="s">
        <v>3394</v>
      </c>
      <c r="O3363" t="s">
        <v>3350</v>
      </c>
      <c r="P3363">
        <v>41091081</v>
      </c>
    </row>
    <row r="3364" spans="1:16">
      <c r="A3364" t="s">
        <v>166</v>
      </c>
      <c r="B3364">
        <v>0</v>
      </c>
      <c r="G3364" t="s">
        <v>3338</v>
      </c>
      <c r="I3364" t="s">
        <v>3338</v>
      </c>
      <c r="N3364" t="s">
        <v>3395</v>
      </c>
      <c r="O3364" t="s">
        <v>3396</v>
      </c>
      <c r="P3364">
        <v>41091081</v>
      </c>
    </row>
    <row r="3365" spans="1:16">
      <c r="A3365" t="s">
        <v>166</v>
      </c>
      <c r="B3365">
        <v>1</v>
      </c>
      <c r="E3365" t="s">
        <v>3395</v>
      </c>
      <c r="F3365" t="s">
        <v>3396</v>
      </c>
      <c r="G3365" t="s">
        <v>3397</v>
      </c>
      <c r="I3365" t="s">
        <v>3338</v>
      </c>
      <c r="L3365" t="s">
        <v>3342</v>
      </c>
      <c r="N3365" t="s">
        <v>3398</v>
      </c>
      <c r="O3365" t="s">
        <v>3399</v>
      </c>
      <c r="P3365">
        <v>41091081</v>
      </c>
    </row>
    <row r="3366" spans="1:16">
      <c r="A3366" t="s">
        <v>166</v>
      </c>
      <c r="B3366">
        <v>1</v>
      </c>
      <c r="E3366" t="s">
        <v>3395</v>
      </c>
      <c r="F3366" t="s">
        <v>3396</v>
      </c>
      <c r="G3366" t="s">
        <v>3397</v>
      </c>
      <c r="I3366" t="s">
        <v>3338</v>
      </c>
      <c r="J3366" t="s">
        <v>2232</v>
      </c>
      <c r="K3366" t="s">
        <v>2233</v>
      </c>
      <c r="L3366" t="s">
        <v>3342</v>
      </c>
      <c r="N3366" t="s">
        <v>3400</v>
      </c>
      <c r="O3366" t="s">
        <v>3401</v>
      </c>
      <c r="P3366">
        <v>41091081</v>
      </c>
    </row>
    <row r="3367" spans="1:16">
      <c r="A3367" t="s">
        <v>166</v>
      </c>
      <c r="B3367">
        <v>1</v>
      </c>
      <c r="E3367" t="s">
        <v>3395</v>
      </c>
      <c r="F3367" t="s">
        <v>3396</v>
      </c>
      <c r="G3367" t="s">
        <v>3397</v>
      </c>
      <c r="I3367" t="s">
        <v>3338</v>
      </c>
      <c r="L3367" t="s">
        <v>3342</v>
      </c>
      <c r="N3367" t="s">
        <v>3402</v>
      </c>
      <c r="O3367" t="s">
        <v>3403</v>
      </c>
      <c r="P3367">
        <v>41091081</v>
      </c>
    </row>
    <row r="3368" spans="1:16">
      <c r="A3368" t="s">
        <v>166</v>
      </c>
      <c r="B3368">
        <v>1</v>
      </c>
      <c r="E3368" t="s">
        <v>3395</v>
      </c>
      <c r="F3368" t="s">
        <v>3396</v>
      </c>
      <c r="G3368" t="s">
        <v>3397</v>
      </c>
      <c r="I3368" t="s">
        <v>3338</v>
      </c>
      <c r="L3368" t="s">
        <v>3342</v>
      </c>
      <c r="N3368" t="s">
        <v>3404</v>
      </c>
      <c r="O3368" t="s">
        <v>3405</v>
      </c>
      <c r="P3368">
        <v>41091081</v>
      </c>
    </row>
    <row r="3369" spans="1:16">
      <c r="A3369" t="s">
        <v>166</v>
      </c>
      <c r="B3369">
        <v>0</v>
      </c>
      <c r="G3369" t="s">
        <v>3338</v>
      </c>
      <c r="I3369" t="s">
        <v>3338</v>
      </c>
      <c r="N3369" t="s">
        <v>3406</v>
      </c>
      <c r="O3369" t="s">
        <v>3407</v>
      </c>
      <c r="P3369">
        <v>41091081</v>
      </c>
    </row>
    <row r="3370" spans="1:16">
      <c r="A3370" t="s">
        <v>166</v>
      </c>
      <c r="B3370">
        <v>1</v>
      </c>
      <c r="E3370" t="s">
        <v>3406</v>
      </c>
      <c r="F3370" t="s">
        <v>3407</v>
      </c>
      <c r="G3370" t="s">
        <v>3408</v>
      </c>
      <c r="I3370" t="s">
        <v>3338</v>
      </c>
      <c r="J3370" t="s">
        <v>2421</v>
      </c>
      <c r="K3370" t="s">
        <v>3354</v>
      </c>
      <c r="L3370" t="s">
        <v>3369</v>
      </c>
      <c r="N3370" t="s">
        <v>3409</v>
      </c>
      <c r="O3370" t="s">
        <v>3410</v>
      </c>
      <c r="P3370">
        <v>41091081</v>
      </c>
    </row>
    <row r="3371" spans="1:16">
      <c r="A3371" t="s">
        <v>166</v>
      </c>
      <c r="B3371">
        <v>1</v>
      </c>
      <c r="E3371" t="s">
        <v>3406</v>
      </c>
      <c r="F3371" t="s">
        <v>3407</v>
      </c>
      <c r="G3371" t="s">
        <v>3408</v>
      </c>
      <c r="I3371" t="s">
        <v>3338</v>
      </c>
      <c r="L3371" t="s">
        <v>193</v>
      </c>
      <c r="N3371" t="s">
        <v>3411</v>
      </c>
      <c r="O3371" t="s">
        <v>3412</v>
      </c>
      <c r="P3371">
        <v>41091081</v>
      </c>
    </row>
    <row r="3372" spans="1:16">
      <c r="A3372" t="s">
        <v>166</v>
      </c>
      <c r="B3372">
        <v>2</v>
      </c>
      <c r="E3372" t="s">
        <v>3411</v>
      </c>
      <c r="F3372" t="s">
        <v>3412</v>
      </c>
      <c r="G3372" t="s">
        <v>3413</v>
      </c>
      <c r="I3372" t="s">
        <v>3338</v>
      </c>
      <c r="L3372" t="s">
        <v>3342</v>
      </c>
      <c r="N3372" t="s">
        <v>3414</v>
      </c>
      <c r="O3372" t="s">
        <v>3415</v>
      </c>
      <c r="P3372">
        <v>41091081</v>
      </c>
    </row>
    <row r="3373" spans="1:16">
      <c r="A3373" t="s">
        <v>166</v>
      </c>
      <c r="B3373">
        <v>2</v>
      </c>
      <c r="E3373" t="s">
        <v>3411</v>
      </c>
      <c r="F3373" t="s">
        <v>3412</v>
      </c>
      <c r="G3373" t="s">
        <v>3413</v>
      </c>
      <c r="I3373" t="s">
        <v>3338</v>
      </c>
      <c r="J3373" t="s">
        <v>2232</v>
      </c>
      <c r="K3373" t="s">
        <v>2233</v>
      </c>
      <c r="L3373" t="s">
        <v>3342</v>
      </c>
      <c r="N3373" t="s">
        <v>3416</v>
      </c>
      <c r="O3373" t="s">
        <v>3417</v>
      </c>
      <c r="P3373">
        <v>41091081</v>
      </c>
    </row>
    <row r="3374" spans="1:16">
      <c r="A3374" t="s">
        <v>166</v>
      </c>
      <c r="B3374">
        <v>2</v>
      </c>
      <c r="E3374" t="s">
        <v>3411</v>
      </c>
      <c r="F3374" t="s">
        <v>3412</v>
      </c>
      <c r="G3374" t="s">
        <v>3413</v>
      </c>
      <c r="I3374" t="s">
        <v>3338</v>
      </c>
      <c r="J3374" t="s">
        <v>2232</v>
      </c>
      <c r="K3374" t="s">
        <v>2233</v>
      </c>
      <c r="L3374" t="s">
        <v>3342</v>
      </c>
      <c r="N3374" t="s">
        <v>3418</v>
      </c>
      <c r="O3374" t="s">
        <v>3419</v>
      </c>
      <c r="P3374">
        <v>41091081</v>
      </c>
    </row>
    <row r="3375" spans="1:16">
      <c r="A3375" t="s">
        <v>166</v>
      </c>
      <c r="B3375">
        <v>2</v>
      </c>
      <c r="E3375" t="s">
        <v>3411</v>
      </c>
      <c r="F3375" t="s">
        <v>3412</v>
      </c>
      <c r="G3375" t="s">
        <v>3413</v>
      </c>
      <c r="I3375" t="s">
        <v>3338</v>
      </c>
      <c r="L3375" t="s">
        <v>3342</v>
      </c>
      <c r="N3375" t="s">
        <v>3420</v>
      </c>
      <c r="O3375" t="s">
        <v>3421</v>
      </c>
      <c r="P3375">
        <v>41091081</v>
      </c>
    </row>
    <row r="3376" spans="1:16">
      <c r="A3376" t="s">
        <v>166</v>
      </c>
      <c r="B3376">
        <v>2</v>
      </c>
      <c r="E3376" t="s">
        <v>3411</v>
      </c>
      <c r="F3376" t="s">
        <v>3412</v>
      </c>
      <c r="G3376" t="s">
        <v>3413</v>
      </c>
      <c r="I3376" t="s">
        <v>3338</v>
      </c>
      <c r="J3376" t="s">
        <v>2232</v>
      </c>
      <c r="K3376" t="s">
        <v>2233</v>
      </c>
      <c r="L3376" t="s">
        <v>3342</v>
      </c>
      <c r="N3376" t="s">
        <v>3422</v>
      </c>
      <c r="O3376" t="s">
        <v>3423</v>
      </c>
      <c r="P3376">
        <v>41091081</v>
      </c>
    </row>
    <row r="3377" spans="1:16">
      <c r="A3377" t="s">
        <v>166</v>
      </c>
      <c r="B3377">
        <v>0</v>
      </c>
      <c r="G3377" t="s">
        <v>3338</v>
      </c>
      <c r="I3377" t="s">
        <v>3338</v>
      </c>
      <c r="N3377" t="s">
        <v>3424</v>
      </c>
      <c r="O3377" t="s">
        <v>3425</v>
      </c>
      <c r="P3377">
        <v>41091081</v>
      </c>
    </row>
    <row r="3378" spans="1:16">
      <c r="A3378" t="s">
        <v>166</v>
      </c>
      <c r="B3378">
        <v>1</v>
      </c>
      <c r="E3378" t="s">
        <v>3424</v>
      </c>
      <c r="F3378" t="s">
        <v>3425</v>
      </c>
      <c r="G3378" t="s">
        <v>3426</v>
      </c>
      <c r="I3378" t="s">
        <v>3338</v>
      </c>
      <c r="J3378" t="s">
        <v>2421</v>
      </c>
      <c r="K3378" t="s">
        <v>3354</v>
      </c>
      <c r="L3378" t="s">
        <v>3369</v>
      </c>
      <c r="N3378" t="s">
        <v>3427</v>
      </c>
      <c r="O3378" t="s">
        <v>3428</v>
      </c>
      <c r="P3378">
        <v>41091081</v>
      </c>
    </row>
    <row r="3379" spans="1:16">
      <c r="A3379" t="s">
        <v>166</v>
      </c>
      <c r="B3379">
        <v>1</v>
      </c>
      <c r="E3379" t="s">
        <v>3424</v>
      </c>
      <c r="F3379" t="s">
        <v>3425</v>
      </c>
      <c r="G3379" t="s">
        <v>3426</v>
      </c>
      <c r="I3379" t="s">
        <v>3338</v>
      </c>
      <c r="J3379" t="s">
        <v>2421</v>
      </c>
      <c r="K3379" t="s">
        <v>3354</v>
      </c>
      <c r="L3379" t="s">
        <v>3369</v>
      </c>
      <c r="N3379" t="s">
        <v>3429</v>
      </c>
      <c r="O3379" t="s">
        <v>3430</v>
      </c>
      <c r="P3379">
        <v>41091081</v>
      </c>
    </row>
    <row r="3380" spans="1:16">
      <c r="A3380" t="s">
        <v>166</v>
      </c>
      <c r="B3380">
        <v>1</v>
      </c>
      <c r="E3380" t="s">
        <v>3424</v>
      </c>
      <c r="F3380" t="s">
        <v>3425</v>
      </c>
      <c r="G3380" t="s">
        <v>3426</v>
      </c>
      <c r="I3380" t="s">
        <v>3338</v>
      </c>
      <c r="J3380" t="s">
        <v>2232</v>
      </c>
      <c r="K3380" t="s">
        <v>2233</v>
      </c>
      <c r="L3380" t="s">
        <v>3342</v>
      </c>
      <c r="N3380" t="s">
        <v>3431</v>
      </c>
      <c r="O3380" t="s">
        <v>3432</v>
      </c>
      <c r="P3380">
        <v>41091081</v>
      </c>
    </row>
    <row r="3381" spans="1:16">
      <c r="A3381" t="s">
        <v>166</v>
      </c>
      <c r="B3381">
        <v>0</v>
      </c>
      <c r="G3381" t="s">
        <v>3338</v>
      </c>
      <c r="I3381" t="s">
        <v>3338</v>
      </c>
      <c r="N3381" t="s">
        <v>3433</v>
      </c>
      <c r="O3381" t="s">
        <v>3434</v>
      </c>
      <c r="P3381">
        <v>41091081</v>
      </c>
    </row>
    <row r="3382" spans="1:16">
      <c r="A3382" t="s">
        <v>166</v>
      </c>
      <c r="B3382">
        <v>1</v>
      </c>
      <c r="E3382" t="s">
        <v>3433</v>
      </c>
      <c r="F3382" t="s">
        <v>3434</v>
      </c>
      <c r="G3382" t="s">
        <v>3435</v>
      </c>
      <c r="I3382" t="s">
        <v>3338</v>
      </c>
      <c r="J3382" t="s">
        <v>2232</v>
      </c>
      <c r="K3382" t="s">
        <v>2233</v>
      </c>
      <c r="L3382" t="s">
        <v>3342</v>
      </c>
      <c r="N3382" t="s">
        <v>3436</v>
      </c>
      <c r="O3382" t="s">
        <v>3437</v>
      </c>
      <c r="P3382">
        <v>41091081</v>
      </c>
    </row>
    <row r="3383" spans="1:16">
      <c r="A3383" t="s">
        <v>166</v>
      </c>
      <c r="B3383">
        <v>1</v>
      </c>
      <c r="E3383" t="s">
        <v>3433</v>
      </c>
      <c r="F3383" t="s">
        <v>3434</v>
      </c>
      <c r="G3383" t="s">
        <v>3435</v>
      </c>
      <c r="I3383" t="s">
        <v>3338</v>
      </c>
      <c r="J3383" t="s">
        <v>2232</v>
      </c>
      <c r="K3383" t="s">
        <v>2233</v>
      </c>
      <c r="L3383" t="s">
        <v>3342</v>
      </c>
      <c r="N3383" t="s">
        <v>3438</v>
      </c>
      <c r="O3383" t="s">
        <v>3439</v>
      </c>
      <c r="P3383">
        <v>41091081</v>
      </c>
    </row>
    <row r="3384" spans="1:16">
      <c r="A3384" t="s">
        <v>166</v>
      </c>
      <c r="B3384">
        <v>1</v>
      </c>
      <c r="E3384" t="s">
        <v>3433</v>
      </c>
      <c r="F3384" t="s">
        <v>3434</v>
      </c>
      <c r="G3384" t="s">
        <v>3435</v>
      </c>
      <c r="I3384" t="s">
        <v>3338</v>
      </c>
      <c r="J3384" t="s">
        <v>2232</v>
      </c>
      <c r="K3384" t="s">
        <v>2233</v>
      </c>
      <c r="L3384" t="s">
        <v>3342</v>
      </c>
      <c r="N3384" t="s">
        <v>3440</v>
      </c>
      <c r="O3384" t="s">
        <v>3441</v>
      </c>
      <c r="P3384">
        <v>41091081</v>
      </c>
    </row>
    <row r="3385" spans="1:16">
      <c r="A3385" t="s">
        <v>166</v>
      </c>
      <c r="B3385">
        <v>1</v>
      </c>
      <c r="E3385" t="s">
        <v>3433</v>
      </c>
      <c r="F3385" t="s">
        <v>3434</v>
      </c>
      <c r="G3385" t="s">
        <v>3435</v>
      </c>
      <c r="I3385" t="s">
        <v>3338</v>
      </c>
      <c r="J3385" t="s">
        <v>2232</v>
      </c>
      <c r="K3385" t="s">
        <v>2233</v>
      </c>
      <c r="L3385" t="s">
        <v>3342</v>
      </c>
      <c r="N3385" t="s">
        <v>3442</v>
      </c>
      <c r="O3385" t="s">
        <v>3443</v>
      </c>
      <c r="P3385">
        <v>41091081</v>
      </c>
    </row>
    <row r="3386" spans="1:16">
      <c r="A3386" t="s">
        <v>166</v>
      </c>
      <c r="B3386">
        <v>1</v>
      </c>
      <c r="E3386" t="s">
        <v>3433</v>
      </c>
      <c r="F3386" t="s">
        <v>3434</v>
      </c>
      <c r="G3386" t="s">
        <v>3435</v>
      </c>
      <c r="I3386" t="s">
        <v>3338</v>
      </c>
      <c r="J3386" t="s">
        <v>2232</v>
      </c>
      <c r="K3386" t="s">
        <v>2233</v>
      </c>
      <c r="L3386" t="s">
        <v>3342</v>
      </c>
      <c r="N3386" t="s">
        <v>3444</v>
      </c>
      <c r="O3386" t="s">
        <v>3445</v>
      </c>
      <c r="P3386">
        <v>41091081</v>
      </c>
    </row>
    <row r="3387" spans="1:16">
      <c r="A3387" t="s">
        <v>166</v>
      </c>
      <c r="B3387">
        <v>1</v>
      </c>
      <c r="E3387" t="s">
        <v>3433</v>
      </c>
      <c r="F3387" t="s">
        <v>3434</v>
      </c>
      <c r="G3387" t="s">
        <v>3435</v>
      </c>
      <c r="I3387" t="s">
        <v>3338</v>
      </c>
      <c r="J3387" t="s">
        <v>2232</v>
      </c>
      <c r="K3387" t="s">
        <v>2233</v>
      </c>
      <c r="L3387" t="s">
        <v>3342</v>
      </c>
      <c r="N3387" t="s">
        <v>3446</v>
      </c>
      <c r="O3387" t="s">
        <v>3447</v>
      </c>
      <c r="P3387">
        <v>41091081</v>
      </c>
    </row>
    <row r="3388" spans="1:16">
      <c r="A3388" t="s">
        <v>166</v>
      </c>
      <c r="B3388">
        <v>0</v>
      </c>
      <c r="G3388" t="s">
        <v>3338</v>
      </c>
      <c r="I3388" t="s">
        <v>3338</v>
      </c>
      <c r="N3388" t="s">
        <v>3448</v>
      </c>
      <c r="O3388" t="s">
        <v>3449</v>
      </c>
      <c r="P3388">
        <v>41091081</v>
      </c>
    </row>
    <row r="3389" spans="1:16">
      <c r="A3389" t="s">
        <v>166</v>
      </c>
      <c r="B3389">
        <v>1</v>
      </c>
      <c r="E3389" t="s">
        <v>3448</v>
      </c>
      <c r="F3389" t="s">
        <v>3449</v>
      </c>
      <c r="G3389" t="s">
        <v>3450</v>
      </c>
      <c r="I3389" t="s">
        <v>3338</v>
      </c>
      <c r="J3389" t="s">
        <v>2421</v>
      </c>
      <c r="K3389" t="s">
        <v>3354</v>
      </c>
      <c r="L3389" t="s">
        <v>3451</v>
      </c>
      <c r="N3389" t="s">
        <v>3452</v>
      </c>
      <c r="O3389" t="s">
        <v>3453</v>
      </c>
      <c r="P3389">
        <v>41091081</v>
      </c>
    </row>
    <row r="3390" spans="1:16">
      <c r="A3390" t="s">
        <v>168</v>
      </c>
      <c r="B3390">
        <v>0</v>
      </c>
      <c r="G3390" t="s">
        <v>3338</v>
      </c>
      <c r="I3390" t="s">
        <v>3338</v>
      </c>
      <c r="N3390" t="s">
        <v>3339</v>
      </c>
      <c r="O3390" t="s">
        <v>3340</v>
      </c>
      <c r="P3390">
        <v>41061934</v>
      </c>
    </row>
    <row r="3391" spans="1:16">
      <c r="A3391" t="s">
        <v>168</v>
      </c>
      <c r="B3391">
        <v>1</v>
      </c>
      <c r="E3391" t="s">
        <v>3339</v>
      </c>
      <c r="F3391" t="s">
        <v>3340</v>
      </c>
      <c r="G3391" t="s">
        <v>3341</v>
      </c>
      <c r="I3391" t="s">
        <v>3338</v>
      </c>
      <c r="J3391" t="s">
        <v>2232</v>
      </c>
      <c r="K3391" t="s">
        <v>2233</v>
      </c>
      <c r="L3391" t="s">
        <v>3342</v>
      </c>
      <c r="N3391" t="s">
        <v>3343</v>
      </c>
      <c r="O3391" t="s">
        <v>3344</v>
      </c>
      <c r="P3391">
        <v>41061934</v>
      </c>
    </row>
    <row r="3392" spans="1:16">
      <c r="A3392" t="s">
        <v>168</v>
      </c>
      <c r="B3392">
        <v>1</v>
      </c>
      <c r="E3392" t="s">
        <v>3339</v>
      </c>
      <c r="F3392" t="s">
        <v>3340</v>
      </c>
      <c r="G3392" t="s">
        <v>3341</v>
      </c>
      <c r="I3392" t="s">
        <v>3338</v>
      </c>
      <c r="J3392" t="s">
        <v>2232</v>
      </c>
      <c r="K3392" t="s">
        <v>2233</v>
      </c>
      <c r="L3392" t="s">
        <v>3342</v>
      </c>
      <c r="N3392" t="s">
        <v>3345</v>
      </c>
      <c r="O3392" t="s">
        <v>3346</v>
      </c>
      <c r="P3392">
        <v>41061934</v>
      </c>
    </row>
    <row r="3393" spans="1:16">
      <c r="A3393" t="s">
        <v>168</v>
      </c>
      <c r="B3393">
        <v>0</v>
      </c>
      <c r="G3393" t="s">
        <v>3338</v>
      </c>
      <c r="I3393" t="s">
        <v>3338</v>
      </c>
      <c r="N3393" t="s">
        <v>3347</v>
      </c>
      <c r="O3393" t="s">
        <v>3344</v>
      </c>
      <c r="P3393">
        <v>41061934</v>
      </c>
    </row>
    <row r="3394" spans="1:16">
      <c r="A3394" t="s">
        <v>168</v>
      </c>
      <c r="B3394">
        <v>1</v>
      </c>
      <c r="E3394" t="s">
        <v>3347</v>
      </c>
      <c r="F3394" t="s">
        <v>3344</v>
      </c>
      <c r="G3394" t="s">
        <v>3348</v>
      </c>
      <c r="I3394" t="s">
        <v>3338</v>
      </c>
      <c r="J3394" t="s">
        <v>2232</v>
      </c>
      <c r="K3394" t="s">
        <v>2233</v>
      </c>
      <c r="L3394" t="s">
        <v>3342</v>
      </c>
      <c r="N3394" t="s">
        <v>3349</v>
      </c>
      <c r="O3394" t="s">
        <v>3350</v>
      </c>
      <c r="P3394">
        <v>41061934</v>
      </c>
    </row>
    <row r="3395" spans="1:16">
      <c r="A3395" t="s">
        <v>168</v>
      </c>
      <c r="B3395">
        <v>1</v>
      </c>
      <c r="E3395" t="s">
        <v>3347</v>
      </c>
      <c r="F3395" t="s">
        <v>3344</v>
      </c>
      <c r="G3395" t="s">
        <v>3348</v>
      </c>
      <c r="I3395" t="s">
        <v>3338</v>
      </c>
      <c r="L3395" t="s">
        <v>193</v>
      </c>
      <c r="N3395" t="s">
        <v>3351</v>
      </c>
      <c r="O3395" t="s">
        <v>3352</v>
      </c>
      <c r="P3395">
        <v>41061934</v>
      </c>
    </row>
    <row r="3396" spans="1:16">
      <c r="A3396" t="s">
        <v>168</v>
      </c>
      <c r="B3396">
        <v>2</v>
      </c>
      <c r="E3396" t="s">
        <v>3351</v>
      </c>
      <c r="F3396" t="s">
        <v>3352</v>
      </c>
      <c r="G3396" t="s">
        <v>3353</v>
      </c>
      <c r="I3396" t="s">
        <v>3338</v>
      </c>
      <c r="J3396" t="s">
        <v>2421</v>
      </c>
      <c r="K3396" t="s">
        <v>3354</v>
      </c>
      <c r="L3396" t="s">
        <v>3355</v>
      </c>
      <c r="N3396" t="s">
        <v>3356</v>
      </c>
      <c r="O3396" t="s">
        <v>3357</v>
      </c>
      <c r="P3396">
        <v>41061934</v>
      </c>
    </row>
    <row r="3397" spans="1:16">
      <c r="A3397" t="s">
        <v>168</v>
      </c>
      <c r="B3397">
        <v>2</v>
      </c>
      <c r="E3397" t="s">
        <v>3351</v>
      </c>
      <c r="F3397" t="s">
        <v>3352</v>
      </c>
      <c r="G3397" t="s">
        <v>3353</v>
      </c>
      <c r="I3397" t="s">
        <v>3338</v>
      </c>
      <c r="J3397" t="s">
        <v>2421</v>
      </c>
      <c r="K3397" t="s">
        <v>3354</v>
      </c>
      <c r="L3397" t="s">
        <v>3355</v>
      </c>
      <c r="N3397" t="s">
        <v>3358</v>
      </c>
      <c r="O3397" t="s">
        <v>3359</v>
      </c>
      <c r="P3397">
        <v>41061934</v>
      </c>
    </row>
    <row r="3398" spans="1:16">
      <c r="A3398" t="s">
        <v>168</v>
      </c>
      <c r="B3398">
        <v>2</v>
      </c>
      <c r="E3398" t="s">
        <v>3351</v>
      </c>
      <c r="F3398" t="s">
        <v>3352</v>
      </c>
      <c r="G3398" t="s">
        <v>3353</v>
      </c>
      <c r="I3398" t="s">
        <v>3338</v>
      </c>
      <c r="J3398" t="s">
        <v>3468</v>
      </c>
      <c r="K3398" t="s">
        <v>3469</v>
      </c>
      <c r="L3398" t="s">
        <v>3355</v>
      </c>
      <c r="N3398" t="s">
        <v>3360</v>
      </c>
      <c r="O3398" t="s">
        <v>3361</v>
      </c>
      <c r="P3398">
        <v>41061934</v>
      </c>
    </row>
    <row r="3399" spans="1:16">
      <c r="A3399" t="s">
        <v>168</v>
      </c>
      <c r="B3399">
        <v>1</v>
      </c>
      <c r="E3399" t="s">
        <v>3347</v>
      </c>
      <c r="F3399" t="s">
        <v>3344</v>
      </c>
      <c r="G3399" t="s">
        <v>3348</v>
      </c>
      <c r="I3399" t="s">
        <v>3338</v>
      </c>
      <c r="J3399" t="s">
        <v>2236</v>
      </c>
      <c r="K3399" t="s">
        <v>3362</v>
      </c>
      <c r="L3399" t="s">
        <v>3363</v>
      </c>
      <c r="N3399" t="s">
        <v>3364</v>
      </c>
      <c r="O3399" t="s">
        <v>3365</v>
      </c>
      <c r="P3399">
        <v>41061934</v>
      </c>
    </row>
    <row r="3400" spans="1:16">
      <c r="A3400" t="s">
        <v>168</v>
      </c>
      <c r="B3400">
        <v>1</v>
      </c>
      <c r="E3400" t="s">
        <v>3347</v>
      </c>
      <c r="F3400" t="s">
        <v>3344</v>
      </c>
      <c r="G3400" t="s">
        <v>3348</v>
      </c>
      <c r="I3400" t="s">
        <v>3338</v>
      </c>
      <c r="L3400" t="s">
        <v>193</v>
      </c>
      <c r="N3400" t="s">
        <v>3366</v>
      </c>
      <c r="O3400" t="s">
        <v>3367</v>
      </c>
      <c r="P3400">
        <v>41061934</v>
      </c>
    </row>
    <row r="3401" spans="1:16">
      <c r="A3401" t="s">
        <v>168</v>
      </c>
      <c r="B3401">
        <v>2</v>
      </c>
      <c r="E3401" t="s">
        <v>3366</v>
      </c>
      <c r="F3401" t="s">
        <v>3367</v>
      </c>
      <c r="G3401" t="s">
        <v>3368</v>
      </c>
      <c r="I3401" t="s">
        <v>3338</v>
      </c>
      <c r="J3401" t="s">
        <v>2421</v>
      </c>
      <c r="K3401" t="s">
        <v>3354</v>
      </c>
      <c r="L3401" t="s">
        <v>3369</v>
      </c>
      <c r="N3401" t="s">
        <v>3370</v>
      </c>
      <c r="O3401" t="s">
        <v>3359</v>
      </c>
      <c r="P3401">
        <v>41061934</v>
      </c>
    </row>
    <row r="3402" spans="1:16">
      <c r="A3402" t="s">
        <v>168</v>
      </c>
      <c r="B3402">
        <v>2</v>
      </c>
      <c r="E3402" t="s">
        <v>3366</v>
      </c>
      <c r="F3402" t="s">
        <v>3367</v>
      </c>
      <c r="G3402" t="s">
        <v>3368</v>
      </c>
      <c r="I3402" t="s">
        <v>3338</v>
      </c>
      <c r="J3402" t="s">
        <v>2421</v>
      </c>
      <c r="K3402" t="s">
        <v>3354</v>
      </c>
      <c r="L3402" t="s">
        <v>3369</v>
      </c>
      <c r="N3402" t="s">
        <v>3371</v>
      </c>
      <c r="O3402" t="s">
        <v>3372</v>
      </c>
      <c r="P3402">
        <v>41061934</v>
      </c>
    </row>
    <row r="3403" spans="1:16">
      <c r="A3403" t="s">
        <v>168</v>
      </c>
      <c r="B3403">
        <v>2</v>
      </c>
      <c r="E3403" t="s">
        <v>3366</v>
      </c>
      <c r="F3403" t="s">
        <v>3367</v>
      </c>
      <c r="G3403" t="s">
        <v>3368</v>
      </c>
      <c r="I3403" t="s">
        <v>3338</v>
      </c>
      <c r="J3403" t="s">
        <v>2421</v>
      </c>
      <c r="K3403" t="s">
        <v>3354</v>
      </c>
      <c r="L3403" t="s">
        <v>3369</v>
      </c>
      <c r="N3403" t="s">
        <v>3373</v>
      </c>
      <c r="O3403" t="s">
        <v>3374</v>
      </c>
      <c r="P3403">
        <v>41061934</v>
      </c>
    </row>
    <row r="3404" spans="1:16">
      <c r="A3404" t="s">
        <v>168</v>
      </c>
      <c r="B3404">
        <v>2</v>
      </c>
      <c r="E3404" t="s">
        <v>3366</v>
      </c>
      <c r="F3404" t="s">
        <v>3367</v>
      </c>
      <c r="G3404" t="s">
        <v>3368</v>
      </c>
      <c r="I3404" t="s">
        <v>3338</v>
      </c>
      <c r="J3404" t="s">
        <v>2236</v>
      </c>
      <c r="K3404" t="s">
        <v>3362</v>
      </c>
      <c r="L3404" t="s">
        <v>3363</v>
      </c>
      <c r="N3404" t="s">
        <v>3375</v>
      </c>
      <c r="O3404" t="s">
        <v>3376</v>
      </c>
      <c r="P3404">
        <v>41061934</v>
      </c>
    </row>
    <row r="3405" spans="1:16">
      <c r="A3405" t="s">
        <v>168</v>
      </c>
      <c r="B3405">
        <v>1</v>
      </c>
      <c r="E3405" t="s">
        <v>3347</v>
      </c>
      <c r="F3405" t="s">
        <v>3344</v>
      </c>
      <c r="G3405" t="s">
        <v>3348</v>
      </c>
      <c r="I3405" t="s">
        <v>3338</v>
      </c>
      <c r="J3405" t="s">
        <v>2232</v>
      </c>
      <c r="K3405" t="s">
        <v>2233</v>
      </c>
      <c r="L3405" t="s">
        <v>3342</v>
      </c>
      <c r="N3405" t="s">
        <v>3454</v>
      </c>
      <c r="O3405" t="s">
        <v>3455</v>
      </c>
      <c r="P3405">
        <v>41061934</v>
      </c>
    </row>
    <row r="3406" spans="1:16">
      <c r="A3406" t="s">
        <v>168</v>
      </c>
      <c r="B3406">
        <v>0</v>
      </c>
      <c r="G3406" t="s">
        <v>3338</v>
      </c>
      <c r="I3406" t="s">
        <v>3338</v>
      </c>
      <c r="N3406" t="s">
        <v>3377</v>
      </c>
      <c r="O3406" t="s">
        <v>3346</v>
      </c>
      <c r="P3406">
        <v>41061934</v>
      </c>
    </row>
    <row r="3407" spans="1:16">
      <c r="A3407" t="s">
        <v>168</v>
      </c>
      <c r="B3407">
        <v>1</v>
      </c>
      <c r="E3407" t="s">
        <v>3377</v>
      </c>
      <c r="F3407" t="s">
        <v>3346</v>
      </c>
      <c r="G3407" t="s">
        <v>3378</v>
      </c>
      <c r="I3407" t="s">
        <v>3338</v>
      </c>
      <c r="L3407" t="s">
        <v>193</v>
      </c>
      <c r="N3407" t="s">
        <v>3379</v>
      </c>
      <c r="O3407" t="s">
        <v>3380</v>
      </c>
      <c r="P3407">
        <v>41061934</v>
      </c>
    </row>
    <row r="3408" spans="1:16">
      <c r="A3408" t="s">
        <v>168</v>
      </c>
      <c r="B3408">
        <v>2</v>
      </c>
      <c r="E3408" t="s">
        <v>3379</v>
      </c>
      <c r="F3408" t="s">
        <v>3380</v>
      </c>
      <c r="G3408" t="s">
        <v>3381</v>
      </c>
      <c r="I3408" t="s">
        <v>3338</v>
      </c>
      <c r="J3408" t="s">
        <v>2421</v>
      </c>
      <c r="K3408" t="s">
        <v>3354</v>
      </c>
      <c r="L3408" t="s">
        <v>3369</v>
      </c>
      <c r="N3408" t="s">
        <v>3382</v>
      </c>
      <c r="O3408" t="s">
        <v>3352</v>
      </c>
      <c r="P3408">
        <v>41061934</v>
      </c>
    </row>
    <row r="3409" spans="1:16">
      <c r="A3409" t="s">
        <v>168</v>
      </c>
      <c r="B3409">
        <v>2</v>
      </c>
      <c r="E3409" t="s">
        <v>3379</v>
      </c>
      <c r="F3409" t="s">
        <v>3380</v>
      </c>
      <c r="G3409" t="s">
        <v>3381</v>
      </c>
      <c r="I3409" t="s">
        <v>3338</v>
      </c>
      <c r="L3409" t="s">
        <v>3383</v>
      </c>
      <c r="N3409" t="s">
        <v>3384</v>
      </c>
      <c r="O3409" t="s">
        <v>3385</v>
      </c>
      <c r="P3409">
        <v>41061934</v>
      </c>
    </row>
    <row r="3410" spans="1:16">
      <c r="A3410" t="s">
        <v>168</v>
      </c>
      <c r="B3410">
        <v>2</v>
      </c>
      <c r="E3410" t="s">
        <v>3379</v>
      </c>
      <c r="F3410" t="s">
        <v>3380</v>
      </c>
      <c r="G3410" t="s">
        <v>3381</v>
      </c>
      <c r="I3410" t="s">
        <v>3338</v>
      </c>
      <c r="J3410" t="s">
        <v>2232</v>
      </c>
      <c r="K3410" t="s">
        <v>2233</v>
      </c>
      <c r="L3410" t="s">
        <v>3342</v>
      </c>
      <c r="N3410" t="s">
        <v>3386</v>
      </c>
      <c r="O3410" t="s">
        <v>3350</v>
      </c>
      <c r="P3410">
        <v>41061934</v>
      </c>
    </row>
    <row r="3411" spans="1:16">
      <c r="A3411" t="s">
        <v>168</v>
      </c>
      <c r="B3411">
        <v>0</v>
      </c>
      <c r="G3411" t="s">
        <v>3338</v>
      </c>
      <c r="I3411" t="s">
        <v>3338</v>
      </c>
      <c r="N3411" t="s">
        <v>3395</v>
      </c>
      <c r="O3411" t="s">
        <v>3396</v>
      </c>
      <c r="P3411">
        <v>41061934</v>
      </c>
    </row>
    <row r="3412" spans="1:16">
      <c r="A3412" t="s">
        <v>168</v>
      </c>
      <c r="B3412">
        <v>1</v>
      </c>
      <c r="E3412" t="s">
        <v>3395</v>
      </c>
      <c r="F3412" t="s">
        <v>3396</v>
      </c>
      <c r="G3412" t="s">
        <v>3397</v>
      </c>
      <c r="I3412" t="s">
        <v>3338</v>
      </c>
      <c r="L3412" t="s">
        <v>3342</v>
      </c>
      <c r="N3412" t="s">
        <v>3398</v>
      </c>
      <c r="O3412" t="s">
        <v>3399</v>
      </c>
      <c r="P3412">
        <v>41061934</v>
      </c>
    </row>
    <row r="3413" spans="1:16">
      <c r="A3413" t="s">
        <v>168</v>
      </c>
      <c r="B3413">
        <v>1</v>
      </c>
      <c r="E3413" t="s">
        <v>3395</v>
      </c>
      <c r="F3413" t="s">
        <v>3396</v>
      </c>
      <c r="G3413" t="s">
        <v>3397</v>
      </c>
      <c r="I3413" t="s">
        <v>3338</v>
      </c>
      <c r="J3413" t="s">
        <v>2232</v>
      </c>
      <c r="K3413" t="s">
        <v>2233</v>
      </c>
      <c r="L3413" t="s">
        <v>3342</v>
      </c>
      <c r="N3413" t="s">
        <v>3400</v>
      </c>
      <c r="O3413" t="s">
        <v>3401</v>
      </c>
      <c r="P3413">
        <v>41061934</v>
      </c>
    </row>
    <row r="3414" spans="1:16">
      <c r="A3414" t="s">
        <v>168</v>
      </c>
      <c r="B3414">
        <v>1</v>
      </c>
      <c r="E3414" t="s">
        <v>3395</v>
      </c>
      <c r="F3414" t="s">
        <v>3396</v>
      </c>
      <c r="G3414" t="s">
        <v>3397</v>
      </c>
      <c r="I3414" t="s">
        <v>3338</v>
      </c>
      <c r="L3414" t="s">
        <v>3342</v>
      </c>
      <c r="N3414" t="s">
        <v>3402</v>
      </c>
      <c r="O3414" t="s">
        <v>3403</v>
      </c>
      <c r="P3414">
        <v>41061934</v>
      </c>
    </row>
    <row r="3415" spans="1:16">
      <c r="A3415" t="s">
        <v>168</v>
      </c>
      <c r="B3415">
        <v>1</v>
      </c>
      <c r="E3415" t="s">
        <v>3395</v>
      </c>
      <c r="F3415" t="s">
        <v>3396</v>
      </c>
      <c r="G3415" t="s">
        <v>3397</v>
      </c>
      <c r="I3415" t="s">
        <v>3338</v>
      </c>
      <c r="J3415" t="s">
        <v>2232</v>
      </c>
      <c r="K3415" t="s">
        <v>2233</v>
      </c>
      <c r="L3415" t="s">
        <v>3342</v>
      </c>
      <c r="N3415" t="s">
        <v>3404</v>
      </c>
      <c r="O3415" t="s">
        <v>3405</v>
      </c>
      <c r="P3415">
        <v>41061934</v>
      </c>
    </row>
    <row r="3416" spans="1:16">
      <c r="A3416" t="s">
        <v>168</v>
      </c>
      <c r="B3416">
        <v>0</v>
      </c>
      <c r="G3416" t="s">
        <v>3338</v>
      </c>
      <c r="I3416" t="s">
        <v>3338</v>
      </c>
      <c r="N3416" t="s">
        <v>3406</v>
      </c>
      <c r="O3416" t="s">
        <v>3407</v>
      </c>
      <c r="P3416">
        <v>41061934</v>
      </c>
    </row>
    <row r="3417" spans="1:16">
      <c r="A3417" t="s">
        <v>168</v>
      </c>
      <c r="B3417">
        <v>1</v>
      </c>
      <c r="E3417" t="s">
        <v>3406</v>
      </c>
      <c r="F3417" t="s">
        <v>3407</v>
      </c>
      <c r="G3417" t="s">
        <v>3408</v>
      </c>
      <c r="I3417" t="s">
        <v>3338</v>
      </c>
      <c r="J3417" t="s">
        <v>2421</v>
      </c>
      <c r="K3417" t="s">
        <v>3354</v>
      </c>
      <c r="L3417" t="s">
        <v>3369</v>
      </c>
      <c r="N3417" t="s">
        <v>3409</v>
      </c>
      <c r="O3417" t="s">
        <v>3410</v>
      </c>
      <c r="P3417">
        <v>41061934</v>
      </c>
    </row>
    <row r="3418" spans="1:16">
      <c r="A3418" t="s">
        <v>168</v>
      </c>
      <c r="B3418">
        <v>1</v>
      </c>
      <c r="E3418" t="s">
        <v>3406</v>
      </c>
      <c r="F3418" t="s">
        <v>3407</v>
      </c>
      <c r="G3418" t="s">
        <v>3408</v>
      </c>
      <c r="I3418" t="s">
        <v>3338</v>
      </c>
      <c r="L3418" t="s">
        <v>193</v>
      </c>
      <c r="N3418" t="s">
        <v>3411</v>
      </c>
      <c r="O3418" t="s">
        <v>3412</v>
      </c>
      <c r="P3418">
        <v>41061934</v>
      </c>
    </row>
    <row r="3419" spans="1:16">
      <c r="A3419" t="s">
        <v>168</v>
      </c>
      <c r="B3419">
        <v>2</v>
      </c>
      <c r="E3419" t="s">
        <v>3411</v>
      </c>
      <c r="F3419" t="s">
        <v>3412</v>
      </c>
      <c r="G3419" t="s">
        <v>3413</v>
      </c>
      <c r="I3419" t="s">
        <v>3338</v>
      </c>
      <c r="L3419" t="s">
        <v>3342</v>
      </c>
      <c r="N3419" t="s">
        <v>3414</v>
      </c>
      <c r="O3419" t="s">
        <v>3415</v>
      </c>
      <c r="P3419">
        <v>41061934</v>
      </c>
    </row>
    <row r="3420" spans="1:16">
      <c r="A3420" t="s">
        <v>168</v>
      </c>
      <c r="B3420">
        <v>2</v>
      </c>
      <c r="E3420" t="s">
        <v>3411</v>
      </c>
      <c r="F3420" t="s">
        <v>3412</v>
      </c>
      <c r="G3420" t="s">
        <v>3413</v>
      </c>
      <c r="I3420" t="s">
        <v>3338</v>
      </c>
      <c r="J3420" t="s">
        <v>2232</v>
      </c>
      <c r="K3420" t="s">
        <v>2233</v>
      </c>
      <c r="L3420" t="s">
        <v>3342</v>
      </c>
      <c r="N3420" t="s">
        <v>3416</v>
      </c>
      <c r="O3420" t="s">
        <v>3417</v>
      </c>
      <c r="P3420">
        <v>41061934</v>
      </c>
    </row>
    <row r="3421" spans="1:16">
      <c r="A3421" t="s">
        <v>168</v>
      </c>
      <c r="B3421">
        <v>2</v>
      </c>
      <c r="E3421" t="s">
        <v>3411</v>
      </c>
      <c r="F3421" t="s">
        <v>3412</v>
      </c>
      <c r="G3421" t="s">
        <v>3413</v>
      </c>
      <c r="I3421" t="s">
        <v>3338</v>
      </c>
      <c r="J3421" t="s">
        <v>2232</v>
      </c>
      <c r="K3421" t="s">
        <v>2233</v>
      </c>
      <c r="L3421" t="s">
        <v>3342</v>
      </c>
      <c r="N3421" t="s">
        <v>3418</v>
      </c>
      <c r="O3421" t="s">
        <v>3419</v>
      </c>
      <c r="P3421">
        <v>41061934</v>
      </c>
    </row>
    <row r="3422" spans="1:16">
      <c r="A3422" t="s">
        <v>168</v>
      </c>
      <c r="B3422">
        <v>2</v>
      </c>
      <c r="E3422" t="s">
        <v>3411</v>
      </c>
      <c r="F3422" t="s">
        <v>3412</v>
      </c>
      <c r="G3422" t="s">
        <v>3413</v>
      </c>
      <c r="I3422" t="s">
        <v>3338</v>
      </c>
      <c r="L3422" t="s">
        <v>3342</v>
      </c>
      <c r="N3422" t="s">
        <v>3420</v>
      </c>
      <c r="O3422" t="s">
        <v>3421</v>
      </c>
      <c r="P3422">
        <v>41061934</v>
      </c>
    </row>
    <row r="3423" spans="1:16">
      <c r="A3423" t="s">
        <v>168</v>
      </c>
      <c r="B3423">
        <v>2</v>
      </c>
      <c r="E3423" t="s">
        <v>3411</v>
      </c>
      <c r="F3423" t="s">
        <v>3412</v>
      </c>
      <c r="G3423" t="s">
        <v>3413</v>
      </c>
      <c r="I3423" t="s">
        <v>3338</v>
      </c>
      <c r="J3423" t="s">
        <v>2232</v>
      </c>
      <c r="K3423" t="s">
        <v>2233</v>
      </c>
      <c r="L3423" t="s">
        <v>3342</v>
      </c>
      <c r="N3423" t="s">
        <v>3422</v>
      </c>
      <c r="O3423" t="s">
        <v>3423</v>
      </c>
      <c r="P3423">
        <v>41061934</v>
      </c>
    </row>
    <row r="3424" spans="1:16">
      <c r="A3424" t="s">
        <v>168</v>
      </c>
      <c r="B3424">
        <v>0</v>
      </c>
      <c r="G3424" t="s">
        <v>3338</v>
      </c>
      <c r="I3424" t="s">
        <v>3338</v>
      </c>
      <c r="N3424" t="s">
        <v>3424</v>
      </c>
      <c r="O3424" t="s">
        <v>3425</v>
      </c>
      <c r="P3424">
        <v>41061934</v>
      </c>
    </row>
    <row r="3425" spans="1:16">
      <c r="A3425" t="s">
        <v>168</v>
      </c>
      <c r="B3425">
        <v>1</v>
      </c>
      <c r="E3425" t="s">
        <v>3424</v>
      </c>
      <c r="F3425" t="s">
        <v>3425</v>
      </c>
      <c r="G3425" t="s">
        <v>3426</v>
      </c>
      <c r="I3425" t="s">
        <v>3338</v>
      </c>
      <c r="J3425" t="s">
        <v>2421</v>
      </c>
      <c r="K3425" t="s">
        <v>3354</v>
      </c>
      <c r="L3425" t="s">
        <v>3369</v>
      </c>
      <c r="N3425" t="s">
        <v>3427</v>
      </c>
      <c r="O3425" t="s">
        <v>3428</v>
      </c>
      <c r="P3425">
        <v>41061934</v>
      </c>
    </row>
    <row r="3426" spans="1:16">
      <c r="A3426" t="s">
        <v>168</v>
      </c>
      <c r="B3426">
        <v>1</v>
      </c>
      <c r="E3426" t="s">
        <v>3424</v>
      </c>
      <c r="F3426" t="s">
        <v>3425</v>
      </c>
      <c r="G3426" t="s">
        <v>3426</v>
      </c>
      <c r="I3426" t="s">
        <v>3338</v>
      </c>
      <c r="J3426" t="s">
        <v>2421</v>
      </c>
      <c r="K3426" t="s">
        <v>3354</v>
      </c>
      <c r="L3426" t="s">
        <v>3369</v>
      </c>
      <c r="N3426" t="s">
        <v>3429</v>
      </c>
      <c r="O3426" t="s">
        <v>3430</v>
      </c>
      <c r="P3426">
        <v>41061934</v>
      </c>
    </row>
    <row r="3427" spans="1:16">
      <c r="A3427" t="s">
        <v>168</v>
      </c>
      <c r="B3427">
        <v>1</v>
      </c>
      <c r="E3427" t="s">
        <v>3424</v>
      </c>
      <c r="F3427" t="s">
        <v>3425</v>
      </c>
      <c r="G3427" t="s">
        <v>3426</v>
      </c>
      <c r="I3427" t="s">
        <v>3338</v>
      </c>
      <c r="J3427" t="s">
        <v>2232</v>
      </c>
      <c r="K3427" t="s">
        <v>2233</v>
      </c>
      <c r="L3427" t="s">
        <v>3342</v>
      </c>
      <c r="N3427" t="s">
        <v>3431</v>
      </c>
      <c r="O3427" t="s">
        <v>3432</v>
      </c>
      <c r="P3427">
        <v>41061934</v>
      </c>
    </row>
    <row r="3428" spans="1:16">
      <c r="A3428" t="s">
        <v>168</v>
      </c>
      <c r="B3428">
        <v>0</v>
      </c>
      <c r="G3428" t="s">
        <v>3338</v>
      </c>
      <c r="I3428" t="s">
        <v>3338</v>
      </c>
      <c r="N3428" t="s">
        <v>3433</v>
      </c>
      <c r="O3428" t="s">
        <v>3434</v>
      </c>
      <c r="P3428">
        <v>41061934</v>
      </c>
    </row>
    <row r="3429" spans="1:16">
      <c r="A3429" t="s">
        <v>168</v>
      </c>
      <c r="B3429">
        <v>1</v>
      </c>
      <c r="E3429" t="s">
        <v>3433</v>
      </c>
      <c r="F3429" t="s">
        <v>3434</v>
      </c>
      <c r="G3429" t="s">
        <v>3435</v>
      </c>
      <c r="I3429" t="s">
        <v>3338</v>
      </c>
      <c r="J3429" t="s">
        <v>2232</v>
      </c>
      <c r="K3429" t="s">
        <v>2233</v>
      </c>
      <c r="L3429" t="s">
        <v>3342</v>
      </c>
      <c r="N3429" t="s">
        <v>3436</v>
      </c>
      <c r="O3429" t="s">
        <v>3437</v>
      </c>
      <c r="P3429">
        <v>41061934</v>
      </c>
    </row>
    <row r="3430" spans="1:16">
      <c r="A3430" t="s">
        <v>168</v>
      </c>
      <c r="B3430">
        <v>1</v>
      </c>
      <c r="E3430" t="s">
        <v>3433</v>
      </c>
      <c r="F3430" t="s">
        <v>3434</v>
      </c>
      <c r="G3430" t="s">
        <v>3435</v>
      </c>
      <c r="I3430" t="s">
        <v>3338</v>
      </c>
      <c r="J3430" t="s">
        <v>2232</v>
      </c>
      <c r="K3430" t="s">
        <v>2233</v>
      </c>
      <c r="L3430" t="s">
        <v>3342</v>
      </c>
      <c r="N3430" t="s">
        <v>3438</v>
      </c>
      <c r="O3430" t="s">
        <v>3439</v>
      </c>
      <c r="P3430">
        <v>41061934</v>
      </c>
    </row>
    <row r="3431" spans="1:16">
      <c r="A3431" t="s">
        <v>168</v>
      </c>
      <c r="B3431">
        <v>1</v>
      </c>
      <c r="E3431" t="s">
        <v>3433</v>
      </c>
      <c r="F3431" t="s">
        <v>3434</v>
      </c>
      <c r="G3431" t="s">
        <v>3435</v>
      </c>
      <c r="I3431" t="s">
        <v>3338</v>
      </c>
      <c r="J3431" t="s">
        <v>2232</v>
      </c>
      <c r="K3431" t="s">
        <v>2233</v>
      </c>
      <c r="L3431" t="s">
        <v>3342</v>
      </c>
      <c r="N3431" t="s">
        <v>3440</v>
      </c>
      <c r="O3431" t="s">
        <v>3441</v>
      </c>
      <c r="P3431">
        <v>41061934</v>
      </c>
    </row>
    <row r="3432" spans="1:16">
      <c r="A3432" t="s">
        <v>168</v>
      </c>
      <c r="B3432">
        <v>1</v>
      </c>
      <c r="E3432" t="s">
        <v>3433</v>
      </c>
      <c r="F3432" t="s">
        <v>3434</v>
      </c>
      <c r="G3432" t="s">
        <v>3435</v>
      </c>
      <c r="I3432" t="s">
        <v>3338</v>
      </c>
      <c r="J3432" t="s">
        <v>2232</v>
      </c>
      <c r="K3432" t="s">
        <v>2233</v>
      </c>
      <c r="L3432" t="s">
        <v>3342</v>
      </c>
      <c r="N3432" t="s">
        <v>3442</v>
      </c>
      <c r="O3432" t="s">
        <v>3443</v>
      </c>
      <c r="P3432">
        <v>41061934</v>
      </c>
    </row>
    <row r="3433" spans="1:16">
      <c r="A3433" t="s">
        <v>168</v>
      </c>
      <c r="B3433">
        <v>1</v>
      </c>
      <c r="E3433" t="s">
        <v>3433</v>
      </c>
      <c r="F3433" t="s">
        <v>3434</v>
      </c>
      <c r="G3433" t="s">
        <v>3435</v>
      </c>
      <c r="I3433" t="s">
        <v>3338</v>
      </c>
      <c r="J3433" t="s">
        <v>2232</v>
      </c>
      <c r="K3433" t="s">
        <v>2233</v>
      </c>
      <c r="L3433" t="s">
        <v>3342</v>
      </c>
      <c r="N3433" t="s">
        <v>3444</v>
      </c>
      <c r="O3433" t="s">
        <v>3445</v>
      </c>
      <c r="P3433">
        <v>41061934</v>
      </c>
    </row>
    <row r="3434" spans="1:16">
      <c r="A3434" t="s">
        <v>168</v>
      </c>
      <c r="B3434">
        <v>1</v>
      </c>
      <c r="E3434" t="s">
        <v>3433</v>
      </c>
      <c r="F3434" t="s">
        <v>3434</v>
      </c>
      <c r="G3434" t="s">
        <v>3435</v>
      </c>
      <c r="I3434" t="s">
        <v>3338</v>
      </c>
      <c r="J3434" t="s">
        <v>2232</v>
      </c>
      <c r="K3434" t="s">
        <v>2233</v>
      </c>
      <c r="L3434" t="s">
        <v>3342</v>
      </c>
      <c r="N3434" t="s">
        <v>3446</v>
      </c>
      <c r="O3434" t="s">
        <v>3447</v>
      </c>
      <c r="P3434">
        <v>41061934</v>
      </c>
    </row>
    <row r="3435" spans="1:16">
      <c r="A3435" t="s">
        <v>168</v>
      </c>
      <c r="B3435">
        <v>0</v>
      </c>
      <c r="G3435" t="s">
        <v>3338</v>
      </c>
      <c r="I3435" t="s">
        <v>3338</v>
      </c>
      <c r="N3435" t="s">
        <v>3448</v>
      </c>
      <c r="O3435" t="s">
        <v>3449</v>
      </c>
      <c r="P3435">
        <v>41061934</v>
      </c>
    </row>
    <row r="3436" spans="1:16">
      <c r="A3436" t="s">
        <v>168</v>
      </c>
      <c r="B3436">
        <v>1</v>
      </c>
      <c r="E3436" t="s">
        <v>3448</v>
      </c>
      <c r="F3436" t="s">
        <v>3449</v>
      </c>
      <c r="G3436" t="s">
        <v>3450</v>
      </c>
      <c r="I3436" t="s">
        <v>3338</v>
      </c>
      <c r="J3436" t="s">
        <v>2421</v>
      </c>
      <c r="K3436" t="s">
        <v>3354</v>
      </c>
      <c r="L3436" t="s">
        <v>3451</v>
      </c>
      <c r="N3436" t="s">
        <v>3452</v>
      </c>
      <c r="O3436" t="s">
        <v>3453</v>
      </c>
      <c r="P3436">
        <v>41061934</v>
      </c>
    </row>
    <row r="3437" spans="1:16">
      <c r="A3437" t="s">
        <v>168</v>
      </c>
      <c r="B3437">
        <v>0</v>
      </c>
      <c r="G3437" t="s">
        <v>3456</v>
      </c>
      <c r="I3437" t="s">
        <v>3456</v>
      </c>
      <c r="M3437" t="s">
        <v>3463</v>
      </c>
      <c r="N3437" t="s">
        <v>3461</v>
      </c>
      <c r="O3437" t="s">
        <v>3462</v>
      </c>
      <c r="P3437">
        <v>41061934</v>
      </c>
    </row>
    <row r="3438" spans="1:16">
      <c r="A3438" t="s">
        <v>168</v>
      </c>
      <c r="B3438">
        <v>0</v>
      </c>
      <c r="G3438" t="s">
        <v>3456</v>
      </c>
      <c r="I3438" t="s">
        <v>3456</v>
      </c>
      <c r="M3438" t="s">
        <v>3463</v>
      </c>
      <c r="N3438" t="s">
        <v>3464</v>
      </c>
      <c r="O3438" t="s">
        <v>3465</v>
      </c>
      <c r="P3438">
        <v>41061934</v>
      </c>
    </row>
    <row r="3439" spans="1:16">
      <c r="A3439" t="s">
        <v>168</v>
      </c>
      <c r="B3439">
        <v>0</v>
      </c>
      <c r="G3439" t="s">
        <v>3456</v>
      </c>
      <c r="I3439" t="s">
        <v>3456</v>
      </c>
      <c r="M3439" t="s">
        <v>3463</v>
      </c>
      <c r="N3439" t="s">
        <v>3487</v>
      </c>
      <c r="O3439" t="s">
        <v>3488</v>
      </c>
      <c r="P3439">
        <v>41061934</v>
      </c>
    </row>
  </sheetData>
  <phoneticPr fontId="3"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E140"/>
  <sheetViews>
    <sheetView workbookViewId="0">
      <pane ySplit="4" topLeftCell="A39" activePane="bottomLeft" state="frozen"/>
      <selection pane="bottomLeft" activeCell="B2" sqref="B2"/>
    </sheetView>
  </sheetViews>
  <sheetFormatPr baseColWidth="10" defaultColWidth="8.83203125" defaultRowHeight="17"/>
  <cols>
    <col min="1" max="1" width="10" customWidth="1"/>
    <col min="2" max="2" width="54" customWidth="1"/>
    <col min="3" max="3" width="29" customWidth="1"/>
    <col min="4" max="4" width="10" customWidth="1"/>
    <col min="5" max="5" width="11" customWidth="1"/>
  </cols>
  <sheetData>
    <row r="2" spans="1:5">
      <c r="A2" t="s">
        <v>3680</v>
      </c>
      <c r="B2" t="s">
        <v>3679</v>
      </c>
    </row>
    <row r="4" spans="1:5" ht="18">
      <c r="A4" s="1" t="s">
        <v>0</v>
      </c>
      <c r="B4" s="1" t="s">
        <v>3328</v>
      </c>
      <c r="C4" s="1" t="s">
        <v>3504</v>
      </c>
      <c r="D4" s="1" t="s">
        <v>3505</v>
      </c>
      <c r="E4" s="1" t="s">
        <v>3337</v>
      </c>
    </row>
    <row r="5" spans="1:5">
      <c r="A5" t="s">
        <v>1</v>
      </c>
      <c r="B5" t="s">
        <v>3506</v>
      </c>
      <c r="C5" t="s">
        <v>3507</v>
      </c>
      <c r="D5" t="s">
        <v>3508</v>
      </c>
      <c r="E5">
        <v>41356587</v>
      </c>
    </row>
    <row r="6" spans="1:5">
      <c r="A6" t="s">
        <v>1</v>
      </c>
      <c r="B6" t="s">
        <v>3509</v>
      </c>
      <c r="C6" t="s">
        <v>3510</v>
      </c>
      <c r="D6" t="s">
        <v>3511</v>
      </c>
      <c r="E6">
        <v>41356587</v>
      </c>
    </row>
    <row r="7" spans="1:5">
      <c r="A7" t="s">
        <v>1</v>
      </c>
      <c r="B7" t="s">
        <v>3512</v>
      </c>
      <c r="C7" t="s">
        <v>3513</v>
      </c>
      <c r="D7" t="s">
        <v>3514</v>
      </c>
      <c r="E7">
        <v>41356587</v>
      </c>
    </row>
    <row r="8" spans="1:5">
      <c r="A8" t="s">
        <v>1</v>
      </c>
      <c r="B8" t="s">
        <v>3515</v>
      </c>
      <c r="C8" t="s">
        <v>3516</v>
      </c>
      <c r="D8" t="s">
        <v>3517</v>
      </c>
      <c r="E8">
        <v>41356587</v>
      </c>
    </row>
    <row r="9" spans="1:5">
      <c r="A9" t="s">
        <v>3</v>
      </c>
      <c r="B9" t="s">
        <v>3518</v>
      </c>
      <c r="C9" t="s">
        <v>3507</v>
      </c>
      <c r="D9" t="s">
        <v>3508</v>
      </c>
      <c r="E9">
        <v>41353573</v>
      </c>
    </row>
    <row r="10" spans="1:5">
      <c r="A10" t="s">
        <v>3</v>
      </c>
      <c r="B10" t="s">
        <v>3519</v>
      </c>
      <c r="C10" t="s">
        <v>3510</v>
      </c>
      <c r="D10" t="s">
        <v>3511</v>
      </c>
      <c r="E10">
        <v>41353573</v>
      </c>
    </row>
    <row r="11" spans="1:5">
      <c r="A11" t="s">
        <v>3</v>
      </c>
      <c r="B11" t="s">
        <v>3520</v>
      </c>
      <c r="C11" t="s">
        <v>3513</v>
      </c>
      <c r="D11" t="s">
        <v>3514</v>
      </c>
      <c r="E11">
        <v>41353573</v>
      </c>
    </row>
    <row r="12" spans="1:5">
      <c r="A12" t="s">
        <v>3</v>
      </c>
      <c r="B12" t="s">
        <v>3521</v>
      </c>
      <c r="C12" t="s">
        <v>3516</v>
      </c>
      <c r="D12" t="s">
        <v>3517</v>
      </c>
      <c r="E12">
        <v>41353573</v>
      </c>
    </row>
    <row r="13" spans="1:5">
      <c r="A13" t="s">
        <v>4</v>
      </c>
      <c r="B13" t="s">
        <v>3522</v>
      </c>
      <c r="C13" t="s">
        <v>3507</v>
      </c>
      <c r="D13" t="s">
        <v>3508</v>
      </c>
      <c r="E13">
        <v>41403456</v>
      </c>
    </row>
    <row r="14" spans="1:5">
      <c r="A14" t="s">
        <v>4</v>
      </c>
      <c r="B14" t="s">
        <v>3523</v>
      </c>
      <c r="C14" t="s">
        <v>3510</v>
      </c>
      <c r="D14" t="s">
        <v>3511</v>
      </c>
      <c r="E14">
        <v>41403456</v>
      </c>
    </row>
    <row r="15" spans="1:5">
      <c r="A15" t="s">
        <v>4</v>
      </c>
      <c r="B15" t="s">
        <v>3678</v>
      </c>
      <c r="C15" t="s">
        <v>3513</v>
      </c>
      <c r="D15" t="s">
        <v>3514</v>
      </c>
      <c r="E15">
        <v>41403456</v>
      </c>
    </row>
    <row r="16" spans="1:5">
      <c r="A16" t="s">
        <v>4</v>
      </c>
      <c r="B16" t="s">
        <v>3524</v>
      </c>
      <c r="C16" t="s">
        <v>3516</v>
      </c>
      <c r="D16" t="s">
        <v>3517</v>
      </c>
      <c r="E16">
        <v>41403456</v>
      </c>
    </row>
    <row r="17" spans="1:5">
      <c r="A17" t="s">
        <v>5</v>
      </c>
      <c r="B17" t="s">
        <v>3525</v>
      </c>
      <c r="C17" t="s">
        <v>3507</v>
      </c>
      <c r="D17" t="s">
        <v>3508</v>
      </c>
      <c r="E17">
        <v>41390361</v>
      </c>
    </row>
    <row r="18" spans="1:5">
      <c r="A18" t="s">
        <v>5</v>
      </c>
      <c r="B18" t="s">
        <v>3526</v>
      </c>
      <c r="C18" t="s">
        <v>3510</v>
      </c>
      <c r="D18" t="s">
        <v>3511</v>
      </c>
      <c r="E18">
        <v>41390361</v>
      </c>
    </row>
    <row r="19" spans="1:5">
      <c r="A19" t="s">
        <v>5</v>
      </c>
      <c r="B19" t="s">
        <v>3527</v>
      </c>
      <c r="C19" t="s">
        <v>3513</v>
      </c>
      <c r="D19" t="s">
        <v>3514</v>
      </c>
      <c r="E19">
        <v>41390361</v>
      </c>
    </row>
    <row r="20" spans="1:5">
      <c r="A20" t="s">
        <v>5</v>
      </c>
      <c r="B20" t="s">
        <v>3528</v>
      </c>
      <c r="C20" t="s">
        <v>3516</v>
      </c>
      <c r="D20" t="s">
        <v>3517</v>
      </c>
      <c r="E20">
        <v>41390361</v>
      </c>
    </row>
    <row r="21" spans="1:5">
      <c r="A21" t="s">
        <v>6</v>
      </c>
      <c r="B21" t="s">
        <v>3529</v>
      </c>
      <c r="C21" t="s">
        <v>3507</v>
      </c>
      <c r="D21" t="s">
        <v>3508</v>
      </c>
      <c r="E21">
        <v>41403526</v>
      </c>
    </row>
    <row r="22" spans="1:5">
      <c r="A22" t="s">
        <v>6</v>
      </c>
      <c r="B22" t="s">
        <v>3530</v>
      </c>
      <c r="C22" t="s">
        <v>3510</v>
      </c>
      <c r="D22" t="s">
        <v>3511</v>
      </c>
      <c r="E22">
        <v>41403526</v>
      </c>
    </row>
    <row r="23" spans="1:5">
      <c r="A23" t="s">
        <v>6</v>
      </c>
      <c r="B23" t="s">
        <v>3531</v>
      </c>
      <c r="C23" t="s">
        <v>3513</v>
      </c>
      <c r="D23" t="s">
        <v>3514</v>
      </c>
      <c r="E23">
        <v>41403526</v>
      </c>
    </row>
    <row r="24" spans="1:5">
      <c r="A24" t="s">
        <v>6</v>
      </c>
      <c r="B24" t="s">
        <v>3532</v>
      </c>
      <c r="C24" t="s">
        <v>3516</v>
      </c>
      <c r="D24" t="s">
        <v>3517</v>
      </c>
      <c r="E24">
        <v>41403526</v>
      </c>
    </row>
    <row r="25" spans="1:5">
      <c r="A25" t="s">
        <v>7</v>
      </c>
      <c r="B25" t="s">
        <v>3533</v>
      </c>
      <c r="C25" t="s">
        <v>3507</v>
      </c>
      <c r="D25" t="s">
        <v>3508</v>
      </c>
      <c r="E25">
        <v>40279299</v>
      </c>
    </row>
    <row r="26" spans="1:5">
      <c r="A26" t="s">
        <v>7</v>
      </c>
      <c r="B26" t="s">
        <v>3534</v>
      </c>
      <c r="C26" t="s">
        <v>3510</v>
      </c>
      <c r="D26" t="s">
        <v>3511</v>
      </c>
      <c r="E26">
        <v>40279299</v>
      </c>
    </row>
    <row r="27" spans="1:5">
      <c r="A27" t="s">
        <v>7</v>
      </c>
      <c r="B27" t="s">
        <v>3535</v>
      </c>
      <c r="C27" t="s">
        <v>3513</v>
      </c>
      <c r="D27" t="s">
        <v>3514</v>
      </c>
      <c r="E27">
        <v>40279299</v>
      </c>
    </row>
    <row r="28" spans="1:5">
      <c r="A28" t="s">
        <v>7</v>
      </c>
      <c r="B28" t="s">
        <v>3536</v>
      </c>
      <c r="C28" t="s">
        <v>3516</v>
      </c>
      <c r="D28" t="s">
        <v>3517</v>
      </c>
      <c r="E28">
        <v>40279299</v>
      </c>
    </row>
    <row r="29" spans="1:5">
      <c r="A29" t="s">
        <v>8</v>
      </c>
      <c r="B29" t="s">
        <v>3537</v>
      </c>
      <c r="C29" t="s">
        <v>3507</v>
      </c>
      <c r="D29" t="s">
        <v>3508</v>
      </c>
      <c r="E29">
        <v>41017047</v>
      </c>
    </row>
    <row r="30" spans="1:5">
      <c r="A30" t="s">
        <v>8</v>
      </c>
      <c r="B30" t="s">
        <v>3538</v>
      </c>
      <c r="C30" t="s">
        <v>3510</v>
      </c>
      <c r="D30" t="s">
        <v>3511</v>
      </c>
      <c r="E30">
        <v>41017047</v>
      </c>
    </row>
    <row r="31" spans="1:5">
      <c r="A31" t="s">
        <v>8</v>
      </c>
      <c r="B31" t="s">
        <v>3539</v>
      </c>
      <c r="C31" t="s">
        <v>3513</v>
      </c>
      <c r="D31" t="s">
        <v>3514</v>
      </c>
      <c r="E31">
        <v>41017047</v>
      </c>
    </row>
    <row r="32" spans="1:5">
      <c r="A32" t="s">
        <v>8</v>
      </c>
      <c r="B32" t="s">
        <v>3540</v>
      </c>
      <c r="C32" t="s">
        <v>3516</v>
      </c>
      <c r="D32" t="s">
        <v>3517</v>
      </c>
      <c r="E32">
        <v>41017047</v>
      </c>
    </row>
    <row r="33" spans="1:5">
      <c r="A33" t="s">
        <v>9</v>
      </c>
      <c r="B33" t="s">
        <v>3541</v>
      </c>
      <c r="C33" t="s">
        <v>3507</v>
      </c>
      <c r="D33" t="s">
        <v>3508</v>
      </c>
      <c r="E33">
        <v>41298024</v>
      </c>
    </row>
    <row r="34" spans="1:5">
      <c r="A34" t="s">
        <v>9</v>
      </c>
      <c r="B34" t="s">
        <v>3542</v>
      </c>
      <c r="C34" t="s">
        <v>3510</v>
      </c>
      <c r="D34" t="s">
        <v>3511</v>
      </c>
      <c r="E34">
        <v>41298024</v>
      </c>
    </row>
    <row r="35" spans="1:5">
      <c r="A35" t="s">
        <v>9</v>
      </c>
      <c r="B35" t="s">
        <v>3543</v>
      </c>
      <c r="C35" t="s">
        <v>3513</v>
      </c>
      <c r="D35" t="s">
        <v>3514</v>
      </c>
      <c r="E35">
        <v>41298024</v>
      </c>
    </row>
    <row r="36" spans="1:5">
      <c r="A36" t="s">
        <v>9</v>
      </c>
      <c r="B36" t="s">
        <v>3544</v>
      </c>
      <c r="C36" t="s">
        <v>3516</v>
      </c>
      <c r="D36" t="s">
        <v>3517</v>
      </c>
      <c r="E36">
        <v>41298024</v>
      </c>
    </row>
    <row r="37" spans="1:5">
      <c r="A37" t="s">
        <v>11</v>
      </c>
      <c r="B37" t="s">
        <v>3545</v>
      </c>
      <c r="C37" t="s">
        <v>3507</v>
      </c>
      <c r="D37" t="s">
        <v>3508</v>
      </c>
      <c r="E37">
        <v>39870119</v>
      </c>
    </row>
    <row r="38" spans="1:5">
      <c r="A38" t="s">
        <v>11</v>
      </c>
      <c r="B38" t="s">
        <v>3546</v>
      </c>
      <c r="C38" t="s">
        <v>3510</v>
      </c>
      <c r="D38" t="s">
        <v>3511</v>
      </c>
      <c r="E38">
        <v>39870119</v>
      </c>
    </row>
    <row r="39" spans="1:5">
      <c r="A39" t="s">
        <v>11</v>
      </c>
      <c r="B39" t="s">
        <v>3547</v>
      </c>
      <c r="C39" t="s">
        <v>3513</v>
      </c>
      <c r="D39" t="s">
        <v>3514</v>
      </c>
      <c r="E39">
        <v>39870119</v>
      </c>
    </row>
    <row r="40" spans="1:5">
      <c r="A40" t="s">
        <v>11</v>
      </c>
      <c r="B40" t="s">
        <v>3548</v>
      </c>
      <c r="C40" t="s">
        <v>3516</v>
      </c>
      <c r="D40" t="s">
        <v>3517</v>
      </c>
      <c r="E40">
        <v>39870119</v>
      </c>
    </row>
    <row r="41" spans="1:5">
      <c r="A41" t="s">
        <v>12</v>
      </c>
      <c r="B41" t="s">
        <v>3549</v>
      </c>
      <c r="C41" t="s">
        <v>3507</v>
      </c>
      <c r="D41" t="s">
        <v>3508</v>
      </c>
      <c r="E41">
        <v>41326098</v>
      </c>
    </row>
    <row r="42" spans="1:5">
      <c r="A42" t="s">
        <v>12</v>
      </c>
      <c r="B42" t="s">
        <v>3550</v>
      </c>
      <c r="C42" t="s">
        <v>3510</v>
      </c>
      <c r="D42" t="s">
        <v>3511</v>
      </c>
      <c r="E42">
        <v>41326098</v>
      </c>
    </row>
    <row r="43" spans="1:5">
      <c r="A43" t="s">
        <v>12</v>
      </c>
      <c r="B43" t="s">
        <v>3551</v>
      </c>
      <c r="C43" t="s">
        <v>3513</v>
      </c>
      <c r="D43" t="s">
        <v>3514</v>
      </c>
      <c r="E43">
        <v>41326098</v>
      </c>
    </row>
    <row r="44" spans="1:5">
      <c r="A44" t="s">
        <v>12</v>
      </c>
      <c r="B44" t="s">
        <v>3552</v>
      </c>
      <c r="C44" t="s">
        <v>3516</v>
      </c>
      <c r="D44" t="s">
        <v>3517</v>
      </c>
      <c r="E44">
        <v>41326098</v>
      </c>
    </row>
    <row r="45" spans="1:5">
      <c r="A45" t="s">
        <v>13</v>
      </c>
      <c r="B45" t="s">
        <v>3553</v>
      </c>
      <c r="C45" t="s">
        <v>3507</v>
      </c>
      <c r="D45" t="s">
        <v>3508</v>
      </c>
      <c r="E45">
        <v>41307028</v>
      </c>
    </row>
    <row r="46" spans="1:5">
      <c r="A46" t="s">
        <v>13</v>
      </c>
      <c r="B46" t="s">
        <v>3554</v>
      </c>
      <c r="C46" t="s">
        <v>3510</v>
      </c>
      <c r="D46" t="s">
        <v>3511</v>
      </c>
      <c r="E46">
        <v>41307028</v>
      </c>
    </row>
    <row r="47" spans="1:5">
      <c r="A47" t="s">
        <v>13</v>
      </c>
      <c r="B47" t="s">
        <v>3555</v>
      </c>
      <c r="C47" t="s">
        <v>3513</v>
      </c>
      <c r="D47" t="s">
        <v>3514</v>
      </c>
      <c r="E47">
        <v>41307028</v>
      </c>
    </row>
    <row r="48" spans="1:5">
      <c r="A48" t="s">
        <v>13</v>
      </c>
      <c r="B48" t="s">
        <v>3556</v>
      </c>
      <c r="C48" t="s">
        <v>3516</v>
      </c>
      <c r="D48" t="s">
        <v>3517</v>
      </c>
      <c r="E48">
        <v>41307028</v>
      </c>
    </row>
    <row r="49" spans="1:5">
      <c r="A49" t="s">
        <v>14</v>
      </c>
      <c r="B49" t="s">
        <v>3557</v>
      </c>
      <c r="C49" t="s">
        <v>3507</v>
      </c>
      <c r="D49" t="s">
        <v>3508</v>
      </c>
      <c r="E49">
        <v>41376170</v>
      </c>
    </row>
    <row r="50" spans="1:5">
      <c r="A50" t="s">
        <v>14</v>
      </c>
      <c r="B50" t="s">
        <v>3558</v>
      </c>
      <c r="C50" t="s">
        <v>3510</v>
      </c>
      <c r="D50" t="s">
        <v>3511</v>
      </c>
      <c r="E50">
        <v>41376170</v>
      </c>
    </row>
    <row r="51" spans="1:5">
      <c r="A51" t="s">
        <v>14</v>
      </c>
      <c r="B51" t="s">
        <v>3559</v>
      </c>
      <c r="C51" t="s">
        <v>3513</v>
      </c>
      <c r="D51" t="s">
        <v>3514</v>
      </c>
      <c r="E51">
        <v>41376170</v>
      </c>
    </row>
    <row r="52" spans="1:5">
      <c r="A52" t="s">
        <v>14</v>
      </c>
      <c r="B52" t="s">
        <v>3560</v>
      </c>
      <c r="C52" t="s">
        <v>3516</v>
      </c>
      <c r="D52" t="s">
        <v>3517</v>
      </c>
      <c r="E52">
        <v>41376170</v>
      </c>
    </row>
    <row r="53" spans="1:5">
      <c r="A53" t="s">
        <v>15</v>
      </c>
      <c r="B53" t="s">
        <v>3561</v>
      </c>
      <c r="C53" t="s">
        <v>3507</v>
      </c>
      <c r="D53" t="s">
        <v>3508</v>
      </c>
      <c r="E53">
        <v>41381376</v>
      </c>
    </row>
    <row r="54" spans="1:5">
      <c r="A54" t="s">
        <v>15</v>
      </c>
      <c r="B54" t="s">
        <v>3562</v>
      </c>
      <c r="C54" t="s">
        <v>3510</v>
      </c>
      <c r="D54" t="s">
        <v>3511</v>
      </c>
      <c r="E54">
        <v>41381376</v>
      </c>
    </row>
    <row r="55" spans="1:5">
      <c r="A55" t="s">
        <v>15</v>
      </c>
      <c r="B55" t="s">
        <v>3563</v>
      </c>
      <c r="C55" t="s">
        <v>3513</v>
      </c>
      <c r="D55" t="s">
        <v>3514</v>
      </c>
      <c r="E55">
        <v>41381376</v>
      </c>
    </row>
    <row r="56" spans="1:5">
      <c r="A56" t="s">
        <v>15</v>
      </c>
      <c r="B56" t="s">
        <v>3564</v>
      </c>
      <c r="C56" t="s">
        <v>3516</v>
      </c>
      <c r="D56" t="s">
        <v>3517</v>
      </c>
      <c r="E56">
        <v>41381376</v>
      </c>
    </row>
    <row r="57" spans="1:5">
      <c r="A57" t="s">
        <v>16</v>
      </c>
      <c r="B57" t="s">
        <v>3565</v>
      </c>
      <c r="C57" t="s">
        <v>3507</v>
      </c>
      <c r="D57" t="s">
        <v>3508</v>
      </c>
      <c r="E57">
        <v>41383463</v>
      </c>
    </row>
    <row r="58" spans="1:5">
      <c r="A58" t="s">
        <v>16</v>
      </c>
      <c r="B58" t="s">
        <v>3566</v>
      </c>
      <c r="C58" t="s">
        <v>3510</v>
      </c>
      <c r="D58" t="s">
        <v>3511</v>
      </c>
      <c r="E58">
        <v>41383463</v>
      </c>
    </row>
    <row r="59" spans="1:5">
      <c r="A59" t="s">
        <v>16</v>
      </c>
      <c r="B59" t="s">
        <v>3567</v>
      </c>
      <c r="C59" t="s">
        <v>3513</v>
      </c>
      <c r="D59" t="s">
        <v>3514</v>
      </c>
      <c r="E59">
        <v>41383463</v>
      </c>
    </row>
    <row r="60" spans="1:5">
      <c r="A60" t="s">
        <v>16</v>
      </c>
      <c r="B60" t="s">
        <v>3568</v>
      </c>
      <c r="C60" t="s">
        <v>3516</v>
      </c>
      <c r="D60" t="s">
        <v>3517</v>
      </c>
      <c r="E60">
        <v>41383463</v>
      </c>
    </row>
    <row r="61" spans="1:5">
      <c r="A61" t="s">
        <v>17</v>
      </c>
      <c r="B61" t="s">
        <v>3569</v>
      </c>
      <c r="C61" t="s">
        <v>3507</v>
      </c>
      <c r="D61" t="s">
        <v>3508</v>
      </c>
      <c r="E61">
        <v>41395915</v>
      </c>
    </row>
    <row r="62" spans="1:5">
      <c r="A62" t="s">
        <v>17</v>
      </c>
      <c r="B62" t="s">
        <v>3570</v>
      </c>
      <c r="C62" t="s">
        <v>3510</v>
      </c>
      <c r="D62" t="s">
        <v>3511</v>
      </c>
      <c r="E62">
        <v>41395915</v>
      </c>
    </row>
    <row r="63" spans="1:5">
      <c r="A63" t="s">
        <v>17</v>
      </c>
      <c r="B63" t="s">
        <v>3571</v>
      </c>
      <c r="C63" t="s">
        <v>3513</v>
      </c>
      <c r="D63" t="s">
        <v>3514</v>
      </c>
      <c r="E63">
        <v>41395915</v>
      </c>
    </row>
    <row r="64" spans="1:5">
      <c r="A64" t="s">
        <v>17</v>
      </c>
      <c r="B64" t="s">
        <v>3572</v>
      </c>
      <c r="C64" t="s">
        <v>3516</v>
      </c>
      <c r="D64" t="s">
        <v>3517</v>
      </c>
      <c r="E64">
        <v>41395915</v>
      </c>
    </row>
    <row r="65" spans="1:5">
      <c r="A65" t="s">
        <v>18</v>
      </c>
      <c r="B65" t="s">
        <v>3573</v>
      </c>
      <c r="C65" t="s">
        <v>3507</v>
      </c>
      <c r="D65" t="s">
        <v>3508</v>
      </c>
      <c r="E65">
        <v>41309179</v>
      </c>
    </row>
    <row r="66" spans="1:5">
      <c r="A66" t="s">
        <v>18</v>
      </c>
      <c r="B66" t="s">
        <v>3574</v>
      </c>
      <c r="C66" t="s">
        <v>3510</v>
      </c>
      <c r="D66" t="s">
        <v>3511</v>
      </c>
      <c r="E66">
        <v>41309179</v>
      </c>
    </row>
    <row r="67" spans="1:5">
      <c r="A67" t="s">
        <v>18</v>
      </c>
      <c r="B67" t="s">
        <v>3575</v>
      </c>
      <c r="C67" t="s">
        <v>3513</v>
      </c>
      <c r="D67" t="s">
        <v>3514</v>
      </c>
      <c r="E67">
        <v>41309179</v>
      </c>
    </row>
    <row r="68" spans="1:5">
      <c r="A68" t="s">
        <v>18</v>
      </c>
      <c r="B68" t="s">
        <v>3576</v>
      </c>
      <c r="C68" t="s">
        <v>3516</v>
      </c>
      <c r="D68" t="s">
        <v>3517</v>
      </c>
      <c r="E68">
        <v>41309179</v>
      </c>
    </row>
    <row r="69" spans="1:5">
      <c r="A69" t="s">
        <v>18</v>
      </c>
      <c r="B69" t="s">
        <v>3577</v>
      </c>
      <c r="C69" t="s">
        <v>3578</v>
      </c>
      <c r="D69" t="s">
        <v>3579</v>
      </c>
      <c r="E69">
        <v>41309179</v>
      </c>
    </row>
    <row r="70" spans="1:5">
      <c r="A70" t="s">
        <v>20</v>
      </c>
      <c r="B70" t="s">
        <v>3580</v>
      </c>
      <c r="C70" t="s">
        <v>3507</v>
      </c>
      <c r="D70" t="s">
        <v>3508</v>
      </c>
      <c r="E70">
        <v>40740292</v>
      </c>
    </row>
    <row r="71" spans="1:5">
      <c r="A71" t="s">
        <v>20</v>
      </c>
      <c r="B71" t="s">
        <v>3581</v>
      </c>
      <c r="C71" t="s">
        <v>3510</v>
      </c>
      <c r="D71" t="s">
        <v>3511</v>
      </c>
      <c r="E71">
        <v>40740292</v>
      </c>
    </row>
    <row r="72" spans="1:5">
      <c r="A72" t="s">
        <v>20</v>
      </c>
      <c r="B72" t="s">
        <v>3582</v>
      </c>
      <c r="C72" t="s">
        <v>3513</v>
      </c>
      <c r="D72" t="s">
        <v>3514</v>
      </c>
      <c r="E72">
        <v>40740292</v>
      </c>
    </row>
    <row r="73" spans="1:5">
      <c r="A73" t="s">
        <v>20</v>
      </c>
      <c r="B73" t="s">
        <v>3583</v>
      </c>
      <c r="C73" t="s">
        <v>3516</v>
      </c>
      <c r="D73" t="s">
        <v>3517</v>
      </c>
      <c r="E73">
        <v>40740292</v>
      </c>
    </row>
    <row r="74" spans="1:5">
      <c r="A74" t="s">
        <v>20</v>
      </c>
      <c r="B74" t="s">
        <v>3584</v>
      </c>
      <c r="C74" t="s">
        <v>3578</v>
      </c>
      <c r="D74" t="s">
        <v>3579</v>
      </c>
      <c r="E74">
        <v>40740292</v>
      </c>
    </row>
    <row r="75" spans="1:5">
      <c r="A75" t="s">
        <v>25</v>
      </c>
      <c r="B75" t="s">
        <v>3585</v>
      </c>
      <c r="C75" t="s">
        <v>3507</v>
      </c>
      <c r="D75" t="s">
        <v>3508</v>
      </c>
      <c r="E75">
        <v>41085806</v>
      </c>
    </row>
    <row r="76" spans="1:5">
      <c r="A76" t="s">
        <v>26</v>
      </c>
      <c r="B76" t="s">
        <v>3586</v>
      </c>
      <c r="C76" t="s">
        <v>3507</v>
      </c>
      <c r="D76" t="s">
        <v>3508</v>
      </c>
      <c r="E76">
        <v>40151520</v>
      </c>
    </row>
    <row r="77" spans="1:5">
      <c r="A77" t="s">
        <v>27</v>
      </c>
      <c r="B77" t="s">
        <v>3587</v>
      </c>
      <c r="C77" t="s">
        <v>3507</v>
      </c>
      <c r="D77" t="s">
        <v>3508</v>
      </c>
      <c r="E77">
        <v>38557627</v>
      </c>
    </row>
    <row r="78" spans="1:5">
      <c r="A78" t="s">
        <v>28</v>
      </c>
      <c r="B78" t="s">
        <v>3588</v>
      </c>
      <c r="C78" t="s">
        <v>3507</v>
      </c>
      <c r="D78" t="s">
        <v>3508</v>
      </c>
      <c r="E78">
        <v>41218565</v>
      </c>
    </row>
    <row r="79" spans="1:5">
      <c r="A79" t="s">
        <v>28</v>
      </c>
      <c r="B79" t="s">
        <v>3589</v>
      </c>
      <c r="C79" t="s">
        <v>3510</v>
      </c>
      <c r="D79" t="s">
        <v>3511</v>
      </c>
      <c r="E79">
        <v>41218565</v>
      </c>
    </row>
    <row r="80" spans="1:5">
      <c r="A80" t="s">
        <v>29</v>
      </c>
      <c r="B80" t="s">
        <v>3590</v>
      </c>
      <c r="C80" t="s">
        <v>3507</v>
      </c>
      <c r="D80" t="s">
        <v>3508</v>
      </c>
      <c r="E80">
        <v>40055487</v>
      </c>
    </row>
    <row r="81" spans="1:5">
      <c r="A81" t="s">
        <v>29</v>
      </c>
      <c r="B81" t="s">
        <v>3591</v>
      </c>
      <c r="C81" t="s">
        <v>3510</v>
      </c>
      <c r="D81" t="s">
        <v>3511</v>
      </c>
      <c r="E81">
        <v>40055487</v>
      </c>
    </row>
    <row r="82" spans="1:5">
      <c r="A82" t="s">
        <v>30</v>
      </c>
      <c r="B82" t="s">
        <v>3592</v>
      </c>
      <c r="C82" t="s">
        <v>3507</v>
      </c>
      <c r="D82" t="s">
        <v>3508</v>
      </c>
      <c r="E82">
        <v>39345655</v>
      </c>
    </row>
    <row r="83" spans="1:5">
      <c r="A83" t="s">
        <v>31</v>
      </c>
      <c r="B83" t="s">
        <v>3593</v>
      </c>
      <c r="C83" t="s">
        <v>3594</v>
      </c>
      <c r="D83" t="s">
        <v>3595</v>
      </c>
      <c r="E83">
        <v>40952759</v>
      </c>
    </row>
    <row r="84" spans="1:5">
      <c r="A84" t="s">
        <v>31</v>
      </c>
      <c r="B84" t="s">
        <v>3596</v>
      </c>
      <c r="C84" t="s">
        <v>3597</v>
      </c>
      <c r="D84" t="s">
        <v>3598</v>
      </c>
      <c r="E84">
        <v>40952759</v>
      </c>
    </row>
    <row r="85" spans="1:5">
      <c r="A85" t="s">
        <v>33</v>
      </c>
      <c r="B85" t="s">
        <v>3599</v>
      </c>
      <c r="C85" t="s">
        <v>3594</v>
      </c>
      <c r="D85" t="s">
        <v>3595</v>
      </c>
      <c r="E85">
        <v>41370416</v>
      </c>
    </row>
    <row r="86" spans="1:5">
      <c r="A86" t="s">
        <v>33</v>
      </c>
      <c r="B86" t="s">
        <v>3600</v>
      </c>
      <c r="C86" t="s">
        <v>3597</v>
      </c>
      <c r="D86" t="s">
        <v>3598</v>
      </c>
      <c r="E86">
        <v>41370416</v>
      </c>
    </row>
    <row r="87" spans="1:5">
      <c r="A87" t="s">
        <v>43</v>
      </c>
      <c r="B87" t="s">
        <v>3601</v>
      </c>
      <c r="C87" t="s">
        <v>3594</v>
      </c>
      <c r="D87" t="s">
        <v>3595</v>
      </c>
      <c r="E87">
        <v>41369527</v>
      </c>
    </row>
    <row r="88" spans="1:5">
      <c r="A88" t="s">
        <v>43</v>
      </c>
      <c r="B88" t="s">
        <v>3602</v>
      </c>
      <c r="C88" t="s">
        <v>3597</v>
      </c>
      <c r="D88" t="s">
        <v>3598</v>
      </c>
      <c r="E88">
        <v>41369527</v>
      </c>
    </row>
    <row r="89" spans="1:5">
      <c r="A89" t="s">
        <v>51</v>
      </c>
      <c r="B89" t="s">
        <v>3603</v>
      </c>
      <c r="C89" t="s">
        <v>3594</v>
      </c>
      <c r="D89" t="s">
        <v>3595</v>
      </c>
      <c r="E89">
        <v>41313544</v>
      </c>
    </row>
    <row r="90" spans="1:5">
      <c r="A90" t="s">
        <v>51</v>
      </c>
      <c r="B90" t="s">
        <v>3604</v>
      </c>
      <c r="C90" t="s">
        <v>3597</v>
      </c>
      <c r="D90" t="s">
        <v>3598</v>
      </c>
      <c r="E90">
        <v>41313544</v>
      </c>
    </row>
    <row r="91" spans="1:5">
      <c r="A91" t="s">
        <v>59</v>
      </c>
      <c r="B91" t="s">
        <v>3605</v>
      </c>
      <c r="C91" t="s">
        <v>3594</v>
      </c>
      <c r="D91" t="s">
        <v>3595</v>
      </c>
      <c r="E91">
        <v>39193215</v>
      </c>
    </row>
    <row r="92" spans="1:5">
      <c r="A92" t="s">
        <v>59</v>
      </c>
      <c r="B92" t="s">
        <v>3606</v>
      </c>
      <c r="C92" t="s">
        <v>3597</v>
      </c>
      <c r="D92" t="s">
        <v>3598</v>
      </c>
      <c r="E92">
        <v>39193215</v>
      </c>
    </row>
    <row r="93" spans="1:5">
      <c r="A93" t="s">
        <v>67</v>
      </c>
      <c r="B93" t="s">
        <v>3607</v>
      </c>
      <c r="C93" t="s">
        <v>3594</v>
      </c>
      <c r="D93" t="s">
        <v>3595</v>
      </c>
      <c r="E93">
        <v>41194026</v>
      </c>
    </row>
    <row r="94" spans="1:5">
      <c r="A94" t="s">
        <v>67</v>
      </c>
      <c r="B94" t="s">
        <v>3608</v>
      </c>
      <c r="C94" t="s">
        <v>3597</v>
      </c>
      <c r="D94" t="s">
        <v>3598</v>
      </c>
      <c r="E94">
        <v>41194026</v>
      </c>
    </row>
    <row r="95" spans="1:5">
      <c r="A95" t="s">
        <v>69</v>
      </c>
      <c r="B95" t="s">
        <v>3609</v>
      </c>
      <c r="C95" t="s">
        <v>3594</v>
      </c>
      <c r="D95" t="s">
        <v>3595</v>
      </c>
      <c r="E95">
        <v>41274924</v>
      </c>
    </row>
    <row r="96" spans="1:5">
      <c r="A96" t="s">
        <v>69</v>
      </c>
      <c r="B96" t="s">
        <v>3610</v>
      </c>
      <c r="C96" t="s">
        <v>3597</v>
      </c>
      <c r="D96" t="s">
        <v>3598</v>
      </c>
      <c r="E96">
        <v>41274924</v>
      </c>
    </row>
    <row r="97" spans="1:5">
      <c r="A97" t="s">
        <v>73</v>
      </c>
      <c r="B97" t="s">
        <v>3611</v>
      </c>
      <c r="C97" t="s">
        <v>3594</v>
      </c>
      <c r="D97" t="s">
        <v>3595</v>
      </c>
      <c r="E97">
        <v>41259286</v>
      </c>
    </row>
    <row r="98" spans="1:5">
      <c r="A98" t="s">
        <v>73</v>
      </c>
      <c r="B98" t="s">
        <v>3612</v>
      </c>
      <c r="C98" t="s">
        <v>3597</v>
      </c>
      <c r="D98" t="s">
        <v>3598</v>
      </c>
      <c r="E98">
        <v>41259286</v>
      </c>
    </row>
    <row r="99" spans="1:5">
      <c r="A99" t="s">
        <v>75</v>
      </c>
      <c r="B99" t="s">
        <v>3613</v>
      </c>
      <c r="C99" t="s">
        <v>3507</v>
      </c>
      <c r="D99" t="s">
        <v>3508</v>
      </c>
      <c r="E99">
        <v>41254301</v>
      </c>
    </row>
    <row r="100" spans="1:5">
      <c r="A100" t="s">
        <v>75</v>
      </c>
      <c r="B100" t="s">
        <v>3614</v>
      </c>
      <c r="C100" t="s">
        <v>3510</v>
      </c>
      <c r="D100" t="s">
        <v>3511</v>
      </c>
      <c r="E100">
        <v>41254301</v>
      </c>
    </row>
    <row r="101" spans="1:5">
      <c r="A101" t="s">
        <v>84</v>
      </c>
      <c r="B101" t="s">
        <v>3615</v>
      </c>
      <c r="C101" t="s">
        <v>3594</v>
      </c>
      <c r="D101" t="s">
        <v>3595</v>
      </c>
      <c r="E101">
        <v>41228721</v>
      </c>
    </row>
    <row r="102" spans="1:5">
      <c r="A102" t="s">
        <v>84</v>
      </c>
      <c r="B102" t="s">
        <v>3616</v>
      </c>
      <c r="C102" t="s">
        <v>3597</v>
      </c>
      <c r="D102" t="s">
        <v>3598</v>
      </c>
      <c r="E102">
        <v>41228721</v>
      </c>
    </row>
    <row r="103" spans="1:5">
      <c r="A103" t="s">
        <v>86</v>
      </c>
      <c r="B103" t="s">
        <v>3617</v>
      </c>
      <c r="C103" t="s">
        <v>3594</v>
      </c>
      <c r="D103" t="s">
        <v>3595</v>
      </c>
      <c r="E103">
        <v>41222823</v>
      </c>
    </row>
    <row r="104" spans="1:5">
      <c r="A104" t="s">
        <v>86</v>
      </c>
      <c r="B104" t="s">
        <v>3618</v>
      </c>
      <c r="C104" t="s">
        <v>3597</v>
      </c>
      <c r="D104" t="s">
        <v>3598</v>
      </c>
      <c r="E104">
        <v>41222823</v>
      </c>
    </row>
    <row r="105" spans="1:5">
      <c r="A105" t="s">
        <v>91</v>
      </c>
      <c r="B105" t="s">
        <v>3619</v>
      </c>
      <c r="C105" t="s">
        <v>3594</v>
      </c>
      <c r="D105" t="s">
        <v>3595</v>
      </c>
      <c r="E105">
        <v>41189810</v>
      </c>
    </row>
    <row r="106" spans="1:5">
      <c r="A106" t="s">
        <v>91</v>
      </c>
      <c r="B106" t="s">
        <v>3620</v>
      </c>
      <c r="C106" t="s">
        <v>3597</v>
      </c>
      <c r="D106" t="s">
        <v>3598</v>
      </c>
      <c r="E106">
        <v>41189810</v>
      </c>
    </row>
    <row r="107" spans="1:5">
      <c r="A107" t="s">
        <v>95</v>
      </c>
      <c r="B107" t="s">
        <v>3621</v>
      </c>
      <c r="C107" t="s">
        <v>3594</v>
      </c>
      <c r="D107" t="s">
        <v>3595</v>
      </c>
      <c r="E107">
        <v>41179282</v>
      </c>
    </row>
    <row r="108" spans="1:5">
      <c r="A108" t="s">
        <v>95</v>
      </c>
      <c r="B108" t="s">
        <v>3622</v>
      </c>
      <c r="C108" t="s">
        <v>3597</v>
      </c>
      <c r="D108" t="s">
        <v>3598</v>
      </c>
      <c r="E108">
        <v>41179282</v>
      </c>
    </row>
    <row r="109" spans="1:5">
      <c r="A109" t="s">
        <v>97</v>
      </c>
      <c r="B109" t="s">
        <v>3623</v>
      </c>
      <c r="C109" t="s">
        <v>3594</v>
      </c>
      <c r="D109" t="s">
        <v>3595</v>
      </c>
      <c r="E109">
        <v>41161416</v>
      </c>
    </row>
    <row r="110" spans="1:5">
      <c r="A110" t="s">
        <v>97</v>
      </c>
      <c r="B110" t="s">
        <v>3624</v>
      </c>
      <c r="C110" t="s">
        <v>3597</v>
      </c>
      <c r="D110" t="s">
        <v>3598</v>
      </c>
      <c r="E110">
        <v>41161416</v>
      </c>
    </row>
    <row r="111" spans="1:5">
      <c r="A111" t="s">
        <v>100</v>
      </c>
      <c r="B111" t="s">
        <v>3625</v>
      </c>
      <c r="C111" t="s">
        <v>3594</v>
      </c>
      <c r="D111" t="s">
        <v>3595</v>
      </c>
      <c r="E111">
        <v>41149660</v>
      </c>
    </row>
    <row r="112" spans="1:5">
      <c r="A112" t="s">
        <v>100</v>
      </c>
      <c r="B112" t="s">
        <v>3626</v>
      </c>
      <c r="C112" t="s">
        <v>3597</v>
      </c>
      <c r="D112" t="s">
        <v>3598</v>
      </c>
      <c r="E112">
        <v>41149660</v>
      </c>
    </row>
    <row r="113" spans="1:5">
      <c r="A113" t="s">
        <v>102</v>
      </c>
      <c r="B113" t="s">
        <v>3627</v>
      </c>
      <c r="C113" t="s">
        <v>3507</v>
      </c>
      <c r="D113" t="s">
        <v>3508</v>
      </c>
      <c r="E113">
        <v>41148444</v>
      </c>
    </row>
    <row r="114" spans="1:5">
      <c r="A114" t="s">
        <v>102</v>
      </c>
      <c r="B114" t="s">
        <v>3628</v>
      </c>
      <c r="C114" t="s">
        <v>3510</v>
      </c>
      <c r="D114" t="s">
        <v>3511</v>
      </c>
      <c r="E114">
        <v>41148444</v>
      </c>
    </row>
    <row r="115" spans="1:5">
      <c r="A115" t="s">
        <v>102</v>
      </c>
      <c r="B115" t="s">
        <v>3629</v>
      </c>
      <c r="C115" t="s">
        <v>3513</v>
      </c>
      <c r="D115" t="s">
        <v>3514</v>
      </c>
      <c r="E115">
        <v>41148444</v>
      </c>
    </row>
    <row r="116" spans="1:5">
      <c r="A116" t="s">
        <v>102</v>
      </c>
      <c r="B116" t="s">
        <v>3630</v>
      </c>
      <c r="C116" t="s">
        <v>3516</v>
      </c>
      <c r="D116" t="s">
        <v>3517</v>
      </c>
      <c r="E116">
        <v>41148444</v>
      </c>
    </row>
    <row r="117" spans="1:5">
      <c r="A117" t="s">
        <v>119</v>
      </c>
      <c r="B117" t="s">
        <v>3631</v>
      </c>
      <c r="C117" t="s">
        <v>3594</v>
      </c>
      <c r="D117" t="s">
        <v>3595</v>
      </c>
      <c r="E117">
        <v>40943677</v>
      </c>
    </row>
    <row r="118" spans="1:5">
      <c r="A118" t="s">
        <v>119</v>
      </c>
      <c r="B118" t="s">
        <v>3632</v>
      </c>
      <c r="C118" t="s">
        <v>3597</v>
      </c>
      <c r="D118" t="s">
        <v>3598</v>
      </c>
      <c r="E118">
        <v>40943677</v>
      </c>
    </row>
    <row r="119" spans="1:5">
      <c r="A119" t="s">
        <v>121</v>
      </c>
      <c r="B119" t="s">
        <v>3633</v>
      </c>
      <c r="C119" t="s">
        <v>3594</v>
      </c>
      <c r="D119" t="s">
        <v>3595</v>
      </c>
      <c r="E119">
        <v>40951140</v>
      </c>
    </row>
    <row r="120" spans="1:5">
      <c r="A120" t="s">
        <v>121</v>
      </c>
      <c r="B120" t="s">
        <v>3634</v>
      </c>
      <c r="C120" t="s">
        <v>3597</v>
      </c>
      <c r="D120" t="s">
        <v>3598</v>
      </c>
      <c r="E120">
        <v>40951140</v>
      </c>
    </row>
    <row r="121" spans="1:5">
      <c r="A121" t="s">
        <v>123</v>
      </c>
      <c r="B121" t="s">
        <v>3635</v>
      </c>
      <c r="C121" t="s">
        <v>3594</v>
      </c>
      <c r="D121" t="s">
        <v>3595</v>
      </c>
      <c r="E121">
        <v>41289569</v>
      </c>
    </row>
    <row r="122" spans="1:5">
      <c r="A122" t="s">
        <v>123</v>
      </c>
      <c r="B122" t="s">
        <v>3636</v>
      </c>
      <c r="C122" t="s">
        <v>3597</v>
      </c>
      <c r="D122" t="s">
        <v>3598</v>
      </c>
      <c r="E122">
        <v>41289569</v>
      </c>
    </row>
    <row r="123" spans="1:5">
      <c r="A123" t="s">
        <v>127</v>
      </c>
      <c r="B123" t="s">
        <v>3637</v>
      </c>
      <c r="C123" t="s">
        <v>3507</v>
      </c>
      <c r="D123" t="s">
        <v>3508</v>
      </c>
      <c r="E123">
        <v>41295732</v>
      </c>
    </row>
    <row r="124" spans="1:5">
      <c r="A124" t="s">
        <v>127</v>
      </c>
      <c r="B124" t="s">
        <v>3638</v>
      </c>
      <c r="C124" t="s">
        <v>3510</v>
      </c>
      <c r="D124" t="s">
        <v>3511</v>
      </c>
      <c r="E124">
        <v>41295732</v>
      </c>
    </row>
    <row r="125" spans="1:5">
      <c r="A125" t="s">
        <v>129</v>
      </c>
      <c r="B125" t="s">
        <v>3639</v>
      </c>
      <c r="C125" t="s">
        <v>3594</v>
      </c>
      <c r="D125" t="s">
        <v>3595</v>
      </c>
      <c r="E125">
        <v>41285870</v>
      </c>
    </row>
    <row r="126" spans="1:5">
      <c r="A126" t="s">
        <v>129</v>
      </c>
      <c r="B126" t="s">
        <v>3640</v>
      </c>
      <c r="C126" t="s">
        <v>3597</v>
      </c>
      <c r="D126" t="s">
        <v>3598</v>
      </c>
      <c r="E126">
        <v>41285870</v>
      </c>
    </row>
    <row r="127" spans="1:5">
      <c r="A127" t="s">
        <v>131</v>
      </c>
      <c r="B127" t="s">
        <v>3641</v>
      </c>
      <c r="C127" t="s">
        <v>3594</v>
      </c>
      <c r="D127" t="s">
        <v>3595</v>
      </c>
      <c r="E127">
        <v>41279771</v>
      </c>
    </row>
    <row r="128" spans="1:5">
      <c r="A128" t="s">
        <v>131</v>
      </c>
      <c r="B128" t="s">
        <v>3642</v>
      </c>
      <c r="C128" t="s">
        <v>3597</v>
      </c>
      <c r="D128" t="s">
        <v>3598</v>
      </c>
      <c r="E128">
        <v>41279771</v>
      </c>
    </row>
    <row r="129" spans="1:5">
      <c r="A129" t="s">
        <v>135</v>
      </c>
      <c r="B129" t="s">
        <v>3643</v>
      </c>
      <c r="C129" t="s">
        <v>3594</v>
      </c>
      <c r="D129" t="s">
        <v>3595</v>
      </c>
      <c r="E129">
        <v>40648835</v>
      </c>
    </row>
    <row r="130" spans="1:5">
      <c r="A130" t="s">
        <v>135</v>
      </c>
      <c r="B130" t="s">
        <v>3644</v>
      </c>
      <c r="C130" t="s">
        <v>3597</v>
      </c>
      <c r="D130" t="s">
        <v>3598</v>
      </c>
      <c r="E130">
        <v>40648835</v>
      </c>
    </row>
    <row r="131" spans="1:5">
      <c r="A131" t="s">
        <v>137</v>
      </c>
      <c r="B131" t="s">
        <v>3645</v>
      </c>
      <c r="C131" t="s">
        <v>3594</v>
      </c>
      <c r="D131" t="s">
        <v>3595</v>
      </c>
      <c r="E131">
        <v>40681023</v>
      </c>
    </row>
    <row r="132" spans="1:5">
      <c r="A132" t="s">
        <v>137</v>
      </c>
      <c r="B132" t="s">
        <v>3646</v>
      </c>
      <c r="C132" t="s">
        <v>3597</v>
      </c>
      <c r="D132" t="s">
        <v>3598</v>
      </c>
      <c r="E132">
        <v>40681023</v>
      </c>
    </row>
    <row r="133" spans="1:5">
      <c r="A133" t="s">
        <v>145</v>
      </c>
      <c r="B133" t="s">
        <v>3647</v>
      </c>
      <c r="C133" t="s">
        <v>3507</v>
      </c>
      <c r="D133" t="s">
        <v>3508</v>
      </c>
      <c r="E133">
        <v>40006270</v>
      </c>
    </row>
    <row r="134" spans="1:5">
      <c r="A134" t="s">
        <v>145</v>
      </c>
      <c r="B134" t="s">
        <v>3648</v>
      </c>
      <c r="C134" t="s">
        <v>3510</v>
      </c>
      <c r="D134" t="s">
        <v>3511</v>
      </c>
      <c r="E134">
        <v>40006270</v>
      </c>
    </row>
    <row r="135" spans="1:5">
      <c r="A135" t="s">
        <v>145</v>
      </c>
      <c r="B135" t="s">
        <v>3649</v>
      </c>
      <c r="C135" t="s">
        <v>3513</v>
      </c>
      <c r="D135" t="s">
        <v>3514</v>
      </c>
      <c r="E135">
        <v>40006270</v>
      </c>
    </row>
    <row r="136" spans="1:5">
      <c r="A136" t="s">
        <v>145</v>
      </c>
      <c r="B136" t="s">
        <v>3650</v>
      </c>
      <c r="C136" t="s">
        <v>3516</v>
      </c>
      <c r="D136" t="s">
        <v>3517</v>
      </c>
      <c r="E136">
        <v>40006270</v>
      </c>
    </row>
    <row r="137" spans="1:5">
      <c r="A137" t="s">
        <v>147</v>
      </c>
      <c r="B137" t="s">
        <v>3651</v>
      </c>
      <c r="C137" t="s">
        <v>3594</v>
      </c>
      <c r="D137" t="s">
        <v>3595</v>
      </c>
      <c r="E137">
        <v>40730683</v>
      </c>
    </row>
    <row r="138" spans="1:5">
      <c r="A138" t="s">
        <v>147</v>
      </c>
      <c r="B138" t="s">
        <v>3652</v>
      </c>
      <c r="C138" t="s">
        <v>3597</v>
      </c>
      <c r="D138" t="s">
        <v>3598</v>
      </c>
      <c r="E138">
        <v>40730683</v>
      </c>
    </row>
    <row r="139" spans="1:5">
      <c r="A139" t="s">
        <v>166</v>
      </c>
      <c r="B139" t="s">
        <v>3653</v>
      </c>
      <c r="C139" t="s">
        <v>3594</v>
      </c>
      <c r="D139" t="s">
        <v>3595</v>
      </c>
      <c r="E139">
        <v>41091081</v>
      </c>
    </row>
    <row r="140" spans="1:5">
      <c r="A140" t="s">
        <v>166</v>
      </c>
      <c r="B140" t="s">
        <v>3654</v>
      </c>
      <c r="C140" t="s">
        <v>3597</v>
      </c>
      <c r="D140" t="s">
        <v>3598</v>
      </c>
      <c r="E140">
        <v>41091081</v>
      </c>
    </row>
  </sheetData>
  <phoneticPr fontId="3"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91"/>
  <sheetViews>
    <sheetView workbookViewId="0">
      <pane ySplit="1" topLeftCell="A2" activePane="bottomLeft" state="frozen"/>
      <selection pane="bottomLeft" activeCell="F328" sqref="F328"/>
    </sheetView>
  </sheetViews>
  <sheetFormatPr baseColWidth="10" defaultColWidth="8.83203125" defaultRowHeight="17"/>
  <cols>
    <col min="1" max="3" width="10" customWidth="1"/>
    <col min="4" max="4" width="14" customWidth="1"/>
    <col min="5" max="5" width="13" customWidth="1"/>
    <col min="6" max="6" width="70" customWidth="1"/>
    <col min="7" max="7" width="13" customWidth="1"/>
    <col min="8" max="8" width="11" customWidth="1"/>
    <col min="9" max="9" width="12" customWidth="1"/>
    <col min="10" max="10" width="11" customWidth="1"/>
  </cols>
  <sheetData>
    <row r="1" spans="1:10" ht="18">
      <c r="A1" s="1" t="s">
        <v>0</v>
      </c>
      <c r="B1" s="1" t="s">
        <v>3323</v>
      </c>
      <c r="C1" s="1" t="s">
        <v>3325</v>
      </c>
      <c r="D1" s="1" t="s">
        <v>3327</v>
      </c>
      <c r="E1" s="1" t="s">
        <v>3328</v>
      </c>
      <c r="F1" s="1" t="s">
        <v>3333</v>
      </c>
      <c r="G1" s="1" t="s">
        <v>3334</v>
      </c>
      <c r="H1" s="1" t="s">
        <v>3335</v>
      </c>
      <c r="I1" s="1" t="s">
        <v>3336</v>
      </c>
      <c r="J1" s="1" t="s">
        <v>3337</v>
      </c>
    </row>
    <row r="2" spans="1:10">
      <c r="A2" t="s">
        <v>21</v>
      </c>
      <c r="B2">
        <v>0</v>
      </c>
      <c r="E2" t="s">
        <v>3655</v>
      </c>
      <c r="I2" t="s">
        <v>3656</v>
      </c>
      <c r="J2">
        <v>41241229</v>
      </c>
    </row>
    <row r="3" spans="1:10">
      <c r="A3" t="s">
        <v>21</v>
      </c>
      <c r="B3">
        <v>1</v>
      </c>
      <c r="D3" t="s">
        <v>3656</v>
      </c>
      <c r="E3" t="s">
        <v>3657</v>
      </c>
      <c r="F3" t="s">
        <v>193</v>
      </c>
      <c r="G3" t="s">
        <v>193</v>
      </c>
      <c r="H3" t="s">
        <v>3658</v>
      </c>
      <c r="I3" t="s">
        <v>3659</v>
      </c>
      <c r="J3">
        <v>41241229</v>
      </c>
    </row>
    <row r="4" spans="1:10">
      <c r="A4" t="s">
        <v>21</v>
      </c>
      <c r="B4">
        <v>1</v>
      </c>
      <c r="D4" t="s">
        <v>3656</v>
      </c>
      <c r="E4" t="s">
        <v>3657</v>
      </c>
      <c r="F4" t="s">
        <v>193</v>
      </c>
      <c r="G4" t="s">
        <v>193</v>
      </c>
      <c r="H4" t="s">
        <v>3660</v>
      </c>
      <c r="I4" t="s">
        <v>3661</v>
      </c>
      <c r="J4">
        <v>41241229</v>
      </c>
    </row>
    <row r="5" spans="1:10">
      <c r="A5" t="s">
        <v>21</v>
      </c>
      <c r="B5">
        <v>1</v>
      </c>
      <c r="D5" t="s">
        <v>3656</v>
      </c>
      <c r="E5" t="s">
        <v>3657</v>
      </c>
      <c r="F5" t="s">
        <v>193</v>
      </c>
      <c r="G5" t="s">
        <v>193</v>
      </c>
      <c r="H5" t="s">
        <v>3662</v>
      </c>
      <c r="I5" t="s">
        <v>3663</v>
      </c>
      <c r="J5">
        <v>41241229</v>
      </c>
    </row>
    <row r="6" spans="1:10">
      <c r="A6" t="s">
        <v>21</v>
      </c>
      <c r="B6">
        <v>1</v>
      </c>
      <c r="D6" t="s">
        <v>3656</v>
      </c>
      <c r="E6" t="s">
        <v>3657</v>
      </c>
      <c r="F6" t="s">
        <v>193</v>
      </c>
      <c r="G6" t="s">
        <v>193</v>
      </c>
      <c r="H6" t="s">
        <v>3664</v>
      </c>
      <c r="I6" t="s">
        <v>3665</v>
      </c>
      <c r="J6">
        <v>41241229</v>
      </c>
    </row>
    <row r="7" spans="1:10">
      <c r="A7" t="s">
        <v>21</v>
      </c>
      <c r="B7">
        <v>1</v>
      </c>
      <c r="D7" t="s">
        <v>3656</v>
      </c>
      <c r="E7" t="s">
        <v>3657</v>
      </c>
      <c r="F7" t="s">
        <v>3666</v>
      </c>
      <c r="G7" t="s">
        <v>193</v>
      </c>
      <c r="H7" t="s">
        <v>3667</v>
      </c>
      <c r="I7" t="s">
        <v>3668</v>
      </c>
      <c r="J7">
        <v>41241229</v>
      </c>
    </row>
    <row r="8" spans="1:10">
      <c r="A8" t="s">
        <v>21</v>
      </c>
      <c r="B8">
        <v>1</v>
      </c>
      <c r="D8" t="s">
        <v>3656</v>
      </c>
      <c r="E8" t="s">
        <v>3657</v>
      </c>
      <c r="F8" t="s">
        <v>3666</v>
      </c>
      <c r="G8" t="s">
        <v>193</v>
      </c>
      <c r="H8" t="s">
        <v>3669</v>
      </c>
      <c r="I8" t="s">
        <v>3670</v>
      </c>
      <c r="J8">
        <v>41241229</v>
      </c>
    </row>
    <row r="9" spans="1:10">
      <c r="A9" t="s">
        <v>21</v>
      </c>
      <c r="B9">
        <v>1</v>
      </c>
      <c r="D9" t="s">
        <v>3656</v>
      </c>
      <c r="E9" t="s">
        <v>3657</v>
      </c>
      <c r="F9" t="s">
        <v>193</v>
      </c>
      <c r="G9" t="s">
        <v>193</v>
      </c>
      <c r="H9" t="s">
        <v>3671</v>
      </c>
      <c r="I9" t="s">
        <v>3672</v>
      </c>
      <c r="J9">
        <v>41241229</v>
      </c>
    </row>
    <row r="10" spans="1:10">
      <c r="A10" t="s">
        <v>21</v>
      </c>
      <c r="B10">
        <v>0</v>
      </c>
      <c r="E10" t="s">
        <v>3655</v>
      </c>
      <c r="I10" t="s">
        <v>3673</v>
      </c>
      <c r="J10">
        <v>41241229</v>
      </c>
    </row>
    <row r="11" spans="1:10">
      <c r="A11" t="s">
        <v>21</v>
      </c>
      <c r="B11">
        <v>1</v>
      </c>
      <c r="D11" t="s">
        <v>3673</v>
      </c>
      <c r="E11" t="s">
        <v>3674</v>
      </c>
      <c r="F11" t="s">
        <v>3675</v>
      </c>
      <c r="G11" t="s">
        <v>193</v>
      </c>
      <c r="H11" t="s">
        <v>3676</v>
      </c>
      <c r="I11" t="s">
        <v>3677</v>
      </c>
      <c r="J11">
        <v>41241229</v>
      </c>
    </row>
    <row r="12" spans="1:10">
      <c r="A12" t="s">
        <v>23</v>
      </c>
      <c r="B12">
        <v>0</v>
      </c>
      <c r="E12" t="s">
        <v>3655</v>
      </c>
      <c r="I12" t="s">
        <v>3656</v>
      </c>
      <c r="J12">
        <v>41285668</v>
      </c>
    </row>
    <row r="13" spans="1:10">
      <c r="A13" t="s">
        <v>23</v>
      </c>
      <c r="B13">
        <v>1</v>
      </c>
      <c r="D13" t="s">
        <v>3656</v>
      </c>
      <c r="E13" t="s">
        <v>3657</v>
      </c>
      <c r="F13" t="s">
        <v>193</v>
      </c>
      <c r="G13" t="s">
        <v>193</v>
      </c>
      <c r="H13" t="s">
        <v>3658</v>
      </c>
      <c r="I13" t="s">
        <v>3659</v>
      </c>
      <c r="J13">
        <v>41285668</v>
      </c>
    </row>
    <row r="14" spans="1:10">
      <c r="A14" t="s">
        <v>23</v>
      </c>
      <c r="B14">
        <v>1</v>
      </c>
      <c r="D14" t="s">
        <v>3656</v>
      </c>
      <c r="E14" t="s">
        <v>3657</v>
      </c>
      <c r="F14" t="s">
        <v>193</v>
      </c>
      <c r="G14" t="s">
        <v>193</v>
      </c>
      <c r="H14" t="s">
        <v>3660</v>
      </c>
      <c r="I14" t="s">
        <v>3661</v>
      </c>
      <c r="J14">
        <v>41285668</v>
      </c>
    </row>
    <row r="15" spans="1:10">
      <c r="A15" t="s">
        <v>23</v>
      </c>
      <c r="B15">
        <v>1</v>
      </c>
      <c r="D15" t="s">
        <v>3656</v>
      </c>
      <c r="E15" t="s">
        <v>3657</v>
      </c>
      <c r="F15" t="s">
        <v>193</v>
      </c>
      <c r="G15" t="s">
        <v>193</v>
      </c>
      <c r="H15" t="s">
        <v>3662</v>
      </c>
      <c r="I15" t="s">
        <v>3663</v>
      </c>
      <c r="J15">
        <v>41285668</v>
      </c>
    </row>
    <row r="16" spans="1:10">
      <c r="A16" t="s">
        <v>23</v>
      </c>
      <c r="B16">
        <v>1</v>
      </c>
      <c r="D16" t="s">
        <v>3656</v>
      </c>
      <c r="E16" t="s">
        <v>3657</v>
      </c>
      <c r="F16" t="s">
        <v>193</v>
      </c>
      <c r="G16" t="s">
        <v>193</v>
      </c>
      <c r="H16" t="s">
        <v>3664</v>
      </c>
      <c r="I16" t="s">
        <v>3665</v>
      </c>
      <c r="J16">
        <v>41285668</v>
      </c>
    </row>
    <row r="17" spans="1:10">
      <c r="A17" t="s">
        <v>23</v>
      </c>
      <c r="B17">
        <v>1</v>
      </c>
      <c r="D17" t="s">
        <v>3656</v>
      </c>
      <c r="E17" t="s">
        <v>3657</v>
      </c>
      <c r="F17" t="s">
        <v>3666</v>
      </c>
      <c r="G17" t="s">
        <v>193</v>
      </c>
      <c r="H17" t="s">
        <v>3667</v>
      </c>
      <c r="I17" t="s">
        <v>3668</v>
      </c>
      <c r="J17">
        <v>41285668</v>
      </c>
    </row>
    <row r="18" spans="1:10">
      <c r="A18" t="s">
        <v>23</v>
      </c>
      <c r="B18">
        <v>1</v>
      </c>
      <c r="D18" t="s">
        <v>3656</v>
      </c>
      <c r="E18" t="s">
        <v>3657</v>
      </c>
      <c r="F18" t="s">
        <v>3666</v>
      </c>
      <c r="G18" t="s">
        <v>193</v>
      </c>
      <c r="H18" t="s">
        <v>3669</v>
      </c>
      <c r="I18" t="s">
        <v>3670</v>
      </c>
      <c r="J18">
        <v>41285668</v>
      </c>
    </row>
    <row r="19" spans="1:10">
      <c r="A19" t="s">
        <v>23</v>
      </c>
      <c r="B19">
        <v>1</v>
      </c>
      <c r="D19" t="s">
        <v>3656</v>
      </c>
      <c r="E19" t="s">
        <v>3657</v>
      </c>
      <c r="F19" t="s">
        <v>193</v>
      </c>
      <c r="G19" t="s">
        <v>193</v>
      </c>
      <c r="H19" t="s">
        <v>3671</v>
      </c>
      <c r="I19" t="s">
        <v>3672</v>
      </c>
      <c r="J19">
        <v>41285668</v>
      </c>
    </row>
    <row r="20" spans="1:10">
      <c r="A20" t="s">
        <v>23</v>
      </c>
      <c r="B20">
        <v>0</v>
      </c>
      <c r="E20" t="s">
        <v>3655</v>
      </c>
      <c r="I20" t="s">
        <v>3673</v>
      </c>
      <c r="J20">
        <v>41285668</v>
      </c>
    </row>
    <row r="21" spans="1:10">
      <c r="A21" t="s">
        <v>23</v>
      </c>
      <c r="B21">
        <v>1</v>
      </c>
      <c r="D21" t="s">
        <v>3673</v>
      </c>
      <c r="E21" t="s">
        <v>3674</v>
      </c>
      <c r="F21" t="s">
        <v>3675</v>
      </c>
      <c r="G21" t="s">
        <v>193</v>
      </c>
      <c r="H21" t="s">
        <v>3676</v>
      </c>
      <c r="I21" t="s">
        <v>3677</v>
      </c>
      <c r="J21">
        <v>41285668</v>
      </c>
    </row>
    <row r="22" spans="1:10">
      <c r="A22" t="s">
        <v>25</v>
      </c>
      <c r="B22">
        <v>0</v>
      </c>
      <c r="E22" t="s">
        <v>3655</v>
      </c>
      <c r="I22" t="s">
        <v>3656</v>
      </c>
      <c r="J22">
        <v>41085806</v>
      </c>
    </row>
    <row r="23" spans="1:10">
      <c r="A23" t="s">
        <v>25</v>
      </c>
      <c r="B23">
        <v>1</v>
      </c>
      <c r="D23" t="s">
        <v>3656</v>
      </c>
      <c r="E23" t="s">
        <v>3657</v>
      </c>
      <c r="F23" t="s">
        <v>193</v>
      </c>
      <c r="G23" t="s">
        <v>193</v>
      </c>
      <c r="H23" t="s">
        <v>3658</v>
      </c>
      <c r="I23" t="s">
        <v>3659</v>
      </c>
      <c r="J23">
        <v>41085806</v>
      </c>
    </row>
    <row r="24" spans="1:10">
      <c r="A24" t="s">
        <v>25</v>
      </c>
      <c r="B24">
        <v>1</v>
      </c>
      <c r="D24" t="s">
        <v>3656</v>
      </c>
      <c r="E24" t="s">
        <v>3657</v>
      </c>
      <c r="F24" t="s">
        <v>193</v>
      </c>
      <c r="G24" t="s">
        <v>193</v>
      </c>
      <c r="H24" t="s">
        <v>3660</v>
      </c>
      <c r="I24" t="s">
        <v>3661</v>
      </c>
      <c r="J24">
        <v>41085806</v>
      </c>
    </row>
    <row r="25" spans="1:10">
      <c r="A25" t="s">
        <v>25</v>
      </c>
      <c r="B25">
        <v>1</v>
      </c>
      <c r="D25" t="s">
        <v>3656</v>
      </c>
      <c r="E25" t="s">
        <v>3657</v>
      </c>
      <c r="F25" t="s">
        <v>193</v>
      </c>
      <c r="G25" t="s">
        <v>193</v>
      </c>
      <c r="H25" t="s">
        <v>3662</v>
      </c>
      <c r="I25" t="s">
        <v>3663</v>
      </c>
      <c r="J25">
        <v>41085806</v>
      </c>
    </row>
    <row r="26" spans="1:10">
      <c r="A26" t="s">
        <v>25</v>
      </c>
      <c r="B26">
        <v>1</v>
      </c>
      <c r="D26" t="s">
        <v>3656</v>
      </c>
      <c r="E26" t="s">
        <v>3657</v>
      </c>
      <c r="F26" t="s">
        <v>193</v>
      </c>
      <c r="G26" t="s">
        <v>193</v>
      </c>
      <c r="H26" t="s">
        <v>3664</v>
      </c>
      <c r="I26" t="s">
        <v>3665</v>
      </c>
      <c r="J26">
        <v>41085806</v>
      </c>
    </row>
    <row r="27" spans="1:10">
      <c r="A27" t="s">
        <v>25</v>
      </c>
      <c r="B27">
        <v>1</v>
      </c>
      <c r="D27" t="s">
        <v>3656</v>
      </c>
      <c r="E27" t="s">
        <v>3657</v>
      </c>
      <c r="F27" t="s">
        <v>3666</v>
      </c>
      <c r="G27" t="s">
        <v>193</v>
      </c>
      <c r="H27" t="s">
        <v>3667</v>
      </c>
      <c r="I27" t="s">
        <v>3668</v>
      </c>
      <c r="J27">
        <v>41085806</v>
      </c>
    </row>
    <row r="28" spans="1:10">
      <c r="A28" t="s">
        <v>25</v>
      </c>
      <c r="B28">
        <v>1</v>
      </c>
      <c r="D28" t="s">
        <v>3656</v>
      </c>
      <c r="E28" t="s">
        <v>3657</v>
      </c>
      <c r="F28" t="s">
        <v>3666</v>
      </c>
      <c r="G28" t="s">
        <v>193</v>
      </c>
      <c r="H28" t="s">
        <v>3669</v>
      </c>
      <c r="I28" t="s">
        <v>3670</v>
      </c>
      <c r="J28">
        <v>41085806</v>
      </c>
    </row>
    <row r="29" spans="1:10">
      <c r="A29" t="s">
        <v>25</v>
      </c>
      <c r="B29">
        <v>1</v>
      </c>
      <c r="D29" t="s">
        <v>3656</v>
      </c>
      <c r="E29" t="s">
        <v>3657</v>
      </c>
      <c r="F29" t="s">
        <v>193</v>
      </c>
      <c r="G29" t="s">
        <v>193</v>
      </c>
      <c r="H29" t="s">
        <v>3671</v>
      </c>
      <c r="I29" t="s">
        <v>3672</v>
      </c>
      <c r="J29">
        <v>41085806</v>
      </c>
    </row>
    <row r="30" spans="1:10">
      <c r="A30" t="s">
        <v>25</v>
      </c>
      <c r="B30">
        <v>0</v>
      </c>
      <c r="E30" t="s">
        <v>3655</v>
      </c>
      <c r="I30" t="s">
        <v>3673</v>
      </c>
      <c r="J30">
        <v>41085806</v>
      </c>
    </row>
    <row r="31" spans="1:10">
      <c r="A31" t="s">
        <v>25</v>
      </c>
      <c r="B31">
        <v>1</v>
      </c>
      <c r="D31" t="s">
        <v>3673</v>
      </c>
      <c r="E31" t="s">
        <v>3674</v>
      </c>
      <c r="F31" t="s">
        <v>3675</v>
      </c>
      <c r="G31" t="s">
        <v>193</v>
      </c>
      <c r="H31" t="s">
        <v>3676</v>
      </c>
      <c r="I31" t="s">
        <v>3677</v>
      </c>
      <c r="J31">
        <v>41085806</v>
      </c>
    </row>
    <row r="32" spans="1:10">
      <c r="A32" t="s">
        <v>26</v>
      </c>
      <c r="B32">
        <v>0</v>
      </c>
      <c r="E32" t="s">
        <v>3655</v>
      </c>
      <c r="I32" t="s">
        <v>3656</v>
      </c>
      <c r="J32">
        <v>40151520</v>
      </c>
    </row>
    <row r="33" spans="1:10">
      <c r="A33" t="s">
        <v>26</v>
      </c>
      <c r="B33">
        <v>1</v>
      </c>
      <c r="D33" t="s">
        <v>3656</v>
      </c>
      <c r="E33" t="s">
        <v>3657</v>
      </c>
      <c r="F33" t="s">
        <v>193</v>
      </c>
      <c r="G33" t="s">
        <v>193</v>
      </c>
      <c r="H33" t="s">
        <v>3658</v>
      </c>
      <c r="I33" t="s">
        <v>3659</v>
      </c>
      <c r="J33">
        <v>40151520</v>
      </c>
    </row>
    <row r="34" spans="1:10">
      <c r="A34" t="s">
        <v>26</v>
      </c>
      <c r="B34">
        <v>1</v>
      </c>
      <c r="D34" t="s">
        <v>3656</v>
      </c>
      <c r="E34" t="s">
        <v>3657</v>
      </c>
      <c r="F34" t="s">
        <v>193</v>
      </c>
      <c r="G34" t="s">
        <v>193</v>
      </c>
      <c r="H34" t="s">
        <v>3660</v>
      </c>
      <c r="I34" t="s">
        <v>3661</v>
      </c>
      <c r="J34">
        <v>40151520</v>
      </c>
    </row>
    <row r="35" spans="1:10">
      <c r="A35" t="s">
        <v>26</v>
      </c>
      <c r="B35">
        <v>1</v>
      </c>
      <c r="D35" t="s">
        <v>3656</v>
      </c>
      <c r="E35" t="s">
        <v>3657</v>
      </c>
      <c r="F35" t="s">
        <v>193</v>
      </c>
      <c r="G35" t="s">
        <v>193</v>
      </c>
      <c r="H35" t="s">
        <v>3662</v>
      </c>
      <c r="I35" t="s">
        <v>3663</v>
      </c>
      <c r="J35">
        <v>40151520</v>
      </c>
    </row>
    <row r="36" spans="1:10">
      <c r="A36" t="s">
        <v>26</v>
      </c>
      <c r="B36">
        <v>1</v>
      </c>
      <c r="D36" t="s">
        <v>3656</v>
      </c>
      <c r="E36" t="s">
        <v>3657</v>
      </c>
      <c r="F36" t="s">
        <v>193</v>
      </c>
      <c r="G36" t="s">
        <v>193</v>
      </c>
      <c r="H36" t="s">
        <v>3664</v>
      </c>
      <c r="I36" t="s">
        <v>3665</v>
      </c>
      <c r="J36">
        <v>40151520</v>
      </c>
    </row>
    <row r="37" spans="1:10">
      <c r="A37" t="s">
        <v>26</v>
      </c>
      <c r="B37">
        <v>1</v>
      </c>
      <c r="D37" t="s">
        <v>3656</v>
      </c>
      <c r="E37" t="s">
        <v>3657</v>
      </c>
      <c r="F37" t="s">
        <v>3666</v>
      </c>
      <c r="G37" t="s">
        <v>193</v>
      </c>
      <c r="H37" t="s">
        <v>3667</v>
      </c>
      <c r="I37" t="s">
        <v>3668</v>
      </c>
      <c r="J37">
        <v>40151520</v>
      </c>
    </row>
    <row r="38" spans="1:10">
      <c r="A38" t="s">
        <v>26</v>
      </c>
      <c r="B38">
        <v>1</v>
      </c>
      <c r="D38" t="s">
        <v>3656</v>
      </c>
      <c r="E38" t="s">
        <v>3657</v>
      </c>
      <c r="F38" t="s">
        <v>3666</v>
      </c>
      <c r="G38" t="s">
        <v>193</v>
      </c>
      <c r="H38" t="s">
        <v>3669</v>
      </c>
      <c r="I38" t="s">
        <v>3670</v>
      </c>
      <c r="J38">
        <v>40151520</v>
      </c>
    </row>
    <row r="39" spans="1:10">
      <c r="A39" t="s">
        <v>26</v>
      </c>
      <c r="B39">
        <v>1</v>
      </c>
      <c r="D39" t="s">
        <v>3656</v>
      </c>
      <c r="E39" t="s">
        <v>3657</v>
      </c>
      <c r="F39" t="s">
        <v>193</v>
      </c>
      <c r="G39" t="s">
        <v>193</v>
      </c>
      <c r="H39" t="s">
        <v>3671</v>
      </c>
      <c r="I39" t="s">
        <v>3672</v>
      </c>
      <c r="J39">
        <v>40151520</v>
      </c>
    </row>
    <row r="40" spans="1:10">
      <c r="A40" t="s">
        <v>26</v>
      </c>
      <c r="B40">
        <v>0</v>
      </c>
      <c r="E40" t="s">
        <v>3655</v>
      </c>
      <c r="I40" t="s">
        <v>3673</v>
      </c>
      <c r="J40">
        <v>40151520</v>
      </c>
    </row>
    <row r="41" spans="1:10">
      <c r="A41" t="s">
        <v>26</v>
      </c>
      <c r="B41">
        <v>1</v>
      </c>
      <c r="D41" t="s">
        <v>3673</v>
      </c>
      <c r="E41" t="s">
        <v>3674</v>
      </c>
      <c r="F41" t="s">
        <v>3675</v>
      </c>
      <c r="G41" t="s">
        <v>193</v>
      </c>
      <c r="H41" t="s">
        <v>3676</v>
      </c>
      <c r="I41" t="s">
        <v>3677</v>
      </c>
      <c r="J41">
        <v>40151520</v>
      </c>
    </row>
    <row r="42" spans="1:10">
      <c r="A42" t="s">
        <v>27</v>
      </c>
      <c r="B42">
        <v>0</v>
      </c>
      <c r="E42" t="s">
        <v>3655</v>
      </c>
      <c r="I42" t="s">
        <v>3656</v>
      </c>
      <c r="J42">
        <v>38557627</v>
      </c>
    </row>
    <row r="43" spans="1:10">
      <c r="A43" t="s">
        <v>27</v>
      </c>
      <c r="B43">
        <v>1</v>
      </c>
      <c r="D43" t="s">
        <v>3656</v>
      </c>
      <c r="E43" t="s">
        <v>3657</v>
      </c>
      <c r="F43" t="s">
        <v>193</v>
      </c>
      <c r="G43" t="s">
        <v>193</v>
      </c>
      <c r="H43" t="s">
        <v>3658</v>
      </c>
      <c r="I43" t="s">
        <v>3659</v>
      </c>
      <c r="J43">
        <v>38557627</v>
      </c>
    </row>
    <row r="44" spans="1:10">
      <c r="A44" t="s">
        <v>27</v>
      </c>
      <c r="B44">
        <v>1</v>
      </c>
      <c r="D44" t="s">
        <v>3656</v>
      </c>
      <c r="E44" t="s">
        <v>3657</v>
      </c>
      <c r="F44" t="s">
        <v>193</v>
      </c>
      <c r="G44" t="s">
        <v>193</v>
      </c>
      <c r="H44" t="s">
        <v>3660</v>
      </c>
      <c r="I44" t="s">
        <v>3661</v>
      </c>
      <c r="J44">
        <v>38557627</v>
      </c>
    </row>
    <row r="45" spans="1:10">
      <c r="A45" t="s">
        <v>27</v>
      </c>
      <c r="B45">
        <v>1</v>
      </c>
      <c r="D45" t="s">
        <v>3656</v>
      </c>
      <c r="E45" t="s">
        <v>3657</v>
      </c>
      <c r="F45" t="s">
        <v>193</v>
      </c>
      <c r="G45" t="s">
        <v>193</v>
      </c>
      <c r="H45" t="s">
        <v>3662</v>
      </c>
      <c r="I45" t="s">
        <v>3663</v>
      </c>
      <c r="J45">
        <v>38557627</v>
      </c>
    </row>
    <row r="46" spans="1:10">
      <c r="A46" t="s">
        <v>27</v>
      </c>
      <c r="B46">
        <v>1</v>
      </c>
      <c r="D46" t="s">
        <v>3656</v>
      </c>
      <c r="E46" t="s">
        <v>3657</v>
      </c>
      <c r="F46" t="s">
        <v>193</v>
      </c>
      <c r="G46" t="s">
        <v>193</v>
      </c>
      <c r="H46" t="s">
        <v>3664</v>
      </c>
      <c r="I46" t="s">
        <v>3665</v>
      </c>
      <c r="J46">
        <v>38557627</v>
      </c>
    </row>
    <row r="47" spans="1:10">
      <c r="A47" t="s">
        <v>27</v>
      </c>
      <c r="B47">
        <v>1</v>
      </c>
      <c r="D47" t="s">
        <v>3656</v>
      </c>
      <c r="E47" t="s">
        <v>3657</v>
      </c>
      <c r="F47" t="s">
        <v>3666</v>
      </c>
      <c r="G47" t="s">
        <v>193</v>
      </c>
      <c r="H47" t="s">
        <v>3667</v>
      </c>
      <c r="I47" t="s">
        <v>3668</v>
      </c>
      <c r="J47">
        <v>38557627</v>
      </c>
    </row>
    <row r="48" spans="1:10">
      <c r="A48" t="s">
        <v>27</v>
      </c>
      <c r="B48">
        <v>1</v>
      </c>
      <c r="D48" t="s">
        <v>3656</v>
      </c>
      <c r="E48" t="s">
        <v>3657</v>
      </c>
      <c r="F48" t="s">
        <v>3666</v>
      </c>
      <c r="G48" t="s">
        <v>193</v>
      </c>
      <c r="H48" t="s">
        <v>3669</v>
      </c>
      <c r="I48" t="s">
        <v>3670</v>
      </c>
      <c r="J48">
        <v>38557627</v>
      </c>
    </row>
    <row r="49" spans="1:10">
      <c r="A49" t="s">
        <v>27</v>
      </c>
      <c r="B49">
        <v>1</v>
      </c>
      <c r="D49" t="s">
        <v>3656</v>
      </c>
      <c r="E49" t="s">
        <v>3657</v>
      </c>
      <c r="F49" t="s">
        <v>193</v>
      </c>
      <c r="G49" t="s">
        <v>193</v>
      </c>
      <c r="H49" t="s">
        <v>3671</v>
      </c>
      <c r="I49" t="s">
        <v>3672</v>
      </c>
      <c r="J49">
        <v>38557627</v>
      </c>
    </row>
    <row r="50" spans="1:10">
      <c r="A50" t="s">
        <v>27</v>
      </c>
      <c r="B50">
        <v>0</v>
      </c>
      <c r="E50" t="s">
        <v>3655</v>
      </c>
      <c r="I50" t="s">
        <v>3673</v>
      </c>
      <c r="J50">
        <v>38557627</v>
      </c>
    </row>
    <row r="51" spans="1:10">
      <c r="A51" t="s">
        <v>27</v>
      </c>
      <c r="B51">
        <v>1</v>
      </c>
      <c r="D51" t="s">
        <v>3673</v>
      </c>
      <c r="E51" t="s">
        <v>3674</v>
      </c>
      <c r="F51" t="s">
        <v>3675</v>
      </c>
      <c r="G51" t="s">
        <v>193</v>
      </c>
      <c r="H51" t="s">
        <v>3676</v>
      </c>
      <c r="I51" t="s">
        <v>3677</v>
      </c>
      <c r="J51">
        <v>38557627</v>
      </c>
    </row>
    <row r="52" spans="1:10">
      <c r="A52" t="s">
        <v>28</v>
      </c>
      <c r="B52">
        <v>0</v>
      </c>
      <c r="E52" t="s">
        <v>3655</v>
      </c>
      <c r="I52" t="s">
        <v>3656</v>
      </c>
      <c r="J52">
        <v>41218565</v>
      </c>
    </row>
    <row r="53" spans="1:10">
      <c r="A53" t="s">
        <v>28</v>
      </c>
      <c r="B53">
        <v>1</v>
      </c>
      <c r="D53" t="s">
        <v>3656</v>
      </c>
      <c r="E53" t="s">
        <v>3657</v>
      </c>
      <c r="F53" t="s">
        <v>193</v>
      </c>
      <c r="G53" t="s">
        <v>193</v>
      </c>
      <c r="H53" t="s">
        <v>3658</v>
      </c>
      <c r="I53" t="s">
        <v>3659</v>
      </c>
      <c r="J53">
        <v>41218565</v>
      </c>
    </row>
    <row r="54" spans="1:10">
      <c r="A54" t="s">
        <v>28</v>
      </c>
      <c r="B54">
        <v>1</v>
      </c>
      <c r="D54" t="s">
        <v>3656</v>
      </c>
      <c r="E54" t="s">
        <v>3657</v>
      </c>
      <c r="F54" t="s">
        <v>193</v>
      </c>
      <c r="G54" t="s">
        <v>193</v>
      </c>
      <c r="H54" t="s">
        <v>3660</v>
      </c>
      <c r="I54" t="s">
        <v>3661</v>
      </c>
      <c r="J54">
        <v>41218565</v>
      </c>
    </row>
    <row r="55" spans="1:10">
      <c r="A55" t="s">
        <v>28</v>
      </c>
      <c r="B55">
        <v>1</v>
      </c>
      <c r="D55" t="s">
        <v>3656</v>
      </c>
      <c r="E55" t="s">
        <v>3657</v>
      </c>
      <c r="F55" t="s">
        <v>193</v>
      </c>
      <c r="G55" t="s">
        <v>193</v>
      </c>
      <c r="H55" t="s">
        <v>3662</v>
      </c>
      <c r="I55" t="s">
        <v>3663</v>
      </c>
      <c r="J55">
        <v>41218565</v>
      </c>
    </row>
    <row r="56" spans="1:10">
      <c r="A56" t="s">
        <v>28</v>
      </c>
      <c r="B56">
        <v>1</v>
      </c>
      <c r="D56" t="s">
        <v>3656</v>
      </c>
      <c r="E56" t="s">
        <v>3657</v>
      </c>
      <c r="F56" t="s">
        <v>193</v>
      </c>
      <c r="G56" t="s">
        <v>193</v>
      </c>
      <c r="H56" t="s">
        <v>3664</v>
      </c>
      <c r="I56" t="s">
        <v>3665</v>
      </c>
      <c r="J56">
        <v>41218565</v>
      </c>
    </row>
    <row r="57" spans="1:10">
      <c r="A57" t="s">
        <v>28</v>
      </c>
      <c r="B57">
        <v>1</v>
      </c>
      <c r="D57" t="s">
        <v>3656</v>
      </c>
      <c r="E57" t="s">
        <v>3657</v>
      </c>
      <c r="F57" t="s">
        <v>3666</v>
      </c>
      <c r="G57" t="s">
        <v>193</v>
      </c>
      <c r="H57" t="s">
        <v>3667</v>
      </c>
      <c r="I57" t="s">
        <v>3668</v>
      </c>
      <c r="J57">
        <v>41218565</v>
      </c>
    </row>
    <row r="58" spans="1:10">
      <c r="A58" t="s">
        <v>28</v>
      </c>
      <c r="B58">
        <v>1</v>
      </c>
      <c r="D58" t="s">
        <v>3656</v>
      </c>
      <c r="E58" t="s">
        <v>3657</v>
      </c>
      <c r="F58" t="s">
        <v>3666</v>
      </c>
      <c r="G58" t="s">
        <v>193</v>
      </c>
      <c r="H58" t="s">
        <v>3669</v>
      </c>
      <c r="I58" t="s">
        <v>3670</v>
      </c>
      <c r="J58">
        <v>41218565</v>
      </c>
    </row>
    <row r="59" spans="1:10">
      <c r="A59" t="s">
        <v>28</v>
      </c>
      <c r="B59">
        <v>1</v>
      </c>
      <c r="D59" t="s">
        <v>3656</v>
      </c>
      <c r="E59" t="s">
        <v>3657</v>
      </c>
      <c r="F59" t="s">
        <v>193</v>
      </c>
      <c r="G59" t="s">
        <v>193</v>
      </c>
      <c r="H59" t="s">
        <v>3671</v>
      </c>
      <c r="I59" t="s">
        <v>3672</v>
      </c>
      <c r="J59">
        <v>41218565</v>
      </c>
    </row>
    <row r="60" spans="1:10">
      <c r="A60" t="s">
        <v>28</v>
      </c>
      <c r="B60">
        <v>0</v>
      </c>
      <c r="E60" t="s">
        <v>3655</v>
      </c>
      <c r="I60" t="s">
        <v>3673</v>
      </c>
      <c r="J60">
        <v>41218565</v>
      </c>
    </row>
    <row r="61" spans="1:10">
      <c r="A61" t="s">
        <v>28</v>
      </c>
      <c r="B61">
        <v>1</v>
      </c>
      <c r="D61" t="s">
        <v>3673</v>
      </c>
      <c r="E61" t="s">
        <v>3674</v>
      </c>
      <c r="F61" t="s">
        <v>3675</v>
      </c>
      <c r="G61" t="s">
        <v>193</v>
      </c>
      <c r="H61" t="s">
        <v>3676</v>
      </c>
      <c r="I61" t="s">
        <v>3677</v>
      </c>
      <c r="J61">
        <v>41218565</v>
      </c>
    </row>
    <row r="62" spans="1:10">
      <c r="A62" t="s">
        <v>29</v>
      </c>
      <c r="B62">
        <v>0</v>
      </c>
      <c r="E62" t="s">
        <v>3655</v>
      </c>
      <c r="I62" t="s">
        <v>3656</v>
      </c>
      <c r="J62">
        <v>40055487</v>
      </c>
    </row>
    <row r="63" spans="1:10">
      <c r="A63" t="s">
        <v>29</v>
      </c>
      <c r="B63">
        <v>1</v>
      </c>
      <c r="D63" t="s">
        <v>3656</v>
      </c>
      <c r="E63" t="s">
        <v>3657</v>
      </c>
      <c r="F63" t="s">
        <v>193</v>
      </c>
      <c r="G63" t="s">
        <v>193</v>
      </c>
      <c r="H63" t="s">
        <v>3658</v>
      </c>
      <c r="I63" t="s">
        <v>3659</v>
      </c>
      <c r="J63">
        <v>40055487</v>
      </c>
    </row>
    <row r="64" spans="1:10">
      <c r="A64" t="s">
        <v>29</v>
      </c>
      <c r="B64">
        <v>1</v>
      </c>
      <c r="D64" t="s">
        <v>3656</v>
      </c>
      <c r="E64" t="s">
        <v>3657</v>
      </c>
      <c r="F64" t="s">
        <v>193</v>
      </c>
      <c r="G64" t="s">
        <v>193</v>
      </c>
      <c r="H64" t="s">
        <v>3660</v>
      </c>
      <c r="I64" t="s">
        <v>3661</v>
      </c>
      <c r="J64">
        <v>40055487</v>
      </c>
    </row>
    <row r="65" spans="1:10">
      <c r="A65" t="s">
        <v>29</v>
      </c>
      <c r="B65">
        <v>1</v>
      </c>
      <c r="D65" t="s">
        <v>3656</v>
      </c>
      <c r="E65" t="s">
        <v>3657</v>
      </c>
      <c r="F65" t="s">
        <v>193</v>
      </c>
      <c r="G65" t="s">
        <v>193</v>
      </c>
      <c r="H65" t="s">
        <v>3662</v>
      </c>
      <c r="I65" t="s">
        <v>3663</v>
      </c>
      <c r="J65">
        <v>40055487</v>
      </c>
    </row>
    <row r="66" spans="1:10">
      <c r="A66" t="s">
        <v>29</v>
      </c>
      <c r="B66">
        <v>1</v>
      </c>
      <c r="D66" t="s">
        <v>3656</v>
      </c>
      <c r="E66" t="s">
        <v>3657</v>
      </c>
      <c r="F66" t="s">
        <v>193</v>
      </c>
      <c r="G66" t="s">
        <v>193</v>
      </c>
      <c r="H66" t="s">
        <v>3664</v>
      </c>
      <c r="I66" t="s">
        <v>3665</v>
      </c>
      <c r="J66">
        <v>40055487</v>
      </c>
    </row>
    <row r="67" spans="1:10">
      <c r="A67" t="s">
        <v>29</v>
      </c>
      <c r="B67">
        <v>1</v>
      </c>
      <c r="D67" t="s">
        <v>3656</v>
      </c>
      <c r="E67" t="s">
        <v>3657</v>
      </c>
      <c r="F67" t="s">
        <v>3666</v>
      </c>
      <c r="G67" t="s">
        <v>193</v>
      </c>
      <c r="H67" t="s">
        <v>3667</v>
      </c>
      <c r="I67" t="s">
        <v>3668</v>
      </c>
      <c r="J67">
        <v>40055487</v>
      </c>
    </row>
    <row r="68" spans="1:10">
      <c r="A68" t="s">
        <v>29</v>
      </c>
      <c r="B68">
        <v>1</v>
      </c>
      <c r="D68" t="s">
        <v>3656</v>
      </c>
      <c r="E68" t="s">
        <v>3657</v>
      </c>
      <c r="F68" t="s">
        <v>3666</v>
      </c>
      <c r="G68" t="s">
        <v>193</v>
      </c>
      <c r="H68" t="s">
        <v>3669</v>
      </c>
      <c r="I68" t="s">
        <v>3670</v>
      </c>
      <c r="J68">
        <v>40055487</v>
      </c>
    </row>
    <row r="69" spans="1:10">
      <c r="A69" t="s">
        <v>29</v>
      </c>
      <c r="B69">
        <v>1</v>
      </c>
      <c r="D69" t="s">
        <v>3656</v>
      </c>
      <c r="E69" t="s">
        <v>3657</v>
      </c>
      <c r="F69" t="s">
        <v>193</v>
      </c>
      <c r="G69" t="s">
        <v>193</v>
      </c>
      <c r="H69" t="s">
        <v>3671</v>
      </c>
      <c r="I69" t="s">
        <v>3672</v>
      </c>
      <c r="J69">
        <v>40055487</v>
      </c>
    </row>
    <row r="70" spans="1:10">
      <c r="A70" t="s">
        <v>29</v>
      </c>
      <c r="B70">
        <v>0</v>
      </c>
      <c r="E70" t="s">
        <v>3655</v>
      </c>
      <c r="I70" t="s">
        <v>3673</v>
      </c>
      <c r="J70">
        <v>40055487</v>
      </c>
    </row>
    <row r="71" spans="1:10">
      <c r="A71" t="s">
        <v>29</v>
      </c>
      <c r="B71">
        <v>1</v>
      </c>
      <c r="D71" t="s">
        <v>3673</v>
      </c>
      <c r="E71" t="s">
        <v>3674</v>
      </c>
      <c r="F71" t="s">
        <v>3675</v>
      </c>
      <c r="G71" t="s">
        <v>193</v>
      </c>
      <c r="H71" t="s">
        <v>3676</v>
      </c>
      <c r="I71" t="s">
        <v>3677</v>
      </c>
      <c r="J71">
        <v>40055487</v>
      </c>
    </row>
    <row r="72" spans="1:10">
      <c r="A72" t="s">
        <v>30</v>
      </c>
      <c r="B72">
        <v>0</v>
      </c>
      <c r="E72" t="s">
        <v>3655</v>
      </c>
      <c r="I72" t="s">
        <v>3656</v>
      </c>
      <c r="J72">
        <v>39345655</v>
      </c>
    </row>
    <row r="73" spans="1:10">
      <c r="A73" t="s">
        <v>30</v>
      </c>
      <c r="B73">
        <v>1</v>
      </c>
      <c r="D73" t="s">
        <v>3656</v>
      </c>
      <c r="E73" t="s">
        <v>3657</v>
      </c>
      <c r="F73" t="s">
        <v>193</v>
      </c>
      <c r="G73" t="s">
        <v>193</v>
      </c>
      <c r="H73" t="s">
        <v>3658</v>
      </c>
      <c r="I73" t="s">
        <v>3659</v>
      </c>
      <c r="J73">
        <v>39345655</v>
      </c>
    </row>
    <row r="74" spans="1:10">
      <c r="A74" t="s">
        <v>30</v>
      </c>
      <c r="B74">
        <v>1</v>
      </c>
      <c r="D74" t="s">
        <v>3656</v>
      </c>
      <c r="E74" t="s">
        <v>3657</v>
      </c>
      <c r="F74" t="s">
        <v>193</v>
      </c>
      <c r="G74" t="s">
        <v>193</v>
      </c>
      <c r="H74" t="s">
        <v>3660</v>
      </c>
      <c r="I74" t="s">
        <v>3661</v>
      </c>
      <c r="J74">
        <v>39345655</v>
      </c>
    </row>
    <row r="75" spans="1:10">
      <c r="A75" t="s">
        <v>30</v>
      </c>
      <c r="B75">
        <v>1</v>
      </c>
      <c r="D75" t="s">
        <v>3656</v>
      </c>
      <c r="E75" t="s">
        <v>3657</v>
      </c>
      <c r="F75" t="s">
        <v>193</v>
      </c>
      <c r="G75" t="s">
        <v>193</v>
      </c>
      <c r="H75" t="s">
        <v>3662</v>
      </c>
      <c r="I75" t="s">
        <v>3663</v>
      </c>
      <c r="J75">
        <v>39345655</v>
      </c>
    </row>
    <row r="76" spans="1:10">
      <c r="A76" t="s">
        <v>30</v>
      </c>
      <c r="B76">
        <v>1</v>
      </c>
      <c r="D76" t="s">
        <v>3656</v>
      </c>
      <c r="E76" t="s">
        <v>3657</v>
      </c>
      <c r="F76" t="s">
        <v>193</v>
      </c>
      <c r="G76" t="s">
        <v>193</v>
      </c>
      <c r="H76" t="s">
        <v>3664</v>
      </c>
      <c r="I76" t="s">
        <v>3665</v>
      </c>
      <c r="J76">
        <v>39345655</v>
      </c>
    </row>
    <row r="77" spans="1:10">
      <c r="A77" t="s">
        <v>30</v>
      </c>
      <c r="B77">
        <v>1</v>
      </c>
      <c r="D77" t="s">
        <v>3656</v>
      </c>
      <c r="E77" t="s">
        <v>3657</v>
      </c>
      <c r="F77" t="s">
        <v>3666</v>
      </c>
      <c r="G77" t="s">
        <v>193</v>
      </c>
      <c r="H77" t="s">
        <v>3667</v>
      </c>
      <c r="I77" t="s">
        <v>3668</v>
      </c>
      <c r="J77">
        <v>39345655</v>
      </c>
    </row>
    <row r="78" spans="1:10">
      <c r="A78" t="s">
        <v>30</v>
      </c>
      <c r="B78">
        <v>1</v>
      </c>
      <c r="D78" t="s">
        <v>3656</v>
      </c>
      <c r="E78" t="s">
        <v>3657</v>
      </c>
      <c r="F78" t="s">
        <v>3666</v>
      </c>
      <c r="G78" t="s">
        <v>193</v>
      </c>
      <c r="H78" t="s">
        <v>3669</v>
      </c>
      <c r="I78" t="s">
        <v>3670</v>
      </c>
      <c r="J78">
        <v>39345655</v>
      </c>
    </row>
    <row r="79" spans="1:10">
      <c r="A79" t="s">
        <v>30</v>
      </c>
      <c r="B79">
        <v>1</v>
      </c>
      <c r="D79" t="s">
        <v>3656</v>
      </c>
      <c r="E79" t="s">
        <v>3657</v>
      </c>
      <c r="F79" t="s">
        <v>193</v>
      </c>
      <c r="G79" t="s">
        <v>193</v>
      </c>
      <c r="H79" t="s">
        <v>3671</v>
      </c>
      <c r="I79" t="s">
        <v>3672</v>
      </c>
      <c r="J79">
        <v>39345655</v>
      </c>
    </row>
    <row r="80" spans="1:10">
      <c r="A80" t="s">
        <v>30</v>
      </c>
      <c r="B80">
        <v>0</v>
      </c>
      <c r="E80" t="s">
        <v>3655</v>
      </c>
      <c r="I80" t="s">
        <v>3673</v>
      </c>
      <c r="J80">
        <v>39345655</v>
      </c>
    </row>
    <row r="81" spans="1:10">
      <c r="A81" t="s">
        <v>30</v>
      </c>
      <c r="B81">
        <v>1</v>
      </c>
      <c r="D81" t="s">
        <v>3673</v>
      </c>
      <c r="E81" t="s">
        <v>3674</v>
      </c>
      <c r="F81" t="s">
        <v>3675</v>
      </c>
      <c r="G81" t="s">
        <v>193</v>
      </c>
      <c r="H81" t="s">
        <v>3676</v>
      </c>
      <c r="I81" t="s">
        <v>3677</v>
      </c>
      <c r="J81">
        <v>39345655</v>
      </c>
    </row>
    <row r="82" spans="1:10">
      <c r="A82" t="s">
        <v>31</v>
      </c>
      <c r="B82">
        <v>0</v>
      </c>
      <c r="E82" t="s">
        <v>3655</v>
      </c>
      <c r="I82" t="s">
        <v>3656</v>
      </c>
      <c r="J82">
        <v>40952759</v>
      </c>
    </row>
    <row r="83" spans="1:10">
      <c r="A83" t="s">
        <v>31</v>
      </c>
      <c r="B83">
        <v>1</v>
      </c>
      <c r="D83" t="s">
        <v>3656</v>
      </c>
      <c r="E83" t="s">
        <v>3657</v>
      </c>
      <c r="F83" t="s">
        <v>193</v>
      </c>
      <c r="G83" t="s">
        <v>193</v>
      </c>
      <c r="H83" t="s">
        <v>3658</v>
      </c>
      <c r="I83" t="s">
        <v>3659</v>
      </c>
      <c r="J83">
        <v>40952759</v>
      </c>
    </row>
    <row r="84" spans="1:10">
      <c r="A84" t="s">
        <v>31</v>
      </c>
      <c r="B84">
        <v>1</v>
      </c>
      <c r="D84" t="s">
        <v>3656</v>
      </c>
      <c r="E84" t="s">
        <v>3657</v>
      </c>
      <c r="F84" t="s">
        <v>193</v>
      </c>
      <c r="G84" t="s">
        <v>193</v>
      </c>
      <c r="H84" t="s">
        <v>3660</v>
      </c>
      <c r="I84" t="s">
        <v>3661</v>
      </c>
      <c r="J84">
        <v>40952759</v>
      </c>
    </row>
    <row r="85" spans="1:10">
      <c r="A85" t="s">
        <v>31</v>
      </c>
      <c r="B85">
        <v>1</v>
      </c>
      <c r="D85" t="s">
        <v>3656</v>
      </c>
      <c r="E85" t="s">
        <v>3657</v>
      </c>
      <c r="F85" t="s">
        <v>193</v>
      </c>
      <c r="G85" t="s">
        <v>193</v>
      </c>
      <c r="H85" t="s">
        <v>3662</v>
      </c>
      <c r="I85" t="s">
        <v>3663</v>
      </c>
      <c r="J85">
        <v>40952759</v>
      </c>
    </row>
    <row r="86" spans="1:10">
      <c r="A86" t="s">
        <v>31</v>
      </c>
      <c r="B86">
        <v>1</v>
      </c>
      <c r="D86" t="s">
        <v>3656</v>
      </c>
      <c r="E86" t="s">
        <v>3657</v>
      </c>
      <c r="F86" t="s">
        <v>193</v>
      </c>
      <c r="G86" t="s">
        <v>193</v>
      </c>
      <c r="H86" t="s">
        <v>3664</v>
      </c>
      <c r="I86" t="s">
        <v>3665</v>
      </c>
      <c r="J86">
        <v>40952759</v>
      </c>
    </row>
    <row r="87" spans="1:10">
      <c r="A87" t="s">
        <v>31</v>
      </c>
      <c r="B87">
        <v>1</v>
      </c>
      <c r="D87" t="s">
        <v>3656</v>
      </c>
      <c r="E87" t="s">
        <v>3657</v>
      </c>
      <c r="F87" t="s">
        <v>3666</v>
      </c>
      <c r="G87" t="s">
        <v>193</v>
      </c>
      <c r="H87" t="s">
        <v>3667</v>
      </c>
      <c r="I87" t="s">
        <v>3668</v>
      </c>
      <c r="J87">
        <v>40952759</v>
      </c>
    </row>
    <row r="88" spans="1:10">
      <c r="A88" t="s">
        <v>31</v>
      </c>
      <c r="B88">
        <v>1</v>
      </c>
      <c r="D88" t="s">
        <v>3656</v>
      </c>
      <c r="E88" t="s">
        <v>3657</v>
      </c>
      <c r="F88" t="s">
        <v>3666</v>
      </c>
      <c r="G88" t="s">
        <v>193</v>
      </c>
      <c r="H88" t="s">
        <v>3669</v>
      </c>
      <c r="I88" t="s">
        <v>3670</v>
      </c>
      <c r="J88">
        <v>40952759</v>
      </c>
    </row>
    <row r="89" spans="1:10">
      <c r="A89" t="s">
        <v>31</v>
      </c>
      <c r="B89">
        <v>1</v>
      </c>
      <c r="D89" t="s">
        <v>3656</v>
      </c>
      <c r="E89" t="s">
        <v>3657</v>
      </c>
      <c r="F89" t="s">
        <v>193</v>
      </c>
      <c r="G89" t="s">
        <v>193</v>
      </c>
      <c r="H89" t="s">
        <v>3671</v>
      </c>
      <c r="I89" t="s">
        <v>3672</v>
      </c>
      <c r="J89">
        <v>40952759</v>
      </c>
    </row>
    <row r="90" spans="1:10">
      <c r="A90" t="s">
        <v>31</v>
      </c>
      <c r="B90">
        <v>0</v>
      </c>
      <c r="E90" t="s">
        <v>3655</v>
      </c>
      <c r="I90" t="s">
        <v>3673</v>
      </c>
      <c r="J90">
        <v>40952759</v>
      </c>
    </row>
    <row r="91" spans="1:10">
      <c r="A91" t="s">
        <v>31</v>
      </c>
      <c r="B91">
        <v>1</v>
      </c>
      <c r="D91" t="s">
        <v>3673</v>
      </c>
      <c r="E91" t="s">
        <v>3674</v>
      </c>
      <c r="F91" t="s">
        <v>3675</v>
      </c>
      <c r="G91" t="s">
        <v>193</v>
      </c>
      <c r="H91" t="s">
        <v>3676</v>
      </c>
      <c r="I91" t="s">
        <v>3677</v>
      </c>
      <c r="J91">
        <v>40952759</v>
      </c>
    </row>
    <row r="92" spans="1:10">
      <c r="A92" t="s">
        <v>33</v>
      </c>
      <c r="B92">
        <v>0</v>
      </c>
      <c r="E92" t="s">
        <v>3655</v>
      </c>
      <c r="I92" t="s">
        <v>3656</v>
      </c>
      <c r="J92">
        <v>41370416</v>
      </c>
    </row>
    <row r="93" spans="1:10">
      <c r="A93" t="s">
        <v>33</v>
      </c>
      <c r="B93">
        <v>1</v>
      </c>
      <c r="D93" t="s">
        <v>3656</v>
      </c>
      <c r="E93" t="s">
        <v>3657</v>
      </c>
      <c r="F93" t="s">
        <v>193</v>
      </c>
      <c r="G93" t="s">
        <v>193</v>
      </c>
      <c r="H93" t="s">
        <v>3658</v>
      </c>
      <c r="I93" t="s">
        <v>3659</v>
      </c>
      <c r="J93">
        <v>41370416</v>
      </c>
    </row>
    <row r="94" spans="1:10">
      <c r="A94" t="s">
        <v>33</v>
      </c>
      <c r="B94">
        <v>1</v>
      </c>
      <c r="D94" t="s">
        <v>3656</v>
      </c>
      <c r="E94" t="s">
        <v>3657</v>
      </c>
      <c r="F94" t="s">
        <v>193</v>
      </c>
      <c r="G94" t="s">
        <v>193</v>
      </c>
      <c r="H94" t="s">
        <v>3660</v>
      </c>
      <c r="I94" t="s">
        <v>3661</v>
      </c>
      <c r="J94">
        <v>41370416</v>
      </c>
    </row>
    <row r="95" spans="1:10">
      <c r="A95" t="s">
        <v>33</v>
      </c>
      <c r="B95">
        <v>1</v>
      </c>
      <c r="D95" t="s">
        <v>3656</v>
      </c>
      <c r="E95" t="s">
        <v>3657</v>
      </c>
      <c r="F95" t="s">
        <v>193</v>
      </c>
      <c r="G95" t="s">
        <v>193</v>
      </c>
      <c r="H95" t="s">
        <v>3662</v>
      </c>
      <c r="I95" t="s">
        <v>3663</v>
      </c>
      <c r="J95">
        <v>41370416</v>
      </c>
    </row>
    <row r="96" spans="1:10">
      <c r="A96" t="s">
        <v>33</v>
      </c>
      <c r="B96">
        <v>1</v>
      </c>
      <c r="D96" t="s">
        <v>3656</v>
      </c>
      <c r="E96" t="s">
        <v>3657</v>
      </c>
      <c r="F96" t="s">
        <v>193</v>
      </c>
      <c r="G96" t="s">
        <v>193</v>
      </c>
      <c r="H96" t="s">
        <v>3664</v>
      </c>
      <c r="I96" t="s">
        <v>3665</v>
      </c>
      <c r="J96">
        <v>41370416</v>
      </c>
    </row>
    <row r="97" spans="1:10">
      <c r="A97" t="s">
        <v>33</v>
      </c>
      <c r="B97">
        <v>1</v>
      </c>
      <c r="D97" t="s">
        <v>3656</v>
      </c>
      <c r="E97" t="s">
        <v>3657</v>
      </c>
      <c r="F97" t="s">
        <v>3666</v>
      </c>
      <c r="G97" t="s">
        <v>193</v>
      </c>
      <c r="H97" t="s">
        <v>3667</v>
      </c>
      <c r="I97" t="s">
        <v>3668</v>
      </c>
      <c r="J97">
        <v>41370416</v>
      </c>
    </row>
    <row r="98" spans="1:10">
      <c r="A98" t="s">
        <v>33</v>
      </c>
      <c r="B98">
        <v>1</v>
      </c>
      <c r="D98" t="s">
        <v>3656</v>
      </c>
      <c r="E98" t="s">
        <v>3657</v>
      </c>
      <c r="F98" t="s">
        <v>3666</v>
      </c>
      <c r="G98" t="s">
        <v>193</v>
      </c>
      <c r="H98" t="s">
        <v>3669</v>
      </c>
      <c r="I98" t="s">
        <v>3670</v>
      </c>
      <c r="J98">
        <v>41370416</v>
      </c>
    </row>
    <row r="99" spans="1:10">
      <c r="A99" t="s">
        <v>33</v>
      </c>
      <c r="B99">
        <v>1</v>
      </c>
      <c r="D99" t="s">
        <v>3656</v>
      </c>
      <c r="E99" t="s">
        <v>3657</v>
      </c>
      <c r="F99" t="s">
        <v>193</v>
      </c>
      <c r="G99" t="s">
        <v>193</v>
      </c>
      <c r="H99" t="s">
        <v>3671</v>
      </c>
      <c r="I99" t="s">
        <v>3672</v>
      </c>
      <c r="J99">
        <v>41370416</v>
      </c>
    </row>
    <row r="100" spans="1:10">
      <c r="A100" t="s">
        <v>33</v>
      </c>
      <c r="B100">
        <v>0</v>
      </c>
      <c r="E100" t="s">
        <v>3655</v>
      </c>
      <c r="I100" t="s">
        <v>3673</v>
      </c>
      <c r="J100">
        <v>41370416</v>
      </c>
    </row>
    <row r="101" spans="1:10">
      <c r="A101" t="s">
        <v>33</v>
      </c>
      <c r="B101">
        <v>1</v>
      </c>
      <c r="D101" t="s">
        <v>3673</v>
      </c>
      <c r="E101" t="s">
        <v>3674</v>
      </c>
      <c r="F101" t="s">
        <v>3675</v>
      </c>
      <c r="G101" t="s">
        <v>193</v>
      </c>
      <c r="H101" t="s">
        <v>3676</v>
      </c>
      <c r="I101" t="s">
        <v>3677</v>
      </c>
      <c r="J101">
        <v>41370416</v>
      </c>
    </row>
    <row r="102" spans="1:10">
      <c r="A102" t="s">
        <v>35</v>
      </c>
      <c r="B102">
        <v>0</v>
      </c>
      <c r="E102" t="s">
        <v>3655</v>
      </c>
      <c r="I102" t="s">
        <v>3656</v>
      </c>
      <c r="J102">
        <v>41398674</v>
      </c>
    </row>
    <row r="103" spans="1:10">
      <c r="A103" t="s">
        <v>35</v>
      </c>
      <c r="B103">
        <v>1</v>
      </c>
      <c r="D103" t="s">
        <v>3656</v>
      </c>
      <c r="E103" t="s">
        <v>3657</v>
      </c>
      <c r="F103" t="s">
        <v>193</v>
      </c>
      <c r="G103" t="s">
        <v>193</v>
      </c>
      <c r="H103" t="s">
        <v>3658</v>
      </c>
      <c r="I103" t="s">
        <v>3659</v>
      </c>
      <c r="J103">
        <v>41398674</v>
      </c>
    </row>
    <row r="104" spans="1:10">
      <c r="A104" t="s">
        <v>35</v>
      </c>
      <c r="B104">
        <v>1</v>
      </c>
      <c r="D104" t="s">
        <v>3656</v>
      </c>
      <c r="E104" t="s">
        <v>3657</v>
      </c>
      <c r="F104" t="s">
        <v>193</v>
      </c>
      <c r="G104" t="s">
        <v>193</v>
      </c>
      <c r="H104" t="s">
        <v>3660</v>
      </c>
      <c r="I104" t="s">
        <v>3661</v>
      </c>
      <c r="J104">
        <v>41398674</v>
      </c>
    </row>
    <row r="105" spans="1:10">
      <c r="A105" t="s">
        <v>35</v>
      </c>
      <c r="B105">
        <v>1</v>
      </c>
      <c r="D105" t="s">
        <v>3656</v>
      </c>
      <c r="E105" t="s">
        <v>3657</v>
      </c>
      <c r="F105" t="s">
        <v>193</v>
      </c>
      <c r="G105" t="s">
        <v>193</v>
      </c>
      <c r="H105" t="s">
        <v>3662</v>
      </c>
      <c r="I105" t="s">
        <v>3663</v>
      </c>
      <c r="J105">
        <v>41398674</v>
      </c>
    </row>
    <row r="106" spans="1:10">
      <c r="A106" t="s">
        <v>35</v>
      </c>
      <c r="B106">
        <v>1</v>
      </c>
      <c r="D106" t="s">
        <v>3656</v>
      </c>
      <c r="E106" t="s">
        <v>3657</v>
      </c>
      <c r="F106" t="s">
        <v>193</v>
      </c>
      <c r="G106" t="s">
        <v>193</v>
      </c>
      <c r="H106" t="s">
        <v>3664</v>
      </c>
      <c r="I106" t="s">
        <v>3665</v>
      </c>
      <c r="J106">
        <v>41398674</v>
      </c>
    </row>
    <row r="107" spans="1:10">
      <c r="A107" t="s">
        <v>35</v>
      </c>
      <c r="B107">
        <v>1</v>
      </c>
      <c r="D107" t="s">
        <v>3656</v>
      </c>
      <c r="E107" t="s">
        <v>3657</v>
      </c>
      <c r="F107" t="s">
        <v>3666</v>
      </c>
      <c r="G107" t="s">
        <v>193</v>
      </c>
      <c r="H107" t="s">
        <v>3667</v>
      </c>
      <c r="I107" t="s">
        <v>3668</v>
      </c>
      <c r="J107">
        <v>41398674</v>
      </c>
    </row>
    <row r="108" spans="1:10">
      <c r="A108" t="s">
        <v>35</v>
      </c>
      <c r="B108">
        <v>1</v>
      </c>
      <c r="D108" t="s">
        <v>3656</v>
      </c>
      <c r="E108" t="s">
        <v>3657</v>
      </c>
      <c r="F108" t="s">
        <v>3666</v>
      </c>
      <c r="G108" t="s">
        <v>193</v>
      </c>
      <c r="H108" t="s">
        <v>3669</v>
      </c>
      <c r="I108" t="s">
        <v>3670</v>
      </c>
      <c r="J108">
        <v>41398674</v>
      </c>
    </row>
    <row r="109" spans="1:10">
      <c r="A109" t="s">
        <v>35</v>
      </c>
      <c r="B109">
        <v>1</v>
      </c>
      <c r="D109" t="s">
        <v>3656</v>
      </c>
      <c r="E109" t="s">
        <v>3657</v>
      </c>
      <c r="F109" t="s">
        <v>193</v>
      </c>
      <c r="G109" t="s">
        <v>193</v>
      </c>
      <c r="H109" t="s">
        <v>3671</v>
      </c>
      <c r="I109" t="s">
        <v>3672</v>
      </c>
      <c r="J109">
        <v>41398674</v>
      </c>
    </row>
    <row r="110" spans="1:10">
      <c r="A110" t="s">
        <v>35</v>
      </c>
      <c r="B110">
        <v>0</v>
      </c>
      <c r="E110" t="s">
        <v>3655</v>
      </c>
      <c r="I110" t="s">
        <v>3673</v>
      </c>
      <c r="J110">
        <v>41398674</v>
      </c>
    </row>
    <row r="111" spans="1:10">
      <c r="A111" t="s">
        <v>35</v>
      </c>
      <c r="B111">
        <v>1</v>
      </c>
      <c r="D111" t="s">
        <v>3673</v>
      </c>
      <c r="E111" t="s">
        <v>3674</v>
      </c>
      <c r="F111" t="s">
        <v>3675</v>
      </c>
      <c r="G111" t="s">
        <v>193</v>
      </c>
      <c r="H111" t="s">
        <v>3676</v>
      </c>
      <c r="I111" t="s">
        <v>3677</v>
      </c>
      <c r="J111">
        <v>41398674</v>
      </c>
    </row>
    <row r="112" spans="1:10">
      <c r="A112" t="s">
        <v>37</v>
      </c>
      <c r="B112">
        <v>0</v>
      </c>
      <c r="E112" t="s">
        <v>3655</v>
      </c>
      <c r="I112" t="s">
        <v>3656</v>
      </c>
      <c r="J112">
        <v>41130226</v>
      </c>
    </row>
    <row r="113" spans="1:10">
      <c r="A113" t="s">
        <v>37</v>
      </c>
      <c r="B113">
        <v>1</v>
      </c>
      <c r="D113" t="s">
        <v>3656</v>
      </c>
      <c r="E113" t="s">
        <v>3657</v>
      </c>
      <c r="F113" t="s">
        <v>193</v>
      </c>
      <c r="G113" t="s">
        <v>193</v>
      </c>
      <c r="H113" t="s">
        <v>3658</v>
      </c>
      <c r="I113" t="s">
        <v>3659</v>
      </c>
      <c r="J113">
        <v>41130226</v>
      </c>
    </row>
    <row r="114" spans="1:10">
      <c r="A114" t="s">
        <v>37</v>
      </c>
      <c r="B114">
        <v>1</v>
      </c>
      <c r="D114" t="s">
        <v>3656</v>
      </c>
      <c r="E114" t="s">
        <v>3657</v>
      </c>
      <c r="F114" t="s">
        <v>193</v>
      </c>
      <c r="G114" t="s">
        <v>193</v>
      </c>
      <c r="H114" t="s">
        <v>3660</v>
      </c>
      <c r="I114" t="s">
        <v>3661</v>
      </c>
      <c r="J114">
        <v>41130226</v>
      </c>
    </row>
    <row r="115" spans="1:10">
      <c r="A115" t="s">
        <v>37</v>
      </c>
      <c r="B115">
        <v>1</v>
      </c>
      <c r="D115" t="s">
        <v>3656</v>
      </c>
      <c r="E115" t="s">
        <v>3657</v>
      </c>
      <c r="F115" t="s">
        <v>193</v>
      </c>
      <c r="G115" t="s">
        <v>193</v>
      </c>
      <c r="H115" t="s">
        <v>3662</v>
      </c>
      <c r="I115" t="s">
        <v>3663</v>
      </c>
      <c r="J115">
        <v>41130226</v>
      </c>
    </row>
    <row r="116" spans="1:10">
      <c r="A116" t="s">
        <v>37</v>
      </c>
      <c r="B116">
        <v>1</v>
      </c>
      <c r="D116" t="s">
        <v>3656</v>
      </c>
      <c r="E116" t="s">
        <v>3657</v>
      </c>
      <c r="F116" t="s">
        <v>193</v>
      </c>
      <c r="G116" t="s">
        <v>193</v>
      </c>
      <c r="H116" t="s">
        <v>3664</v>
      </c>
      <c r="I116" t="s">
        <v>3665</v>
      </c>
      <c r="J116">
        <v>41130226</v>
      </c>
    </row>
    <row r="117" spans="1:10">
      <c r="A117" t="s">
        <v>37</v>
      </c>
      <c r="B117">
        <v>1</v>
      </c>
      <c r="D117" t="s">
        <v>3656</v>
      </c>
      <c r="E117" t="s">
        <v>3657</v>
      </c>
      <c r="F117" t="s">
        <v>3666</v>
      </c>
      <c r="G117" t="s">
        <v>193</v>
      </c>
      <c r="H117" t="s">
        <v>3667</v>
      </c>
      <c r="I117" t="s">
        <v>3668</v>
      </c>
      <c r="J117">
        <v>41130226</v>
      </c>
    </row>
    <row r="118" spans="1:10">
      <c r="A118" t="s">
        <v>37</v>
      </c>
      <c r="B118">
        <v>1</v>
      </c>
      <c r="D118" t="s">
        <v>3656</v>
      </c>
      <c r="E118" t="s">
        <v>3657</v>
      </c>
      <c r="F118" t="s">
        <v>3666</v>
      </c>
      <c r="G118" t="s">
        <v>193</v>
      </c>
      <c r="H118" t="s">
        <v>3669</v>
      </c>
      <c r="I118" t="s">
        <v>3670</v>
      </c>
      <c r="J118">
        <v>41130226</v>
      </c>
    </row>
    <row r="119" spans="1:10">
      <c r="A119" t="s">
        <v>37</v>
      </c>
      <c r="B119">
        <v>1</v>
      </c>
      <c r="D119" t="s">
        <v>3656</v>
      </c>
      <c r="E119" t="s">
        <v>3657</v>
      </c>
      <c r="F119" t="s">
        <v>193</v>
      </c>
      <c r="G119" t="s">
        <v>193</v>
      </c>
      <c r="H119" t="s">
        <v>3671</v>
      </c>
      <c r="I119" t="s">
        <v>3672</v>
      </c>
      <c r="J119">
        <v>41130226</v>
      </c>
    </row>
    <row r="120" spans="1:10">
      <c r="A120" t="s">
        <v>37</v>
      </c>
      <c r="B120">
        <v>0</v>
      </c>
      <c r="E120" t="s">
        <v>3655</v>
      </c>
      <c r="I120" t="s">
        <v>3673</v>
      </c>
      <c r="J120">
        <v>41130226</v>
      </c>
    </row>
    <row r="121" spans="1:10">
      <c r="A121" t="s">
        <v>37</v>
      </c>
      <c r="B121">
        <v>1</v>
      </c>
      <c r="D121" t="s">
        <v>3673</v>
      </c>
      <c r="E121" t="s">
        <v>3674</v>
      </c>
      <c r="F121" t="s">
        <v>3675</v>
      </c>
      <c r="G121" t="s">
        <v>193</v>
      </c>
      <c r="H121" t="s">
        <v>3676</v>
      </c>
      <c r="I121" t="s">
        <v>3677</v>
      </c>
      <c r="J121">
        <v>41130226</v>
      </c>
    </row>
    <row r="122" spans="1:10">
      <c r="A122" t="s">
        <v>39</v>
      </c>
      <c r="B122">
        <v>0</v>
      </c>
      <c r="E122" t="s">
        <v>3655</v>
      </c>
      <c r="I122" t="s">
        <v>3656</v>
      </c>
      <c r="J122">
        <v>40988766</v>
      </c>
    </row>
    <row r="123" spans="1:10">
      <c r="A123" t="s">
        <v>39</v>
      </c>
      <c r="B123">
        <v>1</v>
      </c>
      <c r="D123" t="s">
        <v>3656</v>
      </c>
      <c r="E123" t="s">
        <v>3657</v>
      </c>
      <c r="F123" t="s">
        <v>193</v>
      </c>
      <c r="G123" t="s">
        <v>193</v>
      </c>
      <c r="H123" t="s">
        <v>3658</v>
      </c>
      <c r="I123" t="s">
        <v>3659</v>
      </c>
      <c r="J123">
        <v>40988766</v>
      </c>
    </row>
    <row r="124" spans="1:10">
      <c r="A124" t="s">
        <v>39</v>
      </c>
      <c r="B124">
        <v>1</v>
      </c>
      <c r="D124" t="s">
        <v>3656</v>
      </c>
      <c r="E124" t="s">
        <v>3657</v>
      </c>
      <c r="F124" t="s">
        <v>193</v>
      </c>
      <c r="G124" t="s">
        <v>193</v>
      </c>
      <c r="H124" t="s">
        <v>3660</v>
      </c>
      <c r="I124" t="s">
        <v>3661</v>
      </c>
      <c r="J124">
        <v>40988766</v>
      </c>
    </row>
    <row r="125" spans="1:10">
      <c r="A125" t="s">
        <v>39</v>
      </c>
      <c r="B125">
        <v>1</v>
      </c>
      <c r="D125" t="s">
        <v>3656</v>
      </c>
      <c r="E125" t="s">
        <v>3657</v>
      </c>
      <c r="F125" t="s">
        <v>193</v>
      </c>
      <c r="G125" t="s">
        <v>193</v>
      </c>
      <c r="H125" t="s">
        <v>3662</v>
      </c>
      <c r="I125" t="s">
        <v>3663</v>
      </c>
      <c r="J125">
        <v>40988766</v>
      </c>
    </row>
    <row r="126" spans="1:10">
      <c r="A126" t="s">
        <v>39</v>
      </c>
      <c r="B126">
        <v>1</v>
      </c>
      <c r="D126" t="s">
        <v>3656</v>
      </c>
      <c r="E126" t="s">
        <v>3657</v>
      </c>
      <c r="F126" t="s">
        <v>193</v>
      </c>
      <c r="G126" t="s">
        <v>193</v>
      </c>
      <c r="H126" t="s">
        <v>3664</v>
      </c>
      <c r="I126" t="s">
        <v>3665</v>
      </c>
      <c r="J126">
        <v>40988766</v>
      </c>
    </row>
    <row r="127" spans="1:10">
      <c r="A127" t="s">
        <v>39</v>
      </c>
      <c r="B127">
        <v>1</v>
      </c>
      <c r="D127" t="s">
        <v>3656</v>
      </c>
      <c r="E127" t="s">
        <v>3657</v>
      </c>
      <c r="F127" t="s">
        <v>3666</v>
      </c>
      <c r="G127" t="s">
        <v>193</v>
      </c>
      <c r="H127" t="s">
        <v>3667</v>
      </c>
      <c r="I127" t="s">
        <v>3668</v>
      </c>
      <c r="J127">
        <v>40988766</v>
      </c>
    </row>
    <row r="128" spans="1:10">
      <c r="A128" t="s">
        <v>39</v>
      </c>
      <c r="B128">
        <v>1</v>
      </c>
      <c r="D128" t="s">
        <v>3656</v>
      </c>
      <c r="E128" t="s">
        <v>3657</v>
      </c>
      <c r="F128" t="s">
        <v>3666</v>
      </c>
      <c r="G128" t="s">
        <v>193</v>
      </c>
      <c r="H128" t="s">
        <v>3669</v>
      </c>
      <c r="I128" t="s">
        <v>3670</v>
      </c>
      <c r="J128">
        <v>40988766</v>
      </c>
    </row>
    <row r="129" spans="1:10">
      <c r="A129" t="s">
        <v>39</v>
      </c>
      <c r="B129">
        <v>1</v>
      </c>
      <c r="D129" t="s">
        <v>3656</v>
      </c>
      <c r="E129" t="s">
        <v>3657</v>
      </c>
      <c r="F129" t="s">
        <v>193</v>
      </c>
      <c r="G129" t="s">
        <v>193</v>
      </c>
      <c r="H129" t="s">
        <v>3671</v>
      </c>
      <c r="I129" t="s">
        <v>3672</v>
      </c>
      <c r="J129">
        <v>40988766</v>
      </c>
    </row>
    <row r="130" spans="1:10">
      <c r="A130" t="s">
        <v>39</v>
      </c>
      <c r="B130">
        <v>0</v>
      </c>
      <c r="E130" t="s">
        <v>3655</v>
      </c>
      <c r="I130" t="s">
        <v>3673</v>
      </c>
      <c r="J130">
        <v>40988766</v>
      </c>
    </row>
    <row r="131" spans="1:10">
      <c r="A131" t="s">
        <v>39</v>
      </c>
      <c r="B131">
        <v>1</v>
      </c>
      <c r="D131" t="s">
        <v>3673</v>
      </c>
      <c r="E131" t="s">
        <v>3674</v>
      </c>
      <c r="F131" t="s">
        <v>3675</v>
      </c>
      <c r="G131" t="s">
        <v>193</v>
      </c>
      <c r="H131" t="s">
        <v>3676</v>
      </c>
      <c r="I131" t="s">
        <v>3677</v>
      </c>
      <c r="J131">
        <v>40988766</v>
      </c>
    </row>
    <row r="132" spans="1:10">
      <c r="A132" t="s">
        <v>41</v>
      </c>
      <c r="B132">
        <v>0</v>
      </c>
      <c r="E132" t="s">
        <v>3655</v>
      </c>
      <c r="I132" t="s">
        <v>3656</v>
      </c>
      <c r="J132">
        <v>41388391</v>
      </c>
    </row>
    <row r="133" spans="1:10">
      <c r="A133" t="s">
        <v>41</v>
      </c>
      <c r="B133">
        <v>1</v>
      </c>
      <c r="D133" t="s">
        <v>3656</v>
      </c>
      <c r="E133" t="s">
        <v>3657</v>
      </c>
      <c r="F133" t="s">
        <v>193</v>
      </c>
      <c r="G133" t="s">
        <v>193</v>
      </c>
      <c r="H133" t="s">
        <v>3658</v>
      </c>
      <c r="I133" t="s">
        <v>3659</v>
      </c>
      <c r="J133">
        <v>41388391</v>
      </c>
    </row>
    <row r="134" spans="1:10">
      <c r="A134" t="s">
        <v>41</v>
      </c>
      <c r="B134">
        <v>1</v>
      </c>
      <c r="D134" t="s">
        <v>3656</v>
      </c>
      <c r="E134" t="s">
        <v>3657</v>
      </c>
      <c r="F134" t="s">
        <v>193</v>
      </c>
      <c r="G134" t="s">
        <v>193</v>
      </c>
      <c r="H134" t="s">
        <v>3660</v>
      </c>
      <c r="I134" t="s">
        <v>3661</v>
      </c>
      <c r="J134">
        <v>41388391</v>
      </c>
    </row>
    <row r="135" spans="1:10">
      <c r="A135" t="s">
        <v>41</v>
      </c>
      <c r="B135">
        <v>1</v>
      </c>
      <c r="D135" t="s">
        <v>3656</v>
      </c>
      <c r="E135" t="s">
        <v>3657</v>
      </c>
      <c r="F135" t="s">
        <v>193</v>
      </c>
      <c r="G135" t="s">
        <v>193</v>
      </c>
      <c r="H135" t="s">
        <v>3662</v>
      </c>
      <c r="I135" t="s">
        <v>3663</v>
      </c>
      <c r="J135">
        <v>41388391</v>
      </c>
    </row>
    <row r="136" spans="1:10">
      <c r="A136" t="s">
        <v>41</v>
      </c>
      <c r="B136">
        <v>1</v>
      </c>
      <c r="D136" t="s">
        <v>3656</v>
      </c>
      <c r="E136" t="s">
        <v>3657</v>
      </c>
      <c r="F136" t="s">
        <v>193</v>
      </c>
      <c r="G136" t="s">
        <v>193</v>
      </c>
      <c r="H136" t="s">
        <v>3664</v>
      </c>
      <c r="I136" t="s">
        <v>3665</v>
      </c>
      <c r="J136">
        <v>41388391</v>
      </c>
    </row>
    <row r="137" spans="1:10">
      <c r="A137" t="s">
        <v>41</v>
      </c>
      <c r="B137">
        <v>1</v>
      </c>
      <c r="D137" t="s">
        <v>3656</v>
      </c>
      <c r="E137" t="s">
        <v>3657</v>
      </c>
      <c r="F137" t="s">
        <v>3666</v>
      </c>
      <c r="G137" t="s">
        <v>193</v>
      </c>
      <c r="H137" t="s">
        <v>3667</v>
      </c>
      <c r="I137" t="s">
        <v>3668</v>
      </c>
      <c r="J137">
        <v>41388391</v>
      </c>
    </row>
    <row r="138" spans="1:10">
      <c r="A138" t="s">
        <v>41</v>
      </c>
      <c r="B138">
        <v>1</v>
      </c>
      <c r="D138" t="s">
        <v>3656</v>
      </c>
      <c r="E138" t="s">
        <v>3657</v>
      </c>
      <c r="F138" t="s">
        <v>3666</v>
      </c>
      <c r="G138" t="s">
        <v>193</v>
      </c>
      <c r="H138" t="s">
        <v>3669</v>
      </c>
      <c r="I138" t="s">
        <v>3670</v>
      </c>
      <c r="J138">
        <v>41388391</v>
      </c>
    </row>
    <row r="139" spans="1:10">
      <c r="A139" t="s">
        <v>41</v>
      </c>
      <c r="B139">
        <v>1</v>
      </c>
      <c r="D139" t="s">
        <v>3656</v>
      </c>
      <c r="E139" t="s">
        <v>3657</v>
      </c>
      <c r="F139" t="s">
        <v>193</v>
      </c>
      <c r="G139" t="s">
        <v>193</v>
      </c>
      <c r="H139" t="s">
        <v>3671</v>
      </c>
      <c r="I139" t="s">
        <v>3672</v>
      </c>
      <c r="J139">
        <v>41388391</v>
      </c>
    </row>
    <row r="140" spans="1:10">
      <c r="A140" t="s">
        <v>41</v>
      </c>
      <c r="B140">
        <v>0</v>
      </c>
      <c r="E140" t="s">
        <v>3655</v>
      </c>
      <c r="I140" t="s">
        <v>3673</v>
      </c>
      <c r="J140">
        <v>41388391</v>
      </c>
    </row>
    <row r="141" spans="1:10">
      <c r="A141" t="s">
        <v>41</v>
      </c>
      <c r="B141">
        <v>1</v>
      </c>
      <c r="D141" t="s">
        <v>3673</v>
      </c>
      <c r="E141" t="s">
        <v>3674</v>
      </c>
      <c r="F141" t="s">
        <v>3675</v>
      </c>
      <c r="G141" t="s">
        <v>193</v>
      </c>
      <c r="H141" t="s">
        <v>3676</v>
      </c>
      <c r="I141" t="s">
        <v>3677</v>
      </c>
      <c r="J141">
        <v>41388391</v>
      </c>
    </row>
    <row r="142" spans="1:10">
      <c r="A142" t="s">
        <v>43</v>
      </c>
      <c r="B142">
        <v>0</v>
      </c>
      <c r="E142" t="s">
        <v>3655</v>
      </c>
      <c r="I142" t="s">
        <v>3656</v>
      </c>
      <c r="J142">
        <v>41369527</v>
      </c>
    </row>
    <row r="143" spans="1:10">
      <c r="A143" t="s">
        <v>43</v>
      </c>
      <c r="B143">
        <v>1</v>
      </c>
      <c r="D143" t="s">
        <v>3656</v>
      </c>
      <c r="E143" t="s">
        <v>3657</v>
      </c>
      <c r="F143" t="s">
        <v>193</v>
      </c>
      <c r="G143" t="s">
        <v>193</v>
      </c>
      <c r="H143" t="s">
        <v>3658</v>
      </c>
      <c r="I143" t="s">
        <v>3659</v>
      </c>
      <c r="J143">
        <v>41369527</v>
      </c>
    </row>
    <row r="144" spans="1:10">
      <c r="A144" t="s">
        <v>43</v>
      </c>
      <c r="B144">
        <v>1</v>
      </c>
      <c r="D144" t="s">
        <v>3656</v>
      </c>
      <c r="E144" t="s">
        <v>3657</v>
      </c>
      <c r="F144" t="s">
        <v>193</v>
      </c>
      <c r="G144" t="s">
        <v>193</v>
      </c>
      <c r="H144" t="s">
        <v>3660</v>
      </c>
      <c r="I144" t="s">
        <v>3661</v>
      </c>
      <c r="J144">
        <v>41369527</v>
      </c>
    </row>
    <row r="145" spans="1:10">
      <c r="A145" t="s">
        <v>43</v>
      </c>
      <c r="B145">
        <v>1</v>
      </c>
      <c r="D145" t="s">
        <v>3656</v>
      </c>
      <c r="E145" t="s">
        <v>3657</v>
      </c>
      <c r="F145" t="s">
        <v>193</v>
      </c>
      <c r="G145" t="s">
        <v>193</v>
      </c>
      <c r="H145" t="s">
        <v>3662</v>
      </c>
      <c r="I145" t="s">
        <v>3663</v>
      </c>
      <c r="J145">
        <v>41369527</v>
      </c>
    </row>
    <row r="146" spans="1:10">
      <c r="A146" t="s">
        <v>43</v>
      </c>
      <c r="B146">
        <v>1</v>
      </c>
      <c r="D146" t="s">
        <v>3656</v>
      </c>
      <c r="E146" t="s">
        <v>3657</v>
      </c>
      <c r="F146" t="s">
        <v>193</v>
      </c>
      <c r="G146" t="s">
        <v>193</v>
      </c>
      <c r="H146" t="s">
        <v>3664</v>
      </c>
      <c r="I146" t="s">
        <v>3665</v>
      </c>
      <c r="J146">
        <v>41369527</v>
      </c>
    </row>
    <row r="147" spans="1:10">
      <c r="A147" t="s">
        <v>43</v>
      </c>
      <c r="B147">
        <v>1</v>
      </c>
      <c r="D147" t="s">
        <v>3656</v>
      </c>
      <c r="E147" t="s">
        <v>3657</v>
      </c>
      <c r="F147" t="s">
        <v>3666</v>
      </c>
      <c r="G147" t="s">
        <v>193</v>
      </c>
      <c r="H147" t="s">
        <v>3667</v>
      </c>
      <c r="I147" t="s">
        <v>3668</v>
      </c>
      <c r="J147">
        <v>41369527</v>
      </c>
    </row>
    <row r="148" spans="1:10">
      <c r="A148" t="s">
        <v>43</v>
      </c>
      <c r="B148">
        <v>1</v>
      </c>
      <c r="D148" t="s">
        <v>3656</v>
      </c>
      <c r="E148" t="s">
        <v>3657</v>
      </c>
      <c r="F148" t="s">
        <v>3666</v>
      </c>
      <c r="G148" t="s">
        <v>193</v>
      </c>
      <c r="H148" t="s">
        <v>3669</v>
      </c>
      <c r="I148" t="s">
        <v>3670</v>
      </c>
      <c r="J148">
        <v>41369527</v>
      </c>
    </row>
    <row r="149" spans="1:10">
      <c r="A149" t="s">
        <v>43</v>
      </c>
      <c r="B149">
        <v>1</v>
      </c>
      <c r="D149" t="s">
        <v>3656</v>
      </c>
      <c r="E149" t="s">
        <v>3657</v>
      </c>
      <c r="F149" t="s">
        <v>193</v>
      </c>
      <c r="G149" t="s">
        <v>193</v>
      </c>
      <c r="H149" t="s">
        <v>3671</v>
      </c>
      <c r="I149" t="s">
        <v>3672</v>
      </c>
      <c r="J149">
        <v>41369527</v>
      </c>
    </row>
    <row r="150" spans="1:10">
      <c r="A150" t="s">
        <v>43</v>
      </c>
      <c r="B150">
        <v>0</v>
      </c>
      <c r="E150" t="s">
        <v>3655</v>
      </c>
      <c r="I150" t="s">
        <v>3673</v>
      </c>
      <c r="J150">
        <v>41369527</v>
      </c>
    </row>
    <row r="151" spans="1:10">
      <c r="A151" t="s">
        <v>43</v>
      </c>
      <c r="B151">
        <v>1</v>
      </c>
      <c r="D151" t="s">
        <v>3673</v>
      </c>
      <c r="E151" t="s">
        <v>3674</v>
      </c>
      <c r="F151" t="s">
        <v>3675</v>
      </c>
      <c r="G151" t="s">
        <v>193</v>
      </c>
      <c r="H151" t="s">
        <v>3676</v>
      </c>
      <c r="I151" t="s">
        <v>3677</v>
      </c>
      <c r="J151">
        <v>41369527</v>
      </c>
    </row>
    <row r="152" spans="1:10">
      <c r="A152" t="s">
        <v>45</v>
      </c>
      <c r="B152">
        <v>0</v>
      </c>
      <c r="E152" t="s">
        <v>3655</v>
      </c>
      <c r="I152" t="s">
        <v>3656</v>
      </c>
      <c r="J152">
        <v>41390598</v>
      </c>
    </row>
    <row r="153" spans="1:10">
      <c r="A153" t="s">
        <v>45</v>
      </c>
      <c r="B153">
        <v>1</v>
      </c>
      <c r="D153" t="s">
        <v>3656</v>
      </c>
      <c r="E153" t="s">
        <v>3657</v>
      </c>
      <c r="F153" t="s">
        <v>193</v>
      </c>
      <c r="G153" t="s">
        <v>193</v>
      </c>
      <c r="H153" t="s">
        <v>3658</v>
      </c>
      <c r="I153" t="s">
        <v>3659</v>
      </c>
      <c r="J153">
        <v>41390598</v>
      </c>
    </row>
    <row r="154" spans="1:10">
      <c r="A154" t="s">
        <v>45</v>
      </c>
      <c r="B154">
        <v>1</v>
      </c>
      <c r="D154" t="s">
        <v>3656</v>
      </c>
      <c r="E154" t="s">
        <v>3657</v>
      </c>
      <c r="F154" t="s">
        <v>193</v>
      </c>
      <c r="G154" t="s">
        <v>193</v>
      </c>
      <c r="H154" t="s">
        <v>3660</v>
      </c>
      <c r="I154" t="s">
        <v>3661</v>
      </c>
      <c r="J154">
        <v>41390598</v>
      </c>
    </row>
    <row r="155" spans="1:10">
      <c r="A155" t="s">
        <v>45</v>
      </c>
      <c r="B155">
        <v>1</v>
      </c>
      <c r="D155" t="s">
        <v>3656</v>
      </c>
      <c r="E155" t="s">
        <v>3657</v>
      </c>
      <c r="F155" t="s">
        <v>193</v>
      </c>
      <c r="G155" t="s">
        <v>193</v>
      </c>
      <c r="H155" t="s">
        <v>3662</v>
      </c>
      <c r="I155" t="s">
        <v>3663</v>
      </c>
      <c r="J155">
        <v>41390598</v>
      </c>
    </row>
    <row r="156" spans="1:10">
      <c r="A156" t="s">
        <v>45</v>
      </c>
      <c r="B156">
        <v>1</v>
      </c>
      <c r="D156" t="s">
        <v>3656</v>
      </c>
      <c r="E156" t="s">
        <v>3657</v>
      </c>
      <c r="F156" t="s">
        <v>193</v>
      </c>
      <c r="G156" t="s">
        <v>193</v>
      </c>
      <c r="H156" t="s">
        <v>3664</v>
      </c>
      <c r="I156" t="s">
        <v>3665</v>
      </c>
      <c r="J156">
        <v>41390598</v>
      </c>
    </row>
    <row r="157" spans="1:10">
      <c r="A157" t="s">
        <v>45</v>
      </c>
      <c r="B157">
        <v>1</v>
      </c>
      <c r="D157" t="s">
        <v>3656</v>
      </c>
      <c r="E157" t="s">
        <v>3657</v>
      </c>
      <c r="F157" t="s">
        <v>3666</v>
      </c>
      <c r="G157" t="s">
        <v>193</v>
      </c>
      <c r="H157" t="s">
        <v>3667</v>
      </c>
      <c r="I157" t="s">
        <v>3668</v>
      </c>
      <c r="J157">
        <v>41390598</v>
      </c>
    </row>
    <row r="158" spans="1:10">
      <c r="A158" t="s">
        <v>45</v>
      </c>
      <c r="B158">
        <v>1</v>
      </c>
      <c r="D158" t="s">
        <v>3656</v>
      </c>
      <c r="E158" t="s">
        <v>3657</v>
      </c>
      <c r="F158" t="s">
        <v>3666</v>
      </c>
      <c r="G158" t="s">
        <v>193</v>
      </c>
      <c r="H158" t="s">
        <v>3669</v>
      </c>
      <c r="I158" t="s">
        <v>3670</v>
      </c>
      <c r="J158">
        <v>41390598</v>
      </c>
    </row>
    <row r="159" spans="1:10">
      <c r="A159" t="s">
        <v>45</v>
      </c>
      <c r="B159">
        <v>1</v>
      </c>
      <c r="D159" t="s">
        <v>3656</v>
      </c>
      <c r="E159" t="s">
        <v>3657</v>
      </c>
      <c r="F159" t="s">
        <v>193</v>
      </c>
      <c r="G159" t="s">
        <v>193</v>
      </c>
      <c r="H159" t="s">
        <v>3671</v>
      </c>
      <c r="I159" t="s">
        <v>3672</v>
      </c>
      <c r="J159">
        <v>41390598</v>
      </c>
    </row>
    <row r="160" spans="1:10">
      <c r="A160" t="s">
        <v>45</v>
      </c>
      <c r="B160">
        <v>0</v>
      </c>
      <c r="E160" t="s">
        <v>3655</v>
      </c>
      <c r="I160" t="s">
        <v>3673</v>
      </c>
      <c r="J160">
        <v>41390598</v>
      </c>
    </row>
    <row r="161" spans="1:10">
      <c r="A161" t="s">
        <v>45</v>
      </c>
      <c r="B161">
        <v>1</v>
      </c>
      <c r="D161" t="s">
        <v>3673</v>
      </c>
      <c r="E161" t="s">
        <v>3674</v>
      </c>
      <c r="F161" t="s">
        <v>3675</v>
      </c>
      <c r="G161" t="s">
        <v>193</v>
      </c>
      <c r="H161" t="s">
        <v>3676</v>
      </c>
      <c r="I161" t="s">
        <v>3677</v>
      </c>
      <c r="J161">
        <v>41390598</v>
      </c>
    </row>
    <row r="162" spans="1:10">
      <c r="A162" t="s">
        <v>47</v>
      </c>
      <c r="B162">
        <v>0</v>
      </c>
      <c r="E162" t="s">
        <v>3655</v>
      </c>
      <c r="I162" t="s">
        <v>3656</v>
      </c>
      <c r="J162">
        <v>41393805</v>
      </c>
    </row>
    <row r="163" spans="1:10">
      <c r="A163" t="s">
        <v>47</v>
      </c>
      <c r="B163">
        <v>1</v>
      </c>
      <c r="D163" t="s">
        <v>3656</v>
      </c>
      <c r="E163" t="s">
        <v>3657</v>
      </c>
      <c r="F163" t="s">
        <v>193</v>
      </c>
      <c r="G163" t="s">
        <v>193</v>
      </c>
      <c r="H163" t="s">
        <v>3658</v>
      </c>
      <c r="I163" t="s">
        <v>3659</v>
      </c>
      <c r="J163">
        <v>41393805</v>
      </c>
    </row>
    <row r="164" spans="1:10">
      <c r="A164" t="s">
        <v>47</v>
      </c>
      <c r="B164">
        <v>1</v>
      </c>
      <c r="D164" t="s">
        <v>3656</v>
      </c>
      <c r="E164" t="s">
        <v>3657</v>
      </c>
      <c r="F164" t="s">
        <v>193</v>
      </c>
      <c r="G164" t="s">
        <v>193</v>
      </c>
      <c r="H164" t="s">
        <v>3660</v>
      </c>
      <c r="I164" t="s">
        <v>3661</v>
      </c>
      <c r="J164">
        <v>41393805</v>
      </c>
    </row>
    <row r="165" spans="1:10">
      <c r="A165" t="s">
        <v>47</v>
      </c>
      <c r="B165">
        <v>1</v>
      </c>
      <c r="D165" t="s">
        <v>3656</v>
      </c>
      <c r="E165" t="s">
        <v>3657</v>
      </c>
      <c r="F165" t="s">
        <v>193</v>
      </c>
      <c r="G165" t="s">
        <v>193</v>
      </c>
      <c r="H165" t="s">
        <v>3662</v>
      </c>
      <c r="I165" t="s">
        <v>3663</v>
      </c>
      <c r="J165">
        <v>41393805</v>
      </c>
    </row>
    <row r="166" spans="1:10">
      <c r="A166" t="s">
        <v>47</v>
      </c>
      <c r="B166">
        <v>1</v>
      </c>
      <c r="D166" t="s">
        <v>3656</v>
      </c>
      <c r="E166" t="s">
        <v>3657</v>
      </c>
      <c r="F166" t="s">
        <v>193</v>
      </c>
      <c r="G166" t="s">
        <v>193</v>
      </c>
      <c r="H166" t="s">
        <v>3664</v>
      </c>
      <c r="I166" t="s">
        <v>3665</v>
      </c>
      <c r="J166">
        <v>41393805</v>
      </c>
    </row>
    <row r="167" spans="1:10">
      <c r="A167" t="s">
        <v>47</v>
      </c>
      <c r="B167">
        <v>1</v>
      </c>
      <c r="D167" t="s">
        <v>3656</v>
      </c>
      <c r="E167" t="s">
        <v>3657</v>
      </c>
      <c r="F167" t="s">
        <v>3666</v>
      </c>
      <c r="G167" t="s">
        <v>193</v>
      </c>
      <c r="H167" t="s">
        <v>3667</v>
      </c>
      <c r="I167" t="s">
        <v>3668</v>
      </c>
      <c r="J167">
        <v>41393805</v>
      </c>
    </row>
    <row r="168" spans="1:10">
      <c r="A168" t="s">
        <v>47</v>
      </c>
      <c r="B168">
        <v>1</v>
      </c>
      <c r="D168" t="s">
        <v>3656</v>
      </c>
      <c r="E168" t="s">
        <v>3657</v>
      </c>
      <c r="F168" t="s">
        <v>3666</v>
      </c>
      <c r="G168" t="s">
        <v>193</v>
      </c>
      <c r="H168" t="s">
        <v>3669</v>
      </c>
      <c r="I168" t="s">
        <v>3670</v>
      </c>
      <c r="J168">
        <v>41393805</v>
      </c>
    </row>
    <row r="169" spans="1:10">
      <c r="A169" t="s">
        <v>47</v>
      </c>
      <c r="B169">
        <v>1</v>
      </c>
      <c r="D169" t="s">
        <v>3656</v>
      </c>
      <c r="E169" t="s">
        <v>3657</v>
      </c>
      <c r="F169" t="s">
        <v>193</v>
      </c>
      <c r="G169" t="s">
        <v>193</v>
      </c>
      <c r="H169" t="s">
        <v>3671</v>
      </c>
      <c r="I169" t="s">
        <v>3672</v>
      </c>
      <c r="J169">
        <v>41393805</v>
      </c>
    </row>
    <row r="170" spans="1:10">
      <c r="A170" t="s">
        <v>47</v>
      </c>
      <c r="B170">
        <v>0</v>
      </c>
      <c r="E170" t="s">
        <v>3655</v>
      </c>
      <c r="I170" t="s">
        <v>3673</v>
      </c>
      <c r="J170">
        <v>41393805</v>
      </c>
    </row>
    <row r="171" spans="1:10">
      <c r="A171" t="s">
        <v>47</v>
      </c>
      <c r="B171">
        <v>1</v>
      </c>
      <c r="D171" t="s">
        <v>3673</v>
      </c>
      <c r="E171" t="s">
        <v>3674</v>
      </c>
      <c r="F171" t="s">
        <v>3675</v>
      </c>
      <c r="G171" t="s">
        <v>193</v>
      </c>
      <c r="H171" t="s">
        <v>3676</v>
      </c>
      <c r="I171" t="s">
        <v>3677</v>
      </c>
      <c r="J171">
        <v>41393805</v>
      </c>
    </row>
    <row r="172" spans="1:10">
      <c r="A172" t="s">
        <v>49</v>
      </c>
      <c r="B172">
        <v>0</v>
      </c>
      <c r="E172" t="s">
        <v>3655</v>
      </c>
      <c r="I172" t="s">
        <v>3656</v>
      </c>
      <c r="J172">
        <v>41315606</v>
      </c>
    </row>
    <row r="173" spans="1:10">
      <c r="A173" t="s">
        <v>49</v>
      </c>
      <c r="B173">
        <v>1</v>
      </c>
      <c r="D173" t="s">
        <v>3656</v>
      </c>
      <c r="E173" t="s">
        <v>3657</v>
      </c>
      <c r="F173" t="s">
        <v>193</v>
      </c>
      <c r="G173" t="s">
        <v>193</v>
      </c>
      <c r="H173" t="s">
        <v>3658</v>
      </c>
      <c r="I173" t="s">
        <v>3659</v>
      </c>
      <c r="J173">
        <v>41315606</v>
      </c>
    </row>
    <row r="174" spans="1:10">
      <c r="A174" t="s">
        <v>49</v>
      </c>
      <c r="B174">
        <v>1</v>
      </c>
      <c r="D174" t="s">
        <v>3656</v>
      </c>
      <c r="E174" t="s">
        <v>3657</v>
      </c>
      <c r="F174" t="s">
        <v>193</v>
      </c>
      <c r="G174" t="s">
        <v>193</v>
      </c>
      <c r="H174" t="s">
        <v>3660</v>
      </c>
      <c r="I174" t="s">
        <v>3661</v>
      </c>
      <c r="J174">
        <v>41315606</v>
      </c>
    </row>
    <row r="175" spans="1:10">
      <c r="A175" t="s">
        <v>49</v>
      </c>
      <c r="B175">
        <v>1</v>
      </c>
      <c r="D175" t="s">
        <v>3656</v>
      </c>
      <c r="E175" t="s">
        <v>3657</v>
      </c>
      <c r="F175" t="s">
        <v>193</v>
      </c>
      <c r="G175" t="s">
        <v>193</v>
      </c>
      <c r="H175" t="s">
        <v>3662</v>
      </c>
      <c r="I175" t="s">
        <v>3663</v>
      </c>
      <c r="J175">
        <v>41315606</v>
      </c>
    </row>
    <row r="176" spans="1:10">
      <c r="A176" t="s">
        <v>49</v>
      </c>
      <c r="B176">
        <v>1</v>
      </c>
      <c r="D176" t="s">
        <v>3656</v>
      </c>
      <c r="E176" t="s">
        <v>3657</v>
      </c>
      <c r="F176" t="s">
        <v>193</v>
      </c>
      <c r="G176" t="s">
        <v>193</v>
      </c>
      <c r="H176" t="s">
        <v>3664</v>
      </c>
      <c r="I176" t="s">
        <v>3665</v>
      </c>
      <c r="J176">
        <v>41315606</v>
      </c>
    </row>
    <row r="177" spans="1:10">
      <c r="A177" t="s">
        <v>49</v>
      </c>
      <c r="B177">
        <v>1</v>
      </c>
      <c r="D177" t="s">
        <v>3656</v>
      </c>
      <c r="E177" t="s">
        <v>3657</v>
      </c>
      <c r="F177" t="s">
        <v>3666</v>
      </c>
      <c r="G177" t="s">
        <v>193</v>
      </c>
      <c r="H177" t="s">
        <v>3667</v>
      </c>
      <c r="I177" t="s">
        <v>3668</v>
      </c>
      <c r="J177">
        <v>41315606</v>
      </c>
    </row>
    <row r="178" spans="1:10">
      <c r="A178" t="s">
        <v>49</v>
      </c>
      <c r="B178">
        <v>1</v>
      </c>
      <c r="D178" t="s">
        <v>3656</v>
      </c>
      <c r="E178" t="s">
        <v>3657</v>
      </c>
      <c r="F178" t="s">
        <v>3666</v>
      </c>
      <c r="G178" t="s">
        <v>193</v>
      </c>
      <c r="H178" t="s">
        <v>3669</v>
      </c>
      <c r="I178" t="s">
        <v>3670</v>
      </c>
      <c r="J178">
        <v>41315606</v>
      </c>
    </row>
    <row r="179" spans="1:10">
      <c r="A179" t="s">
        <v>49</v>
      </c>
      <c r="B179">
        <v>1</v>
      </c>
      <c r="D179" t="s">
        <v>3656</v>
      </c>
      <c r="E179" t="s">
        <v>3657</v>
      </c>
      <c r="F179" t="s">
        <v>193</v>
      </c>
      <c r="G179" t="s">
        <v>193</v>
      </c>
      <c r="H179" t="s">
        <v>3671</v>
      </c>
      <c r="I179" t="s">
        <v>3672</v>
      </c>
      <c r="J179">
        <v>41315606</v>
      </c>
    </row>
    <row r="180" spans="1:10">
      <c r="A180" t="s">
        <v>49</v>
      </c>
      <c r="B180">
        <v>0</v>
      </c>
      <c r="E180" t="s">
        <v>3655</v>
      </c>
      <c r="I180" t="s">
        <v>3673</v>
      </c>
      <c r="J180">
        <v>41315606</v>
      </c>
    </row>
    <row r="181" spans="1:10">
      <c r="A181" t="s">
        <v>49</v>
      </c>
      <c r="B181">
        <v>1</v>
      </c>
      <c r="D181" t="s">
        <v>3673</v>
      </c>
      <c r="E181" t="s">
        <v>3674</v>
      </c>
      <c r="F181" t="s">
        <v>3675</v>
      </c>
      <c r="G181" t="s">
        <v>193</v>
      </c>
      <c r="H181" t="s">
        <v>3676</v>
      </c>
      <c r="I181" t="s">
        <v>3677</v>
      </c>
      <c r="J181">
        <v>41315606</v>
      </c>
    </row>
    <row r="182" spans="1:10">
      <c r="A182" t="s">
        <v>51</v>
      </c>
      <c r="B182">
        <v>0</v>
      </c>
      <c r="E182" t="s">
        <v>3655</v>
      </c>
      <c r="I182" t="s">
        <v>3656</v>
      </c>
      <c r="J182">
        <v>41313544</v>
      </c>
    </row>
    <row r="183" spans="1:10">
      <c r="A183" t="s">
        <v>51</v>
      </c>
      <c r="B183">
        <v>1</v>
      </c>
      <c r="D183" t="s">
        <v>3656</v>
      </c>
      <c r="E183" t="s">
        <v>3657</v>
      </c>
      <c r="F183" t="s">
        <v>193</v>
      </c>
      <c r="G183" t="s">
        <v>193</v>
      </c>
      <c r="H183" t="s">
        <v>3658</v>
      </c>
      <c r="I183" t="s">
        <v>3659</v>
      </c>
      <c r="J183">
        <v>41313544</v>
      </c>
    </row>
    <row r="184" spans="1:10">
      <c r="A184" t="s">
        <v>51</v>
      </c>
      <c r="B184">
        <v>1</v>
      </c>
      <c r="D184" t="s">
        <v>3656</v>
      </c>
      <c r="E184" t="s">
        <v>3657</v>
      </c>
      <c r="F184" t="s">
        <v>193</v>
      </c>
      <c r="G184" t="s">
        <v>193</v>
      </c>
      <c r="H184" t="s">
        <v>3660</v>
      </c>
      <c r="I184" t="s">
        <v>3661</v>
      </c>
      <c r="J184">
        <v>41313544</v>
      </c>
    </row>
    <row r="185" spans="1:10">
      <c r="A185" t="s">
        <v>51</v>
      </c>
      <c r="B185">
        <v>1</v>
      </c>
      <c r="D185" t="s">
        <v>3656</v>
      </c>
      <c r="E185" t="s">
        <v>3657</v>
      </c>
      <c r="F185" t="s">
        <v>193</v>
      </c>
      <c r="G185" t="s">
        <v>193</v>
      </c>
      <c r="H185" t="s">
        <v>3662</v>
      </c>
      <c r="I185" t="s">
        <v>3663</v>
      </c>
      <c r="J185">
        <v>41313544</v>
      </c>
    </row>
    <row r="186" spans="1:10">
      <c r="A186" t="s">
        <v>51</v>
      </c>
      <c r="B186">
        <v>1</v>
      </c>
      <c r="D186" t="s">
        <v>3656</v>
      </c>
      <c r="E186" t="s">
        <v>3657</v>
      </c>
      <c r="F186" t="s">
        <v>193</v>
      </c>
      <c r="G186" t="s">
        <v>193</v>
      </c>
      <c r="H186" t="s">
        <v>3664</v>
      </c>
      <c r="I186" t="s">
        <v>3665</v>
      </c>
      <c r="J186">
        <v>41313544</v>
      </c>
    </row>
    <row r="187" spans="1:10">
      <c r="A187" t="s">
        <v>51</v>
      </c>
      <c r="B187">
        <v>1</v>
      </c>
      <c r="D187" t="s">
        <v>3656</v>
      </c>
      <c r="E187" t="s">
        <v>3657</v>
      </c>
      <c r="F187" t="s">
        <v>3666</v>
      </c>
      <c r="G187" t="s">
        <v>193</v>
      </c>
      <c r="H187" t="s">
        <v>3667</v>
      </c>
      <c r="I187" t="s">
        <v>3668</v>
      </c>
      <c r="J187">
        <v>41313544</v>
      </c>
    </row>
    <row r="188" spans="1:10">
      <c r="A188" t="s">
        <v>51</v>
      </c>
      <c r="B188">
        <v>1</v>
      </c>
      <c r="D188" t="s">
        <v>3656</v>
      </c>
      <c r="E188" t="s">
        <v>3657</v>
      </c>
      <c r="F188" t="s">
        <v>3666</v>
      </c>
      <c r="G188" t="s">
        <v>193</v>
      </c>
      <c r="H188" t="s">
        <v>3669</v>
      </c>
      <c r="I188" t="s">
        <v>3670</v>
      </c>
      <c r="J188">
        <v>41313544</v>
      </c>
    </row>
    <row r="189" spans="1:10">
      <c r="A189" t="s">
        <v>51</v>
      </c>
      <c r="B189">
        <v>1</v>
      </c>
      <c r="D189" t="s">
        <v>3656</v>
      </c>
      <c r="E189" t="s">
        <v>3657</v>
      </c>
      <c r="F189" t="s">
        <v>193</v>
      </c>
      <c r="G189" t="s">
        <v>193</v>
      </c>
      <c r="H189" t="s">
        <v>3671</v>
      </c>
      <c r="I189" t="s">
        <v>3672</v>
      </c>
      <c r="J189">
        <v>41313544</v>
      </c>
    </row>
    <row r="190" spans="1:10">
      <c r="A190" t="s">
        <v>51</v>
      </c>
      <c r="B190">
        <v>0</v>
      </c>
      <c r="E190" t="s">
        <v>3655</v>
      </c>
      <c r="I190" t="s">
        <v>3673</v>
      </c>
      <c r="J190">
        <v>41313544</v>
      </c>
    </row>
    <row r="191" spans="1:10">
      <c r="A191" t="s">
        <v>51</v>
      </c>
      <c r="B191">
        <v>1</v>
      </c>
      <c r="D191" t="s">
        <v>3673</v>
      </c>
      <c r="E191" t="s">
        <v>3674</v>
      </c>
      <c r="F191" t="s">
        <v>3675</v>
      </c>
      <c r="G191" t="s">
        <v>193</v>
      </c>
      <c r="H191" t="s">
        <v>3676</v>
      </c>
      <c r="I191" t="s">
        <v>3677</v>
      </c>
      <c r="J191">
        <v>41313544</v>
      </c>
    </row>
    <row r="192" spans="1:10">
      <c r="A192" t="s">
        <v>53</v>
      </c>
      <c r="B192">
        <v>0</v>
      </c>
      <c r="E192" t="s">
        <v>3655</v>
      </c>
      <c r="I192" t="s">
        <v>3656</v>
      </c>
      <c r="J192">
        <v>41135028</v>
      </c>
    </row>
    <row r="193" spans="1:10">
      <c r="A193" t="s">
        <v>53</v>
      </c>
      <c r="B193">
        <v>1</v>
      </c>
      <c r="D193" t="s">
        <v>3656</v>
      </c>
      <c r="E193" t="s">
        <v>3657</v>
      </c>
      <c r="F193" t="s">
        <v>193</v>
      </c>
      <c r="G193" t="s">
        <v>193</v>
      </c>
      <c r="H193" t="s">
        <v>3658</v>
      </c>
      <c r="I193" t="s">
        <v>3659</v>
      </c>
      <c r="J193">
        <v>41135028</v>
      </c>
    </row>
    <row r="194" spans="1:10">
      <c r="A194" t="s">
        <v>53</v>
      </c>
      <c r="B194">
        <v>1</v>
      </c>
      <c r="D194" t="s">
        <v>3656</v>
      </c>
      <c r="E194" t="s">
        <v>3657</v>
      </c>
      <c r="F194" t="s">
        <v>193</v>
      </c>
      <c r="G194" t="s">
        <v>193</v>
      </c>
      <c r="H194" t="s">
        <v>3660</v>
      </c>
      <c r="I194" t="s">
        <v>3661</v>
      </c>
      <c r="J194">
        <v>41135028</v>
      </c>
    </row>
    <row r="195" spans="1:10">
      <c r="A195" t="s">
        <v>53</v>
      </c>
      <c r="B195">
        <v>1</v>
      </c>
      <c r="D195" t="s">
        <v>3656</v>
      </c>
      <c r="E195" t="s">
        <v>3657</v>
      </c>
      <c r="F195" t="s">
        <v>193</v>
      </c>
      <c r="G195" t="s">
        <v>193</v>
      </c>
      <c r="H195" t="s">
        <v>3662</v>
      </c>
      <c r="I195" t="s">
        <v>3663</v>
      </c>
      <c r="J195">
        <v>41135028</v>
      </c>
    </row>
    <row r="196" spans="1:10">
      <c r="A196" t="s">
        <v>53</v>
      </c>
      <c r="B196">
        <v>1</v>
      </c>
      <c r="D196" t="s">
        <v>3656</v>
      </c>
      <c r="E196" t="s">
        <v>3657</v>
      </c>
      <c r="F196" t="s">
        <v>193</v>
      </c>
      <c r="G196" t="s">
        <v>193</v>
      </c>
      <c r="H196" t="s">
        <v>3664</v>
      </c>
      <c r="I196" t="s">
        <v>3665</v>
      </c>
      <c r="J196">
        <v>41135028</v>
      </c>
    </row>
    <row r="197" spans="1:10">
      <c r="A197" t="s">
        <v>53</v>
      </c>
      <c r="B197">
        <v>1</v>
      </c>
      <c r="D197" t="s">
        <v>3656</v>
      </c>
      <c r="E197" t="s">
        <v>3657</v>
      </c>
      <c r="F197" t="s">
        <v>3666</v>
      </c>
      <c r="G197" t="s">
        <v>193</v>
      </c>
      <c r="H197" t="s">
        <v>3667</v>
      </c>
      <c r="I197" t="s">
        <v>3668</v>
      </c>
      <c r="J197">
        <v>41135028</v>
      </c>
    </row>
    <row r="198" spans="1:10">
      <c r="A198" t="s">
        <v>53</v>
      </c>
      <c r="B198">
        <v>1</v>
      </c>
      <c r="D198" t="s">
        <v>3656</v>
      </c>
      <c r="E198" t="s">
        <v>3657</v>
      </c>
      <c r="F198" t="s">
        <v>3666</v>
      </c>
      <c r="G198" t="s">
        <v>193</v>
      </c>
      <c r="H198" t="s">
        <v>3669</v>
      </c>
      <c r="I198" t="s">
        <v>3670</v>
      </c>
      <c r="J198">
        <v>41135028</v>
      </c>
    </row>
    <row r="199" spans="1:10">
      <c r="A199" t="s">
        <v>53</v>
      </c>
      <c r="B199">
        <v>1</v>
      </c>
      <c r="D199" t="s">
        <v>3656</v>
      </c>
      <c r="E199" t="s">
        <v>3657</v>
      </c>
      <c r="F199" t="s">
        <v>193</v>
      </c>
      <c r="G199" t="s">
        <v>193</v>
      </c>
      <c r="H199" t="s">
        <v>3671</v>
      </c>
      <c r="I199" t="s">
        <v>3672</v>
      </c>
      <c r="J199">
        <v>41135028</v>
      </c>
    </row>
    <row r="200" spans="1:10">
      <c r="A200" t="s">
        <v>53</v>
      </c>
      <c r="B200">
        <v>0</v>
      </c>
      <c r="E200" t="s">
        <v>3655</v>
      </c>
      <c r="I200" t="s">
        <v>3673</v>
      </c>
      <c r="J200">
        <v>41135028</v>
      </c>
    </row>
    <row r="201" spans="1:10">
      <c r="A201" t="s">
        <v>53</v>
      </c>
      <c r="B201">
        <v>1</v>
      </c>
      <c r="D201" t="s">
        <v>3673</v>
      </c>
      <c r="E201" t="s">
        <v>3674</v>
      </c>
      <c r="F201" t="s">
        <v>3675</v>
      </c>
      <c r="G201" t="s">
        <v>193</v>
      </c>
      <c r="H201" t="s">
        <v>3676</v>
      </c>
      <c r="I201" t="s">
        <v>3677</v>
      </c>
      <c r="J201">
        <v>41135028</v>
      </c>
    </row>
    <row r="202" spans="1:10">
      <c r="A202" t="s">
        <v>55</v>
      </c>
      <c r="B202">
        <v>0</v>
      </c>
      <c r="E202" t="s">
        <v>3655</v>
      </c>
      <c r="I202" t="s">
        <v>3656</v>
      </c>
      <c r="J202">
        <v>41393779</v>
      </c>
    </row>
    <row r="203" spans="1:10">
      <c r="A203" t="s">
        <v>55</v>
      </c>
      <c r="B203">
        <v>1</v>
      </c>
      <c r="D203" t="s">
        <v>3656</v>
      </c>
      <c r="E203" t="s">
        <v>3657</v>
      </c>
      <c r="F203" t="s">
        <v>193</v>
      </c>
      <c r="G203" t="s">
        <v>193</v>
      </c>
      <c r="H203" t="s">
        <v>3658</v>
      </c>
      <c r="I203" t="s">
        <v>3659</v>
      </c>
      <c r="J203">
        <v>41393779</v>
      </c>
    </row>
    <row r="204" spans="1:10">
      <c r="A204" t="s">
        <v>55</v>
      </c>
      <c r="B204">
        <v>1</v>
      </c>
      <c r="D204" t="s">
        <v>3656</v>
      </c>
      <c r="E204" t="s">
        <v>3657</v>
      </c>
      <c r="F204" t="s">
        <v>193</v>
      </c>
      <c r="G204" t="s">
        <v>193</v>
      </c>
      <c r="H204" t="s">
        <v>3660</v>
      </c>
      <c r="I204" t="s">
        <v>3661</v>
      </c>
      <c r="J204">
        <v>41393779</v>
      </c>
    </row>
    <row r="205" spans="1:10">
      <c r="A205" t="s">
        <v>55</v>
      </c>
      <c r="B205">
        <v>1</v>
      </c>
      <c r="D205" t="s">
        <v>3656</v>
      </c>
      <c r="E205" t="s">
        <v>3657</v>
      </c>
      <c r="F205" t="s">
        <v>193</v>
      </c>
      <c r="G205" t="s">
        <v>193</v>
      </c>
      <c r="H205" t="s">
        <v>3662</v>
      </c>
      <c r="I205" t="s">
        <v>3663</v>
      </c>
      <c r="J205">
        <v>41393779</v>
      </c>
    </row>
    <row r="206" spans="1:10">
      <c r="A206" t="s">
        <v>55</v>
      </c>
      <c r="B206">
        <v>1</v>
      </c>
      <c r="D206" t="s">
        <v>3656</v>
      </c>
      <c r="E206" t="s">
        <v>3657</v>
      </c>
      <c r="F206" t="s">
        <v>193</v>
      </c>
      <c r="G206" t="s">
        <v>193</v>
      </c>
      <c r="H206" t="s">
        <v>3664</v>
      </c>
      <c r="I206" t="s">
        <v>3665</v>
      </c>
      <c r="J206">
        <v>41393779</v>
      </c>
    </row>
    <row r="207" spans="1:10">
      <c r="A207" t="s">
        <v>55</v>
      </c>
      <c r="B207">
        <v>1</v>
      </c>
      <c r="D207" t="s">
        <v>3656</v>
      </c>
      <c r="E207" t="s">
        <v>3657</v>
      </c>
      <c r="F207" t="s">
        <v>3666</v>
      </c>
      <c r="G207" t="s">
        <v>193</v>
      </c>
      <c r="H207" t="s">
        <v>3667</v>
      </c>
      <c r="I207" t="s">
        <v>3668</v>
      </c>
      <c r="J207">
        <v>41393779</v>
      </c>
    </row>
    <row r="208" spans="1:10">
      <c r="A208" t="s">
        <v>55</v>
      </c>
      <c r="B208">
        <v>1</v>
      </c>
      <c r="D208" t="s">
        <v>3656</v>
      </c>
      <c r="E208" t="s">
        <v>3657</v>
      </c>
      <c r="F208" t="s">
        <v>3666</v>
      </c>
      <c r="G208" t="s">
        <v>193</v>
      </c>
      <c r="H208" t="s">
        <v>3669</v>
      </c>
      <c r="I208" t="s">
        <v>3670</v>
      </c>
      <c r="J208">
        <v>41393779</v>
      </c>
    </row>
    <row r="209" spans="1:10">
      <c r="A209" t="s">
        <v>55</v>
      </c>
      <c r="B209">
        <v>1</v>
      </c>
      <c r="D209" t="s">
        <v>3656</v>
      </c>
      <c r="E209" t="s">
        <v>3657</v>
      </c>
      <c r="F209" t="s">
        <v>193</v>
      </c>
      <c r="G209" t="s">
        <v>193</v>
      </c>
      <c r="H209" t="s">
        <v>3671</v>
      </c>
      <c r="I209" t="s">
        <v>3672</v>
      </c>
      <c r="J209">
        <v>41393779</v>
      </c>
    </row>
    <row r="210" spans="1:10">
      <c r="A210" t="s">
        <v>55</v>
      </c>
      <c r="B210">
        <v>0</v>
      </c>
      <c r="E210" t="s">
        <v>3655</v>
      </c>
      <c r="I210" t="s">
        <v>3673</v>
      </c>
      <c r="J210">
        <v>41393779</v>
      </c>
    </row>
    <row r="211" spans="1:10">
      <c r="A211" t="s">
        <v>55</v>
      </c>
      <c r="B211">
        <v>1</v>
      </c>
      <c r="D211" t="s">
        <v>3673</v>
      </c>
      <c r="E211" t="s">
        <v>3674</v>
      </c>
      <c r="F211" t="s">
        <v>3675</v>
      </c>
      <c r="G211" t="s">
        <v>193</v>
      </c>
      <c r="H211" t="s">
        <v>3676</v>
      </c>
      <c r="I211" t="s">
        <v>3677</v>
      </c>
      <c r="J211">
        <v>41393779</v>
      </c>
    </row>
    <row r="212" spans="1:10">
      <c r="A212" t="s">
        <v>57</v>
      </c>
      <c r="B212">
        <v>0</v>
      </c>
      <c r="E212" t="s">
        <v>3655</v>
      </c>
      <c r="I212" t="s">
        <v>3656</v>
      </c>
      <c r="J212">
        <v>41359860</v>
      </c>
    </row>
    <row r="213" spans="1:10">
      <c r="A213" t="s">
        <v>57</v>
      </c>
      <c r="B213">
        <v>1</v>
      </c>
      <c r="D213" t="s">
        <v>3656</v>
      </c>
      <c r="E213" t="s">
        <v>3657</v>
      </c>
      <c r="F213" t="s">
        <v>193</v>
      </c>
      <c r="G213" t="s">
        <v>193</v>
      </c>
      <c r="H213" t="s">
        <v>3658</v>
      </c>
      <c r="I213" t="s">
        <v>3659</v>
      </c>
      <c r="J213">
        <v>41359860</v>
      </c>
    </row>
    <row r="214" spans="1:10">
      <c r="A214" t="s">
        <v>57</v>
      </c>
      <c r="B214">
        <v>1</v>
      </c>
      <c r="D214" t="s">
        <v>3656</v>
      </c>
      <c r="E214" t="s">
        <v>3657</v>
      </c>
      <c r="F214" t="s">
        <v>193</v>
      </c>
      <c r="G214" t="s">
        <v>193</v>
      </c>
      <c r="H214" t="s">
        <v>3660</v>
      </c>
      <c r="I214" t="s">
        <v>3661</v>
      </c>
      <c r="J214">
        <v>41359860</v>
      </c>
    </row>
    <row r="215" spans="1:10">
      <c r="A215" t="s">
        <v>57</v>
      </c>
      <c r="B215">
        <v>1</v>
      </c>
      <c r="D215" t="s">
        <v>3656</v>
      </c>
      <c r="E215" t="s">
        <v>3657</v>
      </c>
      <c r="F215" t="s">
        <v>193</v>
      </c>
      <c r="G215" t="s">
        <v>193</v>
      </c>
      <c r="H215" t="s">
        <v>3662</v>
      </c>
      <c r="I215" t="s">
        <v>3663</v>
      </c>
      <c r="J215">
        <v>41359860</v>
      </c>
    </row>
    <row r="216" spans="1:10">
      <c r="A216" t="s">
        <v>57</v>
      </c>
      <c r="B216">
        <v>1</v>
      </c>
      <c r="D216" t="s">
        <v>3656</v>
      </c>
      <c r="E216" t="s">
        <v>3657</v>
      </c>
      <c r="F216" t="s">
        <v>193</v>
      </c>
      <c r="G216" t="s">
        <v>193</v>
      </c>
      <c r="H216" t="s">
        <v>3664</v>
      </c>
      <c r="I216" t="s">
        <v>3665</v>
      </c>
      <c r="J216">
        <v>41359860</v>
      </c>
    </row>
    <row r="217" spans="1:10">
      <c r="A217" t="s">
        <v>57</v>
      </c>
      <c r="B217">
        <v>1</v>
      </c>
      <c r="D217" t="s">
        <v>3656</v>
      </c>
      <c r="E217" t="s">
        <v>3657</v>
      </c>
      <c r="F217" t="s">
        <v>3666</v>
      </c>
      <c r="G217" t="s">
        <v>193</v>
      </c>
      <c r="H217" t="s">
        <v>3667</v>
      </c>
      <c r="I217" t="s">
        <v>3668</v>
      </c>
      <c r="J217">
        <v>41359860</v>
      </c>
    </row>
    <row r="218" spans="1:10">
      <c r="A218" t="s">
        <v>57</v>
      </c>
      <c r="B218">
        <v>1</v>
      </c>
      <c r="D218" t="s">
        <v>3656</v>
      </c>
      <c r="E218" t="s">
        <v>3657</v>
      </c>
      <c r="F218" t="s">
        <v>3666</v>
      </c>
      <c r="G218" t="s">
        <v>193</v>
      </c>
      <c r="H218" t="s">
        <v>3669</v>
      </c>
      <c r="I218" t="s">
        <v>3670</v>
      </c>
      <c r="J218">
        <v>41359860</v>
      </c>
    </row>
    <row r="219" spans="1:10">
      <c r="A219" t="s">
        <v>57</v>
      </c>
      <c r="B219">
        <v>1</v>
      </c>
      <c r="D219" t="s">
        <v>3656</v>
      </c>
      <c r="E219" t="s">
        <v>3657</v>
      </c>
      <c r="F219" t="s">
        <v>193</v>
      </c>
      <c r="G219" t="s">
        <v>193</v>
      </c>
      <c r="H219" t="s">
        <v>3671</v>
      </c>
      <c r="I219" t="s">
        <v>3672</v>
      </c>
      <c r="J219">
        <v>41359860</v>
      </c>
    </row>
    <row r="220" spans="1:10">
      <c r="A220" t="s">
        <v>57</v>
      </c>
      <c r="B220">
        <v>0</v>
      </c>
      <c r="E220" t="s">
        <v>3655</v>
      </c>
      <c r="I220" t="s">
        <v>3673</v>
      </c>
      <c r="J220">
        <v>41359860</v>
      </c>
    </row>
    <row r="221" spans="1:10">
      <c r="A221" t="s">
        <v>57</v>
      </c>
      <c r="B221">
        <v>1</v>
      </c>
      <c r="D221" t="s">
        <v>3673</v>
      </c>
      <c r="E221" t="s">
        <v>3674</v>
      </c>
      <c r="F221" t="s">
        <v>3675</v>
      </c>
      <c r="G221" t="s">
        <v>193</v>
      </c>
      <c r="H221" t="s">
        <v>3676</v>
      </c>
      <c r="I221" t="s">
        <v>3677</v>
      </c>
      <c r="J221">
        <v>41359860</v>
      </c>
    </row>
    <row r="222" spans="1:10">
      <c r="A222" t="s">
        <v>59</v>
      </c>
      <c r="B222">
        <v>0</v>
      </c>
      <c r="E222" t="s">
        <v>3655</v>
      </c>
      <c r="I222" t="s">
        <v>3656</v>
      </c>
      <c r="J222">
        <v>39193215</v>
      </c>
    </row>
    <row r="223" spans="1:10">
      <c r="A223" t="s">
        <v>59</v>
      </c>
      <c r="B223">
        <v>1</v>
      </c>
      <c r="D223" t="s">
        <v>3656</v>
      </c>
      <c r="E223" t="s">
        <v>3657</v>
      </c>
      <c r="F223" t="s">
        <v>193</v>
      </c>
      <c r="G223" t="s">
        <v>193</v>
      </c>
      <c r="H223" t="s">
        <v>3658</v>
      </c>
      <c r="I223" t="s">
        <v>3659</v>
      </c>
      <c r="J223">
        <v>39193215</v>
      </c>
    </row>
    <row r="224" spans="1:10">
      <c r="A224" t="s">
        <v>59</v>
      </c>
      <c r="B224">
        <v>1</v>
      </c>
      <c r="D224" t="s">
        <v>3656</v>
      </c>
      <c r="E224" t="s">
        <v>3657</v>
      </c>
      <c r="F224" t="s">
        <v>193</v>
      </c>
      <c r="G224" t="s">
        <v>193</v>
      </c>
      <c r="H224" t="s">
        <v>3660</v>
      </c>
      <c r="I224" t="s">
        <v>3661</v>
      </c>
      <c r="J224">
        <v>39193215</v>
      </c>
    </row>
    <row r="225" spans="1:10">
      <c r="A225" t="s">
        <v>59</v>
      </c>
      <c r="B225">
        <v>1</v>
      </c>
      <c r="D225" t="s">
        <v>3656</v>
      </c>
      <c r="E225" t="s">
        <v>3657</v>
      </c>
      <c r="F225" t="s">
        <v>193</v>
      </c>
      <c r="G225" t="s">
        <v>193</v>
      </c>
      <c r="H225" t="s">
        <v>3662</v>
      </c>
      <c r="I225" t="s">
        <v>3663</v>
      </c>
      <c r="J225">
        <v>39193215</v>
      </c>
    </row>
    <row r="226" spans="1:10">
      <c r="A226" t="s">
        <v>59</v>
      </c>
      <c r="B226">
        <v>1</v>
      </c>
      <c r="D226" t="s">
        <v>3656</v>
      </c>
      <c r="E226" t="s">
        <v>3657</v>
      </c>
      <c r="F226" t="s">
        <v>193</v>
      </c>
      <c r="G226" t="s">
        <v>193</v>
      </c>
      <c r="H226" t="s">
        <v>3664</v>
      </c>
      <c r="I226" t="s">
        <v>3665</v>
      </c>
      <c r="J226">
        <v>39193215</v>
      </c>
    </row>
    <row r="227" spans="1:10">
      <c r="A227" t="s">
        <v>59</v>
      </c>
      <c r="B227">
        <v>1</v>
      </c>
      <c r="D227" t="s">
        <v>3656</v>
      </c>
      <c r="E227" t="s">
        <v>3657</v>
      </c>
      <c r="F227" t="s">
        <v>3666</v>
      </c>
      <c r="G227" t="s">
        <v>193</v>
      </c>
      <c r="H227" t="s">
        <v>3667</v>
      </c>
      <c r="I227" t="s">
        <v>3668</v>
      </c>
      <c r="J227">
        <v>39193215</v>
      </c>
    </row>
    <row r="228" spans="1:10">
      <c r="A228" t="s">
        <v>59</v>
      </c>
      <c r="B228">
        <v>1</v>
      </c>
      <c r="D228" t="s">
        <v>3656</v>
      </c>
      <c r="E228" t="s">
        <v>3657</v>
      </c>
      <c r="F228" t="s">
        <v>3666</v>
      </c>
      <c r="G228" t="s">
        <v>193</v>
      </c>
      <c r="H228" t="s">
        <v>3669</v>
      </c>
      <c r="I228" t="s">
        <v>3670</v>
      </c>
      <c r="J228">
        <v>39193215</v>
      </c>
    </row>
    <row r="229" spans="1:10">
      <c r="A229" t="s">
        <v>59</v>
      </c>
      <c r="B229">
        <v>1</v>
      </c>
      <c r="D229" t="s">
        <v>3656</v>
      </c>
      <c r="E229" t="s">
        <v>3657</v>
      </c>
      <c r="F229" t="s">
        <v>193</v>
      </c>
      <c r="G229" t="s">
        <v>193</v>
      </c>
      <c r="H229" t="s">
        <v>3671</v>
      </c>
      <c r="I229" t="s">
        <v>3672</v>
      </c>
      <c r="J229">
        <v>39193215</v>
      </c>
    </row>
    <row r="230" spans="1:10">
      <c r="A230" t="s">
        <v>59</v>
      </c>
      <c r="B230">
        <v>0</v>
      </c>
      <c r="E230" t="s">
        <v>3655</v>
      </c>
      <c r="I230" t="s">
        <v>3673</v>
      </c>
      <c r="J230">
        <v>39193215</v>
      </c>
    </row>
    <row r="231" spans="1:10">
      <c r="A231" t="s">
        <v>59</v>
      </c>
      <c r="B231">
        <v>1</v>
      </c>
      <c r="D231" t="s">
        <v>3673</v>
      </c>
      <c r="E231" t="s">
        <v>3674</v>
      </c>
      <c r="F231" t="s">
        <v>3675</v>
      </c>
      <c r="G231" t="s">
        <v>193</v>
      </c>
      <c r="H231" t="s">
        <v>3676</v>
      </c>
      <c r="I231" t="s">
        <v>3677</v>
      </c>
      <c r="J231">
        <v>39193215</v>
      </c>
    </row>
    <row r="232" spans="1:10">
      <c r="A232" t="s">
        <v>61</v>
      </c>
      <c r="B232">
        <v>0</v>
      </c>
      <c r="E232" t="s">
        <v>3655</v>
      </c>
      <c r="I232" t="s">
        <v>3656</v>
      </c>
      <c r="J232">
        <v>39854943</v>
      </c>
    </row>
    <row r="233" spans="1:10">
      <c r="A233" t="s">
        <v>61</v>
      </c>
      <c r="B233">
        <v>1</v>
      </c>
      <c r="D233" t="s">
        <v>3656</v>
      </c>
      <c r="E233" t="s">
        <v>3657</v>
      </c>
      <c r="F233" t="s">
        <v>193</v>
      </c>
      <c r="G233" t="s">
        <v>193</v>
      </c>
      <c r="H233" t="s">
        <v>3658</v>
      </c>
      <c r="I233" t="s">
        <v>3659</v>
      </c>
      <c r="J233">
        <v>39854943</v>
      </c>
    </row>
    <row r="234" spans="1:10">
      <c r="A234" t="s">
        <v>61</v>
      </c>
      <c r="B234">
        <v>1</v>
      </c>
      <c r="D234" t="s">
        <v>3656</v>
      </c>
      <c r="E234" t="s">
        <v>3657</v>
      </c>
      <c r="F234" t="s">
        <v>193</v>
      </c>
      <c r="G234" t="s">
        <v>193</v>
      </c>
      <c r="H234" t="s">
        <v>3660</v>
      </c>
      <c r="I234" t="s">
        <v>3661</v>
      </c>
      <c r="J234">
        <v>39854943</v>
      </c>
    </row>
    <row r="235" spans="1:10">
      <c r="A235" t="s">
        <v>61</v>
      </c>
      <c r="B235">
        <v>1</v>
      </c>
      <c r="D235" t="s">
        <v>3656</v>
      </c>
      <c r="E235" t="s">
        <v>3657</v>
      </c>
      <c r="F235" t="s">
        <v>193</v>
      </c>
      <c r="G235" t="s">
        <v>193</v>
      </c>
      <c r="H235" t="s">
        <v>3662</v>
      </c>
      <c r="I235" t="s">
        <v>3663</v>
      </c>
      <c r="J235">
        <v>39854943</v>
      </c>
    </row>
    <row r="236" spans="1:10">
      <c r="A236" t="s">
        <v>61</v>
      </c>
      <c r="B236">
        <v>1</v>
      </c>
      <c r="D236" t="s">
        <v>3656</v>
      </c>
      <c r="E236" t="s">
        <v>3657</v>
      </c>
      <c r="F236" t="s">
        <v>193</v>
      </c>
      <c r="G236" t="s">
        <v>193</v>
      </c>
      <c r="H236" t="s">
        <v>3664</v>
      </c>
      <c r="I236" t="s">
        <v>3665</v>
      </c>
      <c r="J236">
        <v>39854943</v>
      </c>
    </row>
    <row r="237" spans="1:10">
      <c r="A237" t="s">
        <v>61</v>
      </c>
      <c r="B237">
        <v>1</v>
      </c>
      <c r="D237" t="s">
        <v>3656</v>
      </c>
      <c r="E237" t="s">
        <v>3657</v>
      </c>
      <c r="F237" t="s">
        <v>3666</v>
      </c>
      <c r="G237" t="s">
        <v>193</v>
      </c>
      <c r="H237" t="s">
        <v>3667</v>
      </c>
      <c r="I237" t="s">
        <v>3668</v>
      </c>
      <c r="J237">
        <v>39854943</v>
      </c>
    </row>
    <row r="238" spans="1:10">
      <c r="A238" t="s">
        <v>61</v>
      </c>
      <c r="B238">
        <v>1</v>
      </c>
      <c r="D238" t="s">
        <v>3656</v>
      </c>
      <c r="E238" t="s">
        <v>3657</v>
      </c>
      <c r="F238" t="s">
        <v>3666</v>
      </c>
      <c r="G238" t="s">
        <v>193</v>
      </c>
      <c r="H238" t="s">
        <v>3669</v>
      </c>
      <c r="I238" t="s">
        <v>3670</v>
      </c>
      <c r="J238">
        <v>39854943</v>
      </c>
    </row>
    <row r="239" spans="1:10">
      <c r="A239" t="s">
        <v>61</v>
      </c>
      <c r="B239">
        <v>1</v>
      </c>
      <c r="D239" t="s">
        <v>3656</v>
      </c>
      <c r="E239" t="s">
        <v>3657</v>
      </c>
      <c r="F239" t="s">
        <v>193</v>
      </c>
      <c r="G239" t="s">
        <v>193</v>
      </c>
      <c r="H239" t="s">
        <v>3671</v>
      </c>
      <c r="I239" t="s">
        <v>3672</v>
      </c>
      <c r="J239">
        <v>39854943</v>
      </c>
    </row>
    <row r="240" spans="1:10">
      <c r="A240" t="s">
        <v>61</v>
      </c>
      <c r="B240">
        <v>0</v>
      </c>
      <c r="E240" t="s">
        <v>3655</v>
      </c>
      <c r="I240" t="s">
        <v>3673</v>
      </c>
      <c r="J240">
        <v>39854943</v>
      </c>
    </row>
    <row r="241" spans="1:10">
      <c r="A241" t="s">
        <v>61</v>
      </c>
      <c r="B241">
        <v>1</v>
      </c>
      <c r="D241" t="s">
        <v>3673</v>
      </c>
      <c r="E241" t="s">
        <v>3674</v>
      </c>
      <c r="F241" t="s">
        <v>3675</v>
      </c>
      <c r="G241" t="s">
        <v>193</v>
      </c>
      <c r="H241" t="s">
        <v>3676</v>
      </c>
      <c r="I241" t="s">
        <v>3677</v>
      </c>
      <c r="J241">
        <v>39854943</v>
      </c>
    </row>
    <row r="242" spans="1:10">
      <c r="A242" t="s">
        <v>63</v>
      </c>
      <c r="B242">
        <v>0</v>
      </c>
      <c r="E242" t="s">
        <v>3655</v>
      </c>
      <c r="I242" t="s">
        <v>3656</v>
      </c>
      <c r="J242">
        <v>41189526</v>
      </c>
    </row>
    <row r="243" spans="1:10">
      <c r="A243" t="s">
        <v>63</v>
      </c>
      <c r="B243">
        <v>1</v>
      </c>
      <c r="D243" t="s">
        <v>3656</v>
      </c>
      <c r="E243" t="s">
        <v>3657</v>
      </c>
      <c r="F243" t="s">
        <v>193</v>
      </c>
      <c r="G243" t="s">
        <v>193</v>
      </c>
      <c r="H243" t="s">
        <v>3658</v>
      </c>
      <c r="I243" t="s">
        <v>3659</v>
      </c>
      <c r="J243">
        <v>41189526</v>
      </c>
    </row>
    <row r="244" spans="1:10">
      <c r="A244" t="s">
        <v>63</v>
      </c>
      <c r="B244">
        <v>1</v>
      </c>
      <c r="D244" t="s">
        <v>3656</v>
      </c>
      <c r="E244" t="s">
        <v>3657</v>
      </c>
      <c r="F244" t="s">
        <v>193</v>
      </c>
      <c r="G244" t="s">
        <v>193</v>
      </c>
      <c r="H244" t="s">
        <v>3660</v>
      </c>
      <c r="I244" t="s">
        <v>3661</v>
      </c>
      <c r="J244">
        <v>41189526</v>
      </c>
    </row>
    <row r="245" spans="1:10">
      <c r="A245" t="s">
        <v>63</v>
      </c>
      <c r="B245">
        <v>1</v>
      </c>
      <c r="D245" t="s">
        <v>3656</v>
      </c>
      <c r="E245" t="s">
        <v>3657</v>
      </c>
      <c r="F245" t="s">
        <v>193</v>
      </c>
      <c r="G245" t="s">
        <v>193</v>
      </c>
      <c r="H245" t="s">
        <v>3662</v>
      </c>
      <c r="I245" t="s">
        <v>3663</v>
      </c>
      <c r="J245">
        <v>41189526</v>
      </c>
    </row>
    <row r="246" spans="1:10">
      <c r="A246" t="s">
        <v>63</v>
      </c>
      <c r="B246">
        <v>1</v>
      </c>
      <c r="D246" t="s">
        <v>3656</v>
      </c>
      <c r="E246" t="s">
        <v>3657</v>
      </c>
      <c r="F246" t="s">
        <v>193</v>
      </c>
      <c r="G246" t="s">
        <v>193</v>
      </c>
      <c r="H246" t="s">
        <v>3664</v>
      </c>
      <c r="I246" t="s">
        <v>3665</v>
      </c>
      <c r="J246">
        <v>41189526</v>
      </c>
    </row>
    <row r="247" spans="1:10">
      <c r="A247" t="s">
        <v>63</v>
      </c>
      <c r="B247">
        <v>1</v>
      </c>
      <c r="D247" t="s">
        <v>3656</v>
      </c>
      <c r="E247" t="s">
        <v>3657</v>
      </c>
      <c r="F247" t="s">
        <v>3666</v>
      </c>
      <c r="G247" t="s">
        <v>193</v>
      </c>
      <c r="H247" t="s">
        <v>3667</v>
      </c>
      <c r="I247" t="s">
        <v>3668</v>
      </c>
      <c r="J247">
        <v>41189526</v>
      </c>
    </row>
    <row r="248" spans="1:10">
      <c r="A248" t="s">
        <v>63</v>
      </c>
      <c r="B248">
        <v>1</v>
      </c>
      <c r="D248" t="s">
        <v>3656</v>
      </c>
      <c r="E248" t="s">
        <v>3657</v>
      </c>
      <c r="F248" t="s">
        <v>3666</v>
      </c>
      <c r="G248" t="s">
        <v>193</v>
      </c>
      <c r="H248" t="s">
        <v>3669</v>
      </c>
      <c r="I248" t="s">
        <v>3670</v>
      </c>
      <c r="J248">
        <v>41189526</v>
      </c>
    </row>
    <row r="249" spans="1:10">
      <c r="A249" t="s">
        <v>63</v>
      </c>
      <c r="B249">
        <v>1</v>
      </c>
      <c r="D249" t="s">
        <v>3656</v>
      </c>
      <c r="E249" t="s">
        <v>3657</v>
      </c>
      <c r="F249" t="s">
        <v>193</v>
      </c>
      <c r="G249" t="s">
        <v>193</v>
      </c>
      <c r="H249" t="s">
        <v>3671</v>
      </c>
      <c r="I249" t="s">
        <v>3672</v>
      </c>
      <c r="J249">
        <v>41189526</v>
      </c>
    </row>
    <row r="250" spans="1:10">
      <c r="A250" t="s">
        <v>63</v>
      </c>
      <c r="B250">
        <v>0</v>
      </c>
      <c r="E250" t="s">
        <v>3655</v>
      </c>
      <c r="I250" t="s">
        <v>3673</v>
      </c>
      <c r="J250">
        <v>41189526</v>
      </c>
    </row>
    <row r="251" spans="1:10">
      <c r="A251" t="s">
        <v>63</v>
      </c>
      <c r="B251">
        <v>1</v>
      </c>
      <c r="D251" t="s">
        <v>3673</v>
      </c>
      <c r="E251" t="s">
        <v>3674</v>
      </c>
      <c r="F251" t="s">
        <v>3675</v>
      </c>
      <c r="G251" t="s">
        <v>193</v>
      </c>
      <c r="H251" t="s">
        <v>3676</v>
      </c>
      <c r="I251" t="s">
        <v>3677</v>
      </c>
      <c r="J251">
        <v>41189526</v>
      </c>
    </row>
    <row r="252" spans="1:10">
      <c r="A252" t="s">
        <v>65</v>
      </c>
      <c r="B252">
        <v>0</v>
      </c>
      <c r="E252" t="s">
        <v>3655</v>
      </c>
      <c r="I252" t="s">
        <v>3656</v>
      </c>
      <c r="J252">
        <v>41187820</v>
      </c>
    </row>
    <row r="253" spans="1:10">
      <c r="A253" t="s">
        <v>65</v>
      </c>
      <c r="B253">
        <v>1</v>
      </c>
      <c r="D253" t="s">
        <v>3656</v>
      </c>
      <c r="E253" t="s">
        <v>3657</v>
      </c>
      <c r="F253" t="s">
        <v>193</v>
      </c>
      <c r="G253" t="s">
        <v>193</v>
      </c>
      <c r="H253" t="s">
        <v>3658</v>
      </c>
      <c r="I253" t="s">
        <v>3659</v>
      </c>
      <c r="J253">
        <v>41187820</v>
      </c>
    </row>
    <row r="254" spans="1:10">
      <c r="A254" t="s">
        <v>65</v>
      </c>
      <c r="B254">
        <v>1</v>
      </c>
      <c r="D254" t="s">
        <v>3656</v>
      </c>
      <c r="E254" t="s">
        <v>3657</v>
      </c>
      <c r="F254" t="s">
        <v>193</v>
      </c>
      <c r="G254" t="s">
        <v>193</v>
      </c>
      <c r="H254" t="s">
        <v>3660</v>
      </c>
      <c r="I254" t="s">
        <v>3661</v>
      </c>
      <c r="J254">
        <v>41187820</v>
      </c>
    </row>
    <row r="255" spans="1:10">
      <c r="A255" t="s">
        <v>65</v>
      </c>
      <c r="B255">
        <v>1</v>
      </c>
      <c r="D255" t="s">
        <v>3656</v>
      </c>
      <c r="E255" t="s">
        <v>3657</v>
      </c>
      <c r="F255" t="s">
        <v>193</v>
      </c>
      <c r="G255" t="s">
        <v>193</v>
      </c>
      <c r="H255" t="s">
        <v>3662</v>
      </c>
      <c r="I255" t="s">
        <v>3663</v>
      </c>
      <c r="J255">
        <v>41187820</v>
      </c>
    </row>
    <row r="256" spans="1:10">
      <c r="A256" t="s">
        <v>65</v>
      </c>
      <c r="B256">
        <v>1</v>
      </c>
      <c r="D256" t="s">
        <v>3656</v>
      </c>
      <c r="E256" t="s">
        <v>3657</v>
      </c>
      <c r="F256" t="s">
        <v>193</v>
      </c>
      <c r="G256" t="s">
        <v>193</v>
      </c>
      <c r="H256" t="s">
        <v>3664</v>
      </c>
      <c r="I256" t="s">
        <v>3665</v>
      </c>
      <c r="J256">
        <v>41187820</v>
      </c>
    </row>
    <row r="257" spans="1:10">
      <c r="A257" t="s">
        <v>65</v>
      </c>
      <c r="B257">
        <v>1</v>
      </c>
      <c r="D257" t="s">
        <v>3656</v>
      </c>
      <c r="E257" t="s">
        <v>3657</v>
      </c>
      <c r="F257" t="s">
        <v>3666</v>
      </c>
      <c r="G257" t="s">
        <v>193</v>
      </c>
      <c r="H257" t="s">
        <v>3667</v>
      </c>
      <c r="I257" t="s">
        <v>3668</v>
      </c>
      <c r="J257">
        <v>41187820</v>
      </c>
    </row>
    <row r="258" spans="1:10">
      <c r="A258" t="s">
        <v>65</v>
      </c>
      <c r="B258">
        <v>1</v>
      </c>
      <c r="D258" t="s">
        <v>3656</v>
      </c>
      <c r="E258" t="s">
        <v>3657</v>
      </c>
      <c r="F258" t="s">
        <v>3666</v>
      </c>
      <c r="G258" t="s">
        <v>193</v>
      </c>
      <c r="H258" t="s">
        <v>3669</v>
      </c>
      <c r="I258" t="s">
        <v>3670</v>
      </c>
      <c r="J258">
        <v>41187820</v>
      </c>
    </row>
    <row r="259" spans="1:10">
      <c r="A259" t="s">
        <v>65</v>
      </c>
      <c r="B259">
        <v>1</v>
      </c>
      <c r="D259" t="s">
        <v>3656</v>
      </c>
      <c r="E259" t="s">
        <v>3657</v>
      </c>
      <c r="F259" t="s">
        <v>193</v>
      </c>
      <c r="G259" t="s">
        <v>193</v>
      </c>
      <c r="H259" t="s">
        <v>3671</v>
      </c>
      <c r="I259" t="s">
        <v>3672</v>
      </c>
      <c r="J259">
        <v>41187820</v>
      </c>
    </row>
    <row r="260" spans="1:10">
      <c r="A260" t="s">
        <v>65</v>
      </c>
      <c r="B260">
        <v>0</v>
      </c>
      <c r="E260" t="s">
        <v>3655</v>
      </c>
      <c r="I260" t="s">
        <v>3673</v>
      </c>
      <c r="J260">
        <v>41187820</v>
      </c>
    </row>
    <row r="261" spans="1:10">
      <c r="A261" t="s">
        <v>65</v>
      </c>
      <c r="B261">
        <v>1</v>
      </c>
      <c r="D261" t="s">
        <v>3673</v>
      </c>
      <c r="E261" t="s">
        <v>3674</v>
      </c>
      <c r="F261" t="s">
        <v>3675</v>
      </c>
      <c r="G261" t="s">
        <v>193</v>
      </c>
      <c r="H261" t="s">
        <v>3676</v>
      </c>
      <c r="I261" t="s">
        <v>3677</v>
      </c>
      <c r="J261">
        <v>41187820</v>
      </c>
    </row>
    <row r="262" spans="1:10">
      <c r="A262" t="s">
        <v>67</v>
      </c>
      <c r="B262">
        <v>0</v>
      </c>
      <c r="E262" t="s">
        <v>3655</v>
      </c>
      <c r="I262" t="s">
        <v>3656</v>
      </c>
      <c r="J262">
        <v>41194026</v>
      </c>
    </row>
    <row r="263" spans="1:10">
      <c r="A263" t="s">
        <v>67</v>
      </c>
      <c r="B263">
        <v>1</v>
      </c>
      <c r="D263" t="s">
        <v>3656</v>
      </c>
      <c r="E263" t="s">
        <v>3657</v>
      </c>
      <c r="F263" t="s">
        <v>193</v>
      </c>
      <c r="G263" t="s">
        <v>193</v>
      </c>
      <c r="H263" t="s">
        <v>3658</v>
      </c>
      <c r="I263" t="s">
        <v>3659</v>
      </c>
      <c r="J263">
        <v>41194026</v>
      </c>
    </row>
    <row r="264" spans="1:10">
      <c r="A264" t="s">
        <v>67</v>
      </c>
      <c r="B264">
        <v>1</v>
      </c>
      <c r="D264" t="s">
        <v>3656</v>
      </c>
      <c r="E264" t="s">
        <v>3657</v>
      </c>
      <c r="F264" t="s">
        <v>193</v>
      </c>
      <c r="G264" t="s">
        <v>193</v>
      </c>
      <c r="H264" t="s">
        <v>3660</v>
      </c>
      <c r="I264" t="s">
        <v>3661</v>
      </c>
      <c r="J264">
        <v>41194026</v>
      </c>
    </row>
    <row r="265" spans="1:10">
      <c r="A265" t="s">
        <v>67</v>
      </c>
      <c r="B265">
        <v>1</v>
      </c>
      <c r="D265" t="s">
        <v>3656</v>
      </c>
      <c r="E265" t="s">
        <v>3657</v>
      </c>
      <c r="F265" t="s">
        <v>193</v>
      </c>
      <c r="G265" t="s">
        <v>193</v>
      </c>
      <c r="H265" t="s">
        <v>3662</v>
      </c>
      <c r="I265" t="s">
        <v>3663</v>
      </c>
      <c r="J265">
        <v>41194026</v>
      </c>
    </row>
    <row r="266" spans="1:10">
      <c r="A266" t="s">
        <v>67</v>
      </c>
      <c r="B266">
        <v>1</v>
      </c>
      <c r="D266" t="s">
        <v>3656</v>
      </c>
      <c r="E266" t="s">
        <v>3657</v>
      </c>
      <c r="F266" t="s">
        <v>193</v>
      </c>
      <c r="G266" t="s">
        <v>193</v>
      </c>
      <c r="H266" t="s">
        <v>3664</v>
      </c>
      <c r="I266" t="s">
        <v>3665</v>
      </c>
      <c r="J266">
        <v>41194026</v>
      </c>
    </row>
    <row r="267" spans="1:10">
      <c r="A267" t="s">
        <v>67</v>
      </c>
      <c r="B267">
        <v>1</v>
      </c>
      <c r="D267" t="s">
        <v>3656</v>
      </c>
      <c r="E267" t="s">
        <v>3657</v>
      </c>
      <c r="F267" t="s">
        <v>3666</v>
      </c>
      <c r="G267" t="s">
        <v>193</v>
      </c>
      <c r="H267" t="s">
        <v>3667</v>
      </c>
      <c r="I267" t="s">
        <v>3668</v>
      </c>
      <c r="J267">
        <v>41194026</v>
      </c>
    </row>
    <row r="268" spans="1:10">
      <c r="A268" t="s">
        <v>67</v>
      </c>
      <c r="B268">
        <v>1</v>
      </c>
      <c r="D268" t="s">
        <v>3656</v>
      </c>
      <c r="E268" t="s">
        <v>3657</v>
      </c>
      <c r="F268" t="s">
        <v>3666</v>
      </c>
      <c r="G268" t="s">
        <v>193</v>
      </c>
      <c r="H268" t="s">
        <v>3669</v>
      </c>
      <c r="I268" t="s">
        <v>3670</v>
      </c>
      <c r="J268">
        <v>41194026</v>
      </c>
    </row>
    <row r="269" spans="1:10">
      <c r="A269" t="s">
        <v>67</v>
      </c>
      <c r="B269">
        <v>1</v>
      </c>
      <c r="D269" t="s">
        <v>3656</v>
      </c>
      <c r="E269" t="s">
        <v>3657</v>
      </c>
      <c r="F269" t="s">
        <v>193</v>
      </c>
      <c r="G269" t="s">
        <v>193</v>
      </c>
      <c r="H269" t="s">
        <v>3671</v>
      </c>
      <c r="I269" t="s">
        <v>3672</v>
      </c>
      <c r="J269">
        <v>41194026</v>
      </c>
    </row>
    <row r="270" spans="1:10">
      <c r="A270" t="s">
        <v>67</v>
      </c>
      <c r="B270">
        <v>0</v>
      </c>
      <c r="E270" t="s">
        <v>3655</v>
      </c>
      <c r="I270" t="s">
        <v>3673</v>
      </c>
      <c r="J270">
        <v>41194026</v>
      </c>
    </row>
    <row r="271" spans="1:10">
      <c r="A271" t="s">
        <v>67</v>
      </c>
      <c r="B271">
        <v>1</v>
      </c>
      <c r="D271" t="s">
        <v>3673</v>
      </c>
      <c r="E271" t="s">
        <v>3674</v>
      </c>
      <c r="F271" t="s">
        <v>3675</v>
      </c>
      <c r="G271" t="s">
        <v>193</v>
      </c>
      <c r="H271" t="s">
        <v>3676</v>
      </c>
      <c r="I271" t="s">
        <v>3677</v>
      </c>
      <c r="J271">
        <v>41194026</v>
      </c>
    </row>
    <row r="272" spans="1:10">
      <c r="A272" t="s">
        <v>69</v>
      </c>
      <c r="B272">
        <v>0</v>
      </c>
      <c r="E272" t="s">
        <v>3655</v>
      </c>
      <c r="I272" t="s">
        <v>3656</v>
      </c>
      <c r="J272">
        <v>41274924</v>
      </c>
    </row>
    <row r="273" spans="1:10">
      <c r="A273" t="s">
        <v>69</v>
      </c>
      <c r="B273">
        <v>1</v>
      </c>
      <c r="D273" t="s">
        <v>3656</v>
      </c>
      <c r="E273" t="s">
        <v>3657</v>
      </c>
      <c r="F273" t="s">
        <v>193</v>
      </c>
      <c r="G273" t="s">
        <v>193</v>
      </c>
      <c r="H273" t="s">
        <v>3658</v>
      </c>
      <c r="I273" t="s">
        <v>3659</v>
      </c>
      <c r="J273">
        <v>41274924</v>
      </c>
    </row>
    <row r="274" spans="1:10">
      <c r="A274" t="s">
        <v>69</v>
      </c>
      <c r="B274">
        <v>1</v>
      </c>
      <c r="D274" t="s">
        <v>3656</v>
      </c>
      <c r="E274" t="s">
        <v>3657</v>
      </c>
      <c r="F274" t="s">
        <v>193</v>
      </c>
      <c r="G274" t="s">
        <v>193</v>
      </c>
      <c r="H274" t="s">
        <v>3660</v>
      </c>
      <c r="I274" t="s">
        <v>3661</v>
      </c>
      <c r="J274">
        <v>41274924</v>
      </c>
    </row>
    <row r="275" spans="1:10">
      <c r="A275" t="s">
        <v>69</v>
      </c>
      <c r="B275">
        <v>1</v>
      </c>
      <c r="D275" t="s">
        <v>3656</v>
      </c>
      <c r="E275" t="s">
        <v>3657</v>
      </c>
      <c r="F275" t="s">
        <v>193</v>
      </c>
      <c r="G275" t="s">
        <v>193</v>
      </c>
      <c r="H275" t="s">
        <v>3662</v>
      </c>
      <c r="I275" t="s">
        <v>3663</v>
      </c>
      <c r="J275">
        <v>41274924</v>
      </c>
    </row>
    <row r="276" spans="1:10">
      <c r="A276" t="s">
        <v>69</v>
      </c>
      <c r="B276">
        <v>1</v>
      </c>
      <c r="D276" t="s">
        <v>3656</v>
      </c>
      <c r="E276" t="s">
        <v>3657</v>
      </c>
      <c r="F276" t="s">
        <v>193</v>
      </c>
      <c r="G276" t="s">
        <v>193</v>
      </c>
      <c r="H276" t="s">
        <v>3664</v>
      </c>
      <c r="I276" t="s">
        <v>3665</v>
      </c>
      <c r="J276">
        <v>41274924</v>
      </c>
    </row>
    <row r="277" spans="1:10">
      <c r="A277" t="s">
        <v>69</v>
      </c>
      <c r="B277">
        <v>1</v>
      </c>
      <c r="D277" t="s">
        <v>3656</v>
      </c>
      <c r="E277" t="s">
        <v>3657</v>
      </c>
      <c r="F277" t="s">
        <v>3666</v>
      </c>
      <c r="G277" t="s">
        <v>193</v>
      </c>
      <c r="H277" t="s">
        <v>3667</v>
      </c>
      <c r="I277" t="s">
        <v>3668</v>
      </c>
      <c r="J277">
        <v>41274924</v>
      </c>
    </row>
    <row r="278" spans="1:10">
      <c r="A278" t="s">
        <v>69</v>
      </c>
      <c r="B278">
        <v>1</v>
      </c>
      <c r="D278" t="s">
        <v>3656</v>
      </c>
      <c r="E278" t="s">
        <v>3657</v>
      </c>
      <c r="F278" t="s">
        <v>3666</v>
      </c>
      <c r="G278" t="s">
        <v>193</v>
      </c>
      <c r="H278" t="s">
        <v>3669</v>
      </c>
      <c r="I278" t="s">
        <v>3670</v>
      </c>
      <c r="J278">
        <v>41274924</v>
      </c>
    </row>
    <row r="279" spans="1:10">
      <c r="A279" t="s">
        <v>69</v>
      </c>
      <c r="B279">
        <v>1</v>
      </c>
      <c r="D279" t="s">
        <v>3656</v>
      </c>
      <c r="E279" t="s">
        <v>3657</v>
      </c>
      <c r="F279" t="s">
        <v>193</v>
      </c>
      <c r="G279" t="s">
        <v>193</v>
      </c>
      <c r="H279" t="s">
        <v>3671</v>
      </c>
      <c r="I279" t="s">
        <v>3672</v>
      </c>
      <c r="J279">
        <v>41274924</v>
      </c>
    </row>
    <row r="280" spans="1:10">
      <c r="A280" t="s">
        <v>69</v>
      </c>
      <c r="B280">
        <v>0</v>
      </c>
      <c r="E280" t="s">
        <v>3655</v>
      </c>
      <c r="I280" t="s">
        <v>3673</v>
      </c>
      <c r="J280">
        <v>41274924</v>
      </c>
    </row>
    <row r="281" spans="1:10">
      <c r="A281" t="s">
        <v>69</v>
      </c>
      <c r="B281">
        <v>1</v>
      </c>
      <c r="D281" t="s">
        <v>3673</v>
      </c>
      <c r="E281" t="s">
        <v>3674</v>
      </c>
      <c r="F281" t="s">
        <v>3675</v>
      </c>
      <c r="G281" t="s">
        <v>193</v>
      </c>
      <c r="H281" t="s">
        <v>3676</v>
      </c>
      <c r="I281" t="s">
        <v>3677</v>
      </c>
      <c r="J281">
        <v>41274924</v>
      </c>
    </row>
    <row r="282" spans="1:10">
      <c r="A282" t="s">
        <v>71</v>
      </c>
      <c r="B282">
        <v>0</v>
      </c>
      <c r="E282" t="s">
        <v>3655</v>
      </c>
      <c r="I282" t="s">
        <v>3656</v>
      </c>
      <c r="J282">
        <v>41270430</v>
      </c>
    </row>
    <row r="283" spans="1:10">
      <c r="A283" t="s">
        <v>71</v>
      </c>
      <c r="B283">
        <v>1</v>
      </c>
      <c r="D283" t="s">
        <v>3656</v>
      </c>
      <c r="E283" t="s">
        <v>3657</v>
      </c>
      <c r="F283" t="s">
        <v>193</v>
      </c>
      <c r="G283" t="s">
        <v>193</v>
      </c>
      <c r="H283" t="s">
        <v>3658</v>
      </c>
      <c r="I283" t="s">
        <v>3659</v>
      </c>
      <c r="J283">
        <v>41270430</v>
      </c>
    </row>
    <row r="284" spans="1:10">
      <c r="A284" t="s">
        <v>71</v>
      </c>
      <c r="B284">
        <v>1</v>
      </c>
      <c r="D284" t="s">
        <v>3656</v>
      </c>
      <c r="E284" t="s">
        <v>3657</v>
      </c>
      <c r="F284" t="s">
        <v>193</v>
      </c>
      <c r="G284" t="s">
        <v>193</v>
      </c>
      <c r="H284" t="s">
        <v>3660</v>
      </c>
      <c r="I284" t="s">
        <v>3661</v>
      </c>
      <c r="J284">
        <v>41270430</v>
      </c>
    </row>
    <row r="285" spans="1:10">
      <c r="A285" t="s">
        <v>71</v>
      </c>
      <c r="B285">
        <v>1</v>
      </c>
      <c r="D285" t="s">
        <v>3656</v>
      </c>
      <c r="E285" t="s">
        <v>3657</v>
      </c>
      <c r="F285" t="s">
        <v>193</v>
      </c>
      <c r="G285" t="s">
        <v>193</v>
      </c>
      <c r="H285" t="s">
        <v>3662</v>
      </c>
      <c r="I285" t="s">
        <v>3663</v>
      </c>
      <c r="J285">
        <v>41270430</v>
      </c>
    </row>
    <row r="286" spans="1:10">
      <c r="A286" t="s">
        <v>71</v>
      </c>
      <c r="B286">
        <v>1</v>
      </c>
      <c r="D286" t="s">
        <v>3656</v>
      </c>
      <c r="E286" t="s">
        <v>3657</v>
      </c>
      <c r="F286" t="s">
        <v>193</v>
      </c>
      <c r="G286" t="s">
        <v>193</v>
      </c>
      <c r="H286" t="s">
        <v>3664</v>
      </c>
      <c r="I286" t="s">
        <v>3665</v>
      </c>
      <c r="J286">
        <v>41270430</v>
      </c>
    </row>
    <row r="287" spans="1:10">
      <c r="A287" t="s">
        <v>71</v>
      </c>
      <c r="B287">
        <v>1</v>
      </c>
      <c r="D287" t="s">
        <v>3656</v>
      </c>
      <c r="E287" t="s">
        <v>3657</v>
      </c>
      <c r="F287" t="s">
        <v>3666</v>
      </c>
      <c r="G287" t="s">
        <v>193</v>
      </c>
      <c r="H287" t="s">
        <v>3667</v>
      </c>
      <c r="I287" t="s">
        <v>3668</v>
      </c>
      <c r="J287">
        <v>41270430</v>
      </c>
    </row>
    <row r="288" spans="1:10">
      <c r="A288" t="s">
        <v>71</v>
      </c>
      <c r="B288">
        <v>1</v>
      </c>
      <c r="D288" t="s">
        <v>3656</v>
      </c>
      <c r="E288" t="s">
        <v>3657</v>
      </c>
      <c r="F288" t="s">
        <v>3666</v>
      </c>
      <c r="G288" t="s">
        <v>193</v>
      </c>
      <c r="H288" t="s">
        <v>3669</v>
      </c>
      <c r="I288" t="s">
        <v>3670</v>
      </c>
      <c r="J288">
        <v>41270430</v>
      </c>
    </row>
    <row r="289" spans="1:10">
      <c r="A289" t="s">
        <v>71</v>
      </c>
      <c r="B289">
        <v>1</v>
      </c>
      <c r="D289" t="s">
        <v>3656</v>
      </c>
      <c r="E289" t="s">
        <v>3657</v>
      </c>
      <c r="F289" t="s">
        <v>193</v>
      </c>
      <c r="G289" t="s">
        <v>193</v>
      </c>
      <c r="H289" t="s">
        <v>3671</v>
      </c>
      <c r="I289" t="s">
        <v>3672</v>
      </c>
      <c r="J289">
        <v>41270430</v>
      </c>
    </row>
    <row r="290" spans="1:10">
      <c r="A290" t="s">
        <v>71</v>
      </c>
      <c r="B290">
        <v>0</v>
      </c>
      <c r="E290" t="s">
        <v>3655</v>
      </c>
      <c r="I290" t="s">
        <v>3673</v>
      </c>
      <c r="J290">
        <v>41270430</v>
      </c>
    </row>
    <row r="291" spans="1:10">
      <c r="A291" t="s">
        <v>71</v>
      </c>
      <c r="B291">
        <v>1</v>
      </c>
      <c r="D291" t="s">
        <v>3673</v>
      </c>
      <c r="E291" t="s">
        <v>3674</v>
      </c>
      <c r="F291" t="s">
        <v>3675</v>
      </c>
      <c r="G291" t="s">
        <v>193</v>
      </c>
      <c r="H291" t="s">
        <v>3676</v>
      </c>
      <c r="I291" t="s">
        <v>3677</v>
      </c>
      <c r="J291">
        <v>41270430</v>
      </c>
    </row>
    <row r="292" spans="1:10">
      <c r="A292" t="s">
        <v>73</v>
      </c>
      <c r="B292">
        <v>0</v>
      </c>
      <c r="E292" t="s">
        <v>3655</v>
      </c>
      <c r="I292" t="s">
        <v>3656</v>
      </c>
      <c r="J292">
        <v>41259286</v>
      </c>
    </row>
    <row r="293" spans="1:10">
      <c r="A293" t="s">
        <v>73</v>
      </c>
      <c r="B293">
        <v>1</v>
      </c>
      <c r="D293" t="s">
        <v>3656</v>
      </c>
      <c r="E293" t="s">
        <v>3657</v>
      </c>
      <c r="F293" t="s">
        <v>193</v>
      </c>
      <c r="G293" t="s">
        <v>193</v>
      </c>
      <c r="H293" t="s">
        <v>3658</v>
      </c>
      <c r="I293" t="s">
        <v>3659</v>
      </c>
      <c r="J293">
        <v>41259286</v>
      </c>
    </row>
    <row r="294" spans="1:10">
      <c r="A294" t="s">
        <v>73</v>
      </c>
      <c r="B294">
        <v>1</v>
      </c>
      <c r="D294" t="s">
        <v>3656</v>
      </c>
      <c r="E294" t="s">
        <v>3657</v>
      </c>
      <c r="F294" t="s">
        <v>193</v>
      </c>
      <c r="G294" t="s">
        <v>193</v>
      </c>
      <c r="H294" t="s">
        <v>3660</v>
      </c>
      <c r="I294" t="s">
        <v>3661</v>
      </c>
      <c r="J294">
        <v>41259286</v>
      </c>
    </row>
    <row r="295" spans="1:10">
      <c r="A295" t="s">
        <v>73</v>
      </c>
      <c r="B295">
        <v>1</v>
      </c>
      <c r="D295" t="s">
        <v>3656</v>
      </c>
      <c r="E295" t="s">
        <v>3657</v>
      </c>
      <c r="F295" t="s">
        <v>193</v>
      </c>
      <c r="G295" t="s">
        <v>193</v>
      </c>
      <c r="H295" t="s">
        <v>3662</v>
      </c>
      <c r="I295" t="s">
        <v>3663</v>
      </c>
      <c r="J295">
        <v>41259286</v>
      </c>
    </row>
    <row r="296" spans="1:10">
      <c r="A296" t="s">
        <v>73</v>
      </c>
      <c r="B296">
        <v>1</v>
      </c>
      <c r="D296" t="s">
        <v>3656</v>
      </c>
      <c r="E296" t="s">
        <v>3657</v>
      </c>
      <c r="F296" t="s">
        <v>193</v>
      </c>
      <c r="G296" t="s">
        <v>193</v>
      </c>
      <c r="H296" t="s">
        <v>3664</v>
      </c>
      <c r="I296" t="s">
        <v>3665</v>
      </c>
      <c r="J296">
        <v>41259286</v>
      </c>
    </row>
    <row r="297" spans="1:10">
      <c r="A297" t="s">
        <v>73</v>
      </c>
      <c r="B297">
        <v>1</v>
      </c>
      <c r="D297" t="s">
        <v>3656</v>
      </c>
      <c r="E297" t="s">
        <v>3657</v>
      </c>
      <c r="F297" t="s">
        <v>3666</v>
      </c>
      <c r="G297" t="s">
        <v>193</v>
      </c>
      <c r="H297" t="s">
        <v>3667</v>
      </c>
      <c r="I297" t="s">
        <v>3668</v>
      </c>
      <c r="J297">
        <v>41259286</v>
      </c>
    </row>
    <row r="298" spans="1:10">
      <c r="A298" t="s">
        <v>73</v>
      </c>
      <c r="B298">
        <v>1</v>
      </c>
      <c r="D298" t="s">
        <v>3656</v>
      </c>
      <c r="E298" t="s">
        <v>3657</v>
      </c>
      <c r="F298" t="s">
        <v>3666</v>
      </c>
      <c r="G298" t="s">
        <v>193</v>
      </c>
      <c r="H298" t="s">
        <v>3669</v>
      </c>
      <c r="I298" t="s">
        <v>3670</v>
      </c>
      <c r="J298">
        <v>41259286</v>
      </c>
    </row>
    <row r="299" spans="1:10">
      <c r="A299" t="s">
        <v>73</v>
      </c>
      <c r="B299">
        <v>1</v>
      </c>
      <c r="D299" t="s">
        <v>3656</v>
      </c>
      <c r="E299" t="s">
        <v>3657</v>
      </c>
      <c r="F299" t="s">
        <v>193</v>
      </c>
      <c r="G299" t="s">
        <v>193</v>
      </c>
      <c r="H299" t="s">
        <v>3671</v>
      </c>
      <c r="I299" t="s">
        <v>3672</v>
      </c>
      <c r="J299">
        <v>41259286</v>
      </c>
    </row>
    <row r="300" spans="1:10">
      <c r="A300" t="s">
        <v>73</v>
      </c>
      <c r="B300">
        <v>0</v>
      </c>
      <c r="E300" t="s">
        <v>3655</v>
      </c>
      <c r="I300" t="s">
        <v>3673</v>
      </c>
      <c r="J300">
        <v>41259286</v>
      </c>
    </row>
    <row r="301" spans="1:10">
      <c r="A301" t="s">
        <v>73</v>
      </c>
      <c r="B301">
        <v>1</v>
      </c>
      <c r="D301" t="s">
        <v>3673</v>
      </c>
      <c r="E301" t="s">
        <v>3674</v>
      </c>
      <c r="F301" t="s">
        <v>3675</v>
      </c>
      <c r="G301" t="s">
        <v>193</v>
      </c>
      <c r="H301" t="s">
        <v>3676</v>
      </c>
      <c r="I301" t="s">
        <v>3677</v>
      </c>
      <c r="J301">
        <v>41259286</v>
      </c>
    </row>
    <row r="302" spans="1:10">
      <c r="A302" t="s">
        <v>77</v>
      </c>
      <c r="B302">
        <v>0</v>
      </c>
      <c r="E302" t="s">
        <v>3655</v>
      </c>
      <c r="I302" t="s">
        <v>3656</v>
      </c>
      <c r="J302">
        <v>41247540</v>
      </c>
    </row>
    <row r="303" spans="1:10">
      <c r="A303" t="s">
        <v>77</v>
      </c>
      <c r="B303">
        <v>1</v>
      </c>
      <c r="D303" t="s">
        <v>3656</v>
      </c>
      <c r="E303" t="s">
        <v>3657</v>
      </c>
      <c r="F303" t="s">
        <v>193</v>
      </c>
      <c r="G303" t="s">
        <v>193</v>
      </c>
      <c r="H303" t="s">
        <v>3658</v>
      </c>
      <c r="I303" t="s">
        <v>3659</v>
      </c>
      <c r="J303">
        <v>41247540</v>
      </c>
    </row>
    <row r="304" spans="1:10">
      <c r="A304" t="s">
        <v>77</v>
      </c>
      <c r="B304">
        <v>1</v>
      </c>
      <c r="D304" t="s">
        <v>3656</v>
      </c>
      <c r="E304" t="s">
        <v>3657</v>
      </c>
      <c r="F304" t="s">
        <v>193</v>
      </c>
      <c r="G304" t="s">
        <v>193</v>
      </c>
      <c r="H304" t="s">
        <v>3660</v>
      </c>
      <c r="I304" t="s">
        <v>3661</v>
      </c>
      <c r="J304">
        <v>41247540</v>
      </c>
    </row>
    <row r="305" spans="1:10">
      <c r="A305" t="s">
        <v>77</v>
      </c>
      <c r="B305">
        <v>1</v>
      </c>
      <c r="D305" t="s">
        <v>3656</v>
      </c>
      <c r="E305" t="s">
        <v>3657</v>
      </c>
      <c r="F305" t="s">
        <v>193</v>
      </c>
      <c r="G305" t="s">
        <v>193</v>
      </c>
      <c r="H305" t="s">
        <v>3662</v>
      </c>
      <c r="I305" t="s">
        <v>3663</v>
      </c>
      <c r="J305">
        <v>41247540</v>
      </c>
    </row>
    <row r="306" spans="1:10">
      <c r="A306" t="s">
        <v>77</v>
      </c>
      <c r="B306">
        <v>1</v>
      </c>
      <c r="D306" t="s">
        <v>3656</v>
      </c>
      <c r="E306" t="s">
        <v>3657</v>
      </c>
      <c r="F306" t="s">
        <v>193</v>
      </c>
      <c r="G306" t="s">
        <v>193</v>
      </c>
      <c r="H306" t="s">
        <v>3664</v>
      </c>
      <c r="I306" t="s">
        <v>3665</v>
      </c>
      <c r="J306">
        <v>41247540</v>
      </c>
    </row>
    <row r="307" spans="1:10">
      <c r="A307" t="s">
        <v>77</v>
      </c>
      <c r="B307">
        <v>1</v>
      </c>
      <c r="D307" t="s">
        <v>3656</v>
      </c>
      <c r="E307" t="s">
        <v>3657</v>
      </c>
      <c r="F307" t="s">
        <v>3666</v>
      </c>
      <c r="G307" t="s">
        <v>193</v>
      </c>
      <c r="H307" t="s">
        <v>3667</v>
      </c>
      <c r="I307" t="s">
        <v>3668</v>
      </c>
      <c r="J307">
        <v>41247540</v>
      </c>
    </row>
    <row r="308" spans="1:10">
      <c r="A308" t="s">
        <v>77</v>
      </c>
      <c r="B308">
        <v>1</v>
      </c>
      <c r="D308" t="s">
        <v>3656</v>
      </c>
      <c r="E308" t="s">
        <v>3657</v>
      </c>
      <c r="F308" t="s">
        <v>3666</v>
      </c>
      <c r="G308" t="s">
        <v>193</v>
      </c>
      <c r="H308" t="s">
        <v>3669</v>
      </c>
      <c r="I308" t="s">
        <v>3670</v>
      </c>
      <c r="J308">
        <v>41247540</v>
      </c>
    </row>
    <row r="309" spans="1:10">
      <c r="A309" t="s">
        <v>77</v>
      </c>
      <c r="B309">
        <v>1</v>
      </c>
      <c r="D309" t="s">
        <v>3656</v>
      </c>
      <c r="E309" t="s">
        <v>3657</v>
      </c>
      <c r="F309" t="s">
        <v>193</v>
      </c>
      <c r="G309" t="s">
        <v>193</v>
      </c>
      <c r="H309" t="s">
        <v>3671</v>
      </c>
      <c r="I309" t="s">
        <v>3672</v>
      </c>
      <c r="J309">
        <v>41247540</v>
      </c>
    </row>
    <row r="310" spans="1:10">
      <c r="A310" t="s">
        <v>77</v>
      </c>
      <c r="B310">
        <v>0</v>
      </c>
      <c r="E310" t="s">
        <v>3655</v>
      </c>
      <c r="I310" t="s">
        <v>3673</v>
      </c>
      <c r="J310">
        <v>41247540</v>
      </c>
    </row>
    <row r="311" spans="1:10">
      <c r="A311" t="s">
        <v>77</v>
      </c>
      <c r="B311">
        <v>1</v>
      </c>
      <c r="D311" t="s">
        <v>3673</v>
      </c>
      <c r="E311" t="s">
        <v>3674</v>
      </c>
      <c r="F311" t="s">
        <v>3675</v>
      </c>
      <c r="G311" t="s">
        <v>193</v>
      </c>
      <c r="H311" t="s">
        <v>3676</v>
      </c>
      <c r="I311" t="s">
        <v>3677</v>
      </c>
      <c r="J311">
        <v>41247540</v>
      </c>
    </row>
    <row r="312" spans="1:10">
      <c r="A312" t="s">
        <v>78</v>
      </c>
      <c r="B312">
        <v>0</v>
      </c>
      <c r="E312" t="s">
        <v>3655</v>
      </c>
      <c r="I312" t="s">
        <v>3656</v>
      </c>
      <c r="J312">
        <v>41238114</v>
      </c>
    </row>
    <row r="313" spans="1:10">
      <c r="A313" t="s">
        <v>78</v>
      </c>
      <c r="B313">
        <v>1</v>
      </c>
      <c r="D313" t="s">
        <v>3656</v>
      </c>
      <c r="E313" t="s">
        <v>3657</v>
      </c>
      <c r="F313" t="s">
        <v>193</v>
      </c>
      <c r="G313" t="s">
        <v>193</v>
      </c>
      <c r="H313" t="s">
        <v>3658</v>
      </c>
      <c r="I313" t="s">
        <v>3659</v>
      </c>
      <c r="J313">
        <v>41238114</v>
      </c>
    </row>
    <row r="314" spans="1:10">
      <c r="A314" t="s">
        <v>78</v>
      </c>
      <c r="B314">
        <v>1</v>
      </c>
      <c r="D314" t="s">
        <v>3656</v>
      </c>
      <c r="E314" t="s">
        <v>3657</v>
      </c>
      <c r="F314" t="s">
        <v>193</v>
      </c>
      <c r="G314" t="s">
        <v>193</v>
      </c>
      <c r="H314" t="s">
        <v>3660</v>
      </c>
      <c r="I314" t="s">
        <v>3661</v>
      </c>
      <c r="J314">
        <v>41238114</v>
      </c>
    </row>
    <row r="315" spans="1:10">
      <c r="A315" t="s">
        <v>78</v>
      </c>
      <c r="B315">
        <v>1</v>
      </c>
      <c r="D315" t="s">
        <v>3656</v>
      </c>
      <c r="E315" t="s">
        <v>3657</v>
      </c>
      <c r="F315" t="s">
        <v>193</v>
      </c>
      <c r="G315" t="s">
        <v>193</v>
      </c>
      <c r="H315" t="s">
        <v>3662</v>
      </c>
      <c r="I315" t="s">
        <v>3663</v>
      </c>
      <c r="J315">
        <v>41238114</v>
      </c>
    </row>
    <row r="316" spans="1:10">
      <c r="A316" t="s">
        <v>78</v>
      </c>
      <c r="B316">
        <v>1</v>
      </c>
      <c r="D316" t="s">
        <v>3656</v>
      </c>
      <c r="E316" t="s">
        <v>3657</v>
      </c>
      <c r="F316" t="s">
        <v>193</v>
      </c>
      <c r="G316" t="s">
        <v>193</v>
      </c>
      <c r="H316" t="s">
        <v>3664</v>
      </c>
      <c r="I316" t="s">
        <v>3665</v>
      </c>
      <c r="J316">
        <v>41238114</v>
      </c>
    </row>
    <row r="317" spans="1:10">
      <c r="A317" t="s">
        <v>78</v>
      </c>
      <c r="B317">
        <v>1</v>
      </c>
      <c r="D317" t="s">
        <v>3656</v>
      </c>
      <c r="E317" t="s">
        <v>3657</v>
      </c>
      <c r="F317" t="s">
        <v>3666</v>
      </c>
      <c r="G317" t="s">
        <v>193</v>
      </c>
      <c r="H317" t="s">
        <v>3667</v>
      </c>
      <c r="I317" t="s">
        <v>3668</v>
      </c>
      <c r="J317">
        <v>41238114</v>
      </c>
    </row>
    <row r="318" spans="1:10">
      <c r="A318" t="s">
        <v>78</v>
      </c>
      <c r="B318">
        <v>1</v>
      </c>
      <c r="D318" t="s">
        <v>3656</v>
      </c>
      <c r="E318" t="s">
        <v>3657</v>
      </c>
      <c r="F318" t="s">
        <v>3666</v>
      </c>
      <c r="G318" t="s">
        <v>193</v>
      </c>
      <c r="H318" t="s">
        <v>3669</v>
      </c>
      <c r="I318" t="s">
        <v>3670</v>
      </c>
      <c r="J318">
        <v>41238114</v>
      </c>
    </row>
    <row r="319" spans="1:10">
      <c r="A319" t="s">
        <v>78</v>
      </c>
      <c r="B319">
        <v>1</v>
      </c>
      <c r="D319" t="s">
        <v>3656</v>
      </c>
      <c r="E319" t="s">
        <v>3657</v>
      </c>
      <c r="F319" t="s">
        <v>193</v>
      </c>
      <c r="G319" t="s">
        <v>193</v>
      </c>
      <c r="H319" t="s">
        <v>3671</v>
      </c>
      <c r="I319" t="s">
        <v>3672</v>
      </c>
      <c r="J319">
        <v>41238114</v>
      </c>
    </row>
    <row r="320" spans="1:10">
      <c r="A320" t="s">
        <v>78</v>
      </c>
      <c r="B320">
        <v>0</v>
      </c>
      <c r="E320" t="s">
        <v>3655</v>
      </c>
      <c r="I320" t="s">
        <v>3673</v>
      </c>
      <c r="J320">
        <v>41238114</v>
      </c>
    </row>
    <row r="321" spans="1:10">
      <c r="A321" t="s">
        <v>78</v>
      </c>
      <c r="B321">
        <v>1</v>
      </c>
      <c r="D321" t="s">
        <v>3673</v>
      </c>
      <c r="E321" t="s">
        <v>3674</v>
      </c>
      <c r="F321" t="s">
        <v>3675</v>
      </c>
      <c r="G321" t="s">
        <v>193</v>
      </c>
      <c r="H321" t="s">
        <v>3676</v>
      </c>
      <c r="I321" t="s">
        <v>3677</v>
      </c>
      <c r="J321">
        <v>41238114</v>
      </c>
    </row>
    <row r="322" spans="1:10">
      <c r="A322" t="s">
        <v>80</v>
      </c>
      <c r="B322">
        <v>0</v>
      </c>
      <c r="E322" t="s">
        <v>3655</v>
      </c>
      <c r="I322" t="s">
        <v>3656</v>
      </c>
      <c r="J322">
        <v>41128990</v>
      </c>
    </row>
    <row r="323" spans="1:10">
      <c r="A323" t="s">
        <v>80</v>
      </c>
      <c r="B323">
        <v>1</v>
      </c>
      <c r="D323" t="s">
        <v>3656</v>
      </c>
      <c r="E323" t="s">
        <v>3657</v>
      </c>
      <c r="F323" t="s">
        <v>193</v>
      </c>
      <c r="G323" t="s">
        <v>193</v>
      </c>
      <c r="H323" t="s">
        <v>3658</v>
      </c>
      <c r="I323" t="s">
        <v>3659</v>
      </c>
      <c r="J323">
        <v>41128990</v>
      </c>
    </row>
    <row r="324" spans="1:10">
      <c r="A324" t="s">
        <v>80</v>
      </c>
      <c r="B324">
        <v>1</v>
      </c>
      <c r="D324" t="s">
        <v>3656</v>
      </c>
      <c r="E324" t="s">
        <v>3657</v>
      </c>
      <c r="F324" t="s">
        <v>193</v>
      </c>
      <c r="G324" t="s">
        <v>193</v>
      </c>
      <c r="H324" t="s">
        <v>3660</v>
      </c>
      <c r="I324" t="s">
        <v>3661</v>
      </c>
      <c r="J324">
        <v>41128990</v>
      </c>
    </row>
    <row r="325" spans="1:10">
      <c r="A325" t="s">
        <v>80</v>
      </c>
      <c r="B325">
        <v>1</v>
      </c>
      <c r="D325" t="s">
        <v>3656</v>
      </c>
      <c r="E325" t="s">
        <v>3657</v>
      </c>
      <c r="F325" t="s">
        <v>193</v>
      </c>
      <c r="G325" t="s">
        <v>193</v>
      </c>
      <c r="H325" t="s">
        <v>3662</v>
      </c>
      <c r="I325" t="s">
        <v>3663</v>
      </c>
      <c r="J325">
        <v>41128990</v>
      </c>
    </row>
    <row r="326" spans="1:10">
      <c r="A326" t="s">
        <v>80</v>
      </c>
      <c r="B326">
        <v>1</v>
      </c>
      <c r="D326" t="s">
        <v>3656</v>
      </c>
      <c r="E326" t="s">
        <v>3657</v>
      </c>
      <c r="F326" t="s">
        <v>193</v>
      </c>
      <c r="G326" t="s">
        <v>193</v>
      </c>
      <c r="H326" t="s">
        <v>3664</v>
      </c>
      <c r="I326" t="s">
        <v>3665</v>
      </c>
      <c r="J326">
        <v>41128990</v>
      </c>
    </row>
    <row r="327" spans="1:10">
      <c r="A327" t="s">
        <v>80</v>
      </c>
      <c r="B327">
        <v>1</v>
      </c>
      <c r="D327" t="s">
        <v>3656</v>
      </c>
      <c r="E327" t="s">
        <v>3657</v>
      </c>
      <c r="F327" t="s">
        <v>3666</v>
      </c>
      <c r="G327" t="s">
        <v>193</v>
      </c>
      <c r="H327" t="s">
        <v>3667</v>
      </c>
      <c r="I327" t="s">
        <v>3668</v>
      </c>
      <c r="J327">
        <v>41128990</v>
      </c>
    </row>
    <row r="328" spans="1:10">
      <c r="A328" t="s">
        <v>80</v>
      </c>
      <c r="B328">
        <v>1</v>
      </c>
      <c r="D328" t="s">
        <v>3656</v>
      </c>
      <c r="E328" t="s">
        <v>3657</v>
      </c>
      <c r="F328" t="s">
        <v>3666</v>
      </c>
      <c r="G328" t="s">
        <v>193</v>
      </c>
      <c r="H328" t="s">
        <v>3669</v>
      </c>
      <c r="I328" t="s">
        <v>3670</v>
      </c>
      <c r="J328">
        <v>41128990</v>
      </c>
    </row>
    <row r="329" spans="1:10">
      <c r="A329" t="s">
        <v>80</v>
      </c>
      <c r="B329">
        <v>1</v>
      </c>
      <c r="D329" t="s">
        <v>3656</v>
      </c>
      <c r="E329" t="s">
        <v>3657</v>
      </c>
      <c r="F329" t="s">
        <v>193</v>
      </c>
      <c r="G329" t="s">
        <v>193</v>
      </c>
      <c r="H329" t="s">
        <v>3671</v>
      </c>
      <c r="I329" t="s">
        <v>3672</v>
      </c>
      <c r="J329">
        <v>41128990</v>
      </c>
    </row>
    <row r="330" spans="1:10">
      <c r="A330" t="s">
        <v>80</v>
      </c>
      <c r="B330">
        <v>0</v>
      </c>
      <c r="E330" t="s">
        <v>3655</v>
      </c>
      <c r="I330" t="s">
        <v>3673</v>
      </c>
      <c r="J330">
        <v>41128990</v>
      </c>
    </row>
    <row r="331" spans="1:10">
      <c r="A331" t="s">
        <v>80</v>
      </c>
      <c r="B331">
        <v>1</v>
      </c>
      <c r="D331" t="s">
        <v>3673</v>
      </c>
      <c r="E331" t="s">
        <v>3674</v>
      </c>
      <c r="F331" t="s">
        <v>3675</v>
      </c>
      <c r="G331" t="s">
        <v>193</v>
      </c>
      <c r="H331" t="s">
        <v>3676</v>
      </c>
      <c r="I331" t="s">
        <v>3677</v>
      </c>
      <c r="J331">
        <v>41128990</v>
      </c>
    </row>
    <row r="332" spans="1:10">
      <c r="A332" t="s">
        <v>82</v>
      </c>
      <c r="B332">
        <v>0</v>
      </c>
      <c r="E332" t="s">
        <v>3655</v>
      </c>
      <c r="I332" t="s">
        <v>3656</v>
      </c>
      <c r="J332">
        <v>41120507</v>
      </c>
    </row>
    <row r="333" spans="1:10">
      <c r="A333" t="s">
        <v>82</v>
      </c>
      <c r="B333">
        <v>1</v>
      </c>
      <c r="D333" t="s">
        <v>3656</v>
      </c>
      <c r="E333" t="s">
        <v>3657</v>
      </c>
      <c r="F333" t="s">
        <v>193</v>
      </c>
      <c r="G333" t="s">
        <v>193</v>
      </c>
      <c r="H333" t="s">
        <v>3658</v>
      </c>
      <c r="I333" t="s">
        <v>3659</v>
      </c>
      <c r="J333">
        <v>41120507</v>
      </c>
    </row>
    <row r="334" spans="1:10">
      <c r="A334" t="s">
        <v>82</v>
      </c>
      <c r="B334">
        <v>1</v>
      </c>
      <c r="D334" t="s">
        <v>3656</v>
      </c>
      <c r="E334" t="s">
        <v>3657</v>
      </c>
      <c r="F334" t="s">
        <v>193</v>
      </c>
      <c r="G334" t="s">
        <v>193</v>
      </c>
      <c r="H334" t="s">
        <v>3660</v>
      </c>
      <c r="I334" t="s">
        <v>3661</v>
      </c>
      <c r="J334">
        <v>41120507</v>
      </c>
    </row>
    <row r="335" spans="1:10">
      <c r="A335" t="s">
        <v>82</v>
      </c>
      <c r="B335">
        <v>1</v>
      </c>
      <c r="D335" t="s">
        <v>3656</v>
      </c>
      <c r="E335" t="s">
        <v>3657</v>
      </c>
      <c r="F335" t="s">
        <v>193</v>
      </c>
      <c r="G335" t="s">
        <v>193</v>
      </c>
      <c r="H335" t="s">
        <v>3662</v>
      </c>
      <c r="I335" t="s">
        <v>3663</v>
      </c>
      <c r="J335">
        <v>41120507</v>
      </c>
    </row>
    <row r="336" spans="1:10">
      <c r="A336" t="s">
        <v>82</v>
      </c>
      <c r="B336">
        <v>1</v>
      </c>
      <c r="D336" t="s">
        <v>3656</v>
      </c>
      <c r="E336" t="s">
        <v>3657</v>
      </c>
      <c r="F336" t="s">
        <v>193</v>
      </c>
      <c r="G336" t="s">
        <v>193</v>
      </c>
      <c r="H336" t="s">
        <v>3664</v>
      </c>
      <c r="I336" t="s">
        <v>3665</v>
      </c>
      <c r="J336">
        <v>41120507</v>
      </c>
    </row>
    <row r="337" spans="1:10">
      <c r="A337" t="s">
        <v>82</v>
      </c>
      <c r="B337">
        <v>1</v>
      </c>
      <c r="D337" t="s">
        <v>3656</v>
      </c>
      <c r="E337" t="s">
        <v>3657</v>
      </c>
      <c r="F337" t="s">
        <v>3666</v>
      </c>
      <c r="G337" t="s">
        <v>193</v>
      </c>
      <c r="H337" t="s">
        <v>3667</v>
      </c>
      <c r="I337" t="s">
        <v>3668</v>
      </c>
      <c r="J337">
        <v>41120507</v>
      </c>
    </row>
    <row r="338" spans="1:10">
      <c r="A338" t="s">
        <v>82</v>
      </c>
      <c r="B338">
        <v>1</v>
      </c>
      <c r="D338" t="s">
        <v>3656</v>
      </c>
      <c r="E338" t="s">
        <v>3657</v>
      </c>
      <c r="F338" t="s">
        <v>3666</v>
      </c>
      <c r="G338" t="s">
        <v>193</v>
      </c>
      <c r="H338" t="s">
        <v>3669</v>
      </c>
      <c r="I338" t="s">
        <v>3670</v>
      </c>
      <c r="J338">
        <v>41120507</v>
      </c>
    </row>
    <row r="339" spans="1:10">
      <c r="A339" t="s">
        <v>82</v>
      </c>
      <c r="B339">
        <v>1</v>
      </c>
      <c r="D339" t="s">
        <v>3656</v>
      </c>
      <c r="E339" t="s">
        <v>3657</v>
      </c>
      <c r="F339" t="s">
        <v>193</v>
      </c>
      <c r="G339" t="s">
        <v>193</v>
      </c>
      <c r="H339" t="s">
        <v>3671</v>
      </c>
      <c r="I339" t="s">
        <v>3672</v>
      </c>
      <c r="J339">
        <v>41120507</v>
      </c>
    </row>
    <row r="340" spans="1:10">
      <c r="A340" t="s">
        <v>82</v>
      </c>
      <c r="B340">
        <v>0</v>
      </c>
      <c r="E340" t="s">
        <v>3655</v>
      </c>
      <c r="I340" t="s">
        <v>3673</v>
      </c>
      <c r="J340">
        <v>41120507</v>
      </c>
    </row>
    <row r="341" spans="1:10">
      <c r="A341" t="s">
        <v>82</v>
      </c>
      <c r="B341">
        <v>1</v>
      </c>
      <c r="D341" t="s">
        <v>3673</v>
      </c>
      <c r="E341" t="s">
        <v>3674</v>
      </c>
      <c r="F341" t="s">
        <v>3675</v>
      </c>
      <c r="G341" t="s">
        <v>193</v>
      </c>
      <c r="H341" t="s">
        <v>3676</v>
      </c>
      <c r="I341" t="s">
        <v>3677</v>
      </c>
      <c r="J341">
        <v>41120507</v>
      </c>
    </row>
    <row r="342" spans="1:10">
      <c r="A342" t="s">
        <v>84</v>
      </c>
      <c r="B342">
        <v>0</v>
      </c>
      <c r="E342" t="s">
        <v>3655</v>
      </c>
      <c r="I342" t="s">
        <v>3656</v>
      </c>
      <c r="J342">
        <v>41228721</v>
      </c>
    </row>
    <row r="343" spans="1:10">
      <c r="A343" t="s">
        <v>84</v>
      </c>
      <c r="B343">
        <v>1</v>
      </c>
      <c r="D343" t="s">
        <v>3656</v>
      </c>
      <c r="E343" t="s">
        <v>3657</v>
      </c>
      <c r="F343" t="s">
        <v>193</v>
      </c>
      <c r="G343" t="s">
        <v>193</v>
      </c>
      <c r="H343" t="s">
        <v>3658</v>
      </c>
      <c r="I343" t="s">
        <v>3659</v>
      </c>
      <c r="J343">
        <v>41228721</v>
      </c>
    </row>
    <row r="344" spans="1:10">
      <c r="A344" t="s">
        <v>84</v>
      </c>
      <c r="B344">
        <v>1</v>
      </c>
      <c r="D344" t="s">
        <v>3656</v>
      </c>
      <c r="E344" t="s">
        <v>3657</v>
      </c>
      <c r="F344" t="s">
        <v>193</v>
      </c>
      <c r="G344" t="s">
        <v>193</v>
      </c>
      <c r="H344" t="s">
        <v>3660</v>
      </c>
      <c r="I344" t="s">
        <v>3661</v>
      </c>
      <c r="J344">
        <v>41228721</v>
      </c>
    </row>
    <row r="345" spans="1:10">
      <c r="A345" t="s">
        <v>84</v>
      </c>
      <c r="B345">
        <v>1</v>
      </c>
      <c r="D345" t="s">
        <v>3656</v>
      </c>
      <c r="E345" t="s">
        <v>3657</v>
      </c>
      <c r="F345" t="s">
        <v>193</v>
      </c>
      <c r="G345" t="s">
        <v>193</v>
      </c>
      <c r="H345" t="s">
        <v>3662</v>
      </c>
      <c r="I345" t="s">
        <v>3663</v>
      </c>
      <c r="J345">
        <v>41228721</v>
      </c>
    </row>
    <row r="346" spans="1:10">
      <c r="A346" t="s">
        <v>84</v>
      </c>
      <c r="B346">
        <v>1</v>
      </c>
      <c r="D346" t="s">
        <v>3656</v>
      </c>
      <c r="E346" t="s">
        <v>3657</v>
      </c>
      <c r="F346" t="s">
        <v>193</v>
      </c>
      <c r="G346" t="s">
        <v>193</v>
      </c>
      <c r="H346" t="s">
        <v>3664</v>
      </c>
      <c r="I346" t="s">
        <v>3665</v>
      </c>
      <c r="J346">
        <v>41228721</v>
      </c>
    </row>
    <row r="347" spans="1:10">
      <c r="A347" t="s">
        <v>84</v>
      </c>
      <c r="B347">
        <v>1</v>
      </c>
      <c r="D347" t="s">
        <v>3656</v>
      </c>
      <c r="E347" t="s">
        <v>3657</v>
      </c>
      <c r="F347" t="s">
        <v>3666</v>
      </c>
      <c r="G347" t="s">
        <v>193</v>
      </c>
      <c r="H347" t="s">
        <v>3667</v>
      </c>
      <c r="I347" t="s">
        <v>3668</v>
      </c>
      <c r="J347">
        <v>41228721</v>
      </c>
    </row>
    <row r="348" spans="1:10">
      <c r="A348" t="s">
        <v>84</v>
      </c>
      <c r="B348">
        <v>1</v>
      </c>
      <c r="D348" t="s">
        <v>3656</v>
      </c>
      <c r="E348" t="s">
        <v>3657</v>
      </c>
      <c r="F348" t="s">
        <v>3666</v>
      </c>
      <c r="G348" t="s">
        <v>193</v>
      </c>
      <c r="H348" t="s">
        <v>3669</v>
      </c>
      <c r="I348" t="s">
        <v>3670</v>
      </c>
      <c r="J348">
        <v>41228721</v>
      </c>
    </row>
    <row r="349" spans="1:10">
      <c r="A349" t="s">
        <v>84</v>
      </c>
      <c r="B349">
        <v>1</v>
      </c>
      <c r="D349" t="s">
        <v>3656</v>
      </c>
      <c r="E349" t="s">
        <v>3657</v>
      </c>
      <c r="F349" t="s">
        <v>193</v>
      </c>
      <c r="G349" t="s">
        <v>193</v>
      </c>
      <c r="H349" t="s">
        <v>3671</v>
      </c>
      <c r="I349" t="s">
        <v>3672</v>
      </c>
      <c r="J349">
        <v>41228721</v>
      </c>
    </row>
    <row r="350" spans="1:10">
      <c r="A350" t="s">
        <v>84</v>
      </c>
      <c r="B350">
        <v>0</v>
      </c>
      <c r="E350" t="s">
        <v>3655</v>
      </c>
      <c r="I350" t="s">
        <v>3673</v>
      </c>
      <c r="J350">
        <v>41228721</v>
      </c>
    </row>
    <row r="351" spans="1:10">
      <c r="A351" t="s">
        <v>84</v>
      </c>
      <c r="B351">
        <v>1</v>
      </c>
      <c r="D351" t="s">
        <v>3673</v>
      </c>
      <c r="E351" t="s">
        <v>3674</v>
      </c>
      <c r="F351" t="s">
        <v>3675</v>
      </c>
      <c r="G351" t="s">
        <v>193</v>
      </c>
      <c r="H351" t="s">
        <v>3676</v>
      </c>
      <c r="I351" t="s">
        <v>3677</v>
      </c>
      <c r="J351">
        <v>41228721</v>
      </c>
    </row>
    <row r="352" spans="1:10">
      <c r="A352" t="s">
        <v>86</v>
      </c>
      <c r="B352">
        <v>0</v>
      </c>
      <c r="E352" t="s">
        <v>3655</v>
      </c>
      <c r="I352" t="s">
        <v>3656</v>
      </c>
      <c r="J352">
        <v>41222823</v>
      </c>
    </row>
    <row r="353" spans="1:10">
      <c r="A353" t="s">
        <v>86</v>
      </c>
      <c r="B353">
        <v>1</v>
      </c>
      <c r="D353" t="s">
        <v>3656</v>
      </c>
      <c r="E353" t="s">
        <v>3657</v>
      </c>
      <c r="F353" t="s">
        <v>193</v>
      </c>
      <c r="G353" t="s">
        <v>193</v>
      </c>
      <c r="H353" t="s">
        <v>3658</v>
      </c>
      <c r="I353" t="s">
        <v>3659</v>
      </c>
      <c r="J353">
        <v>41222823</v>
      </c>
    </row>
    <row r="354" spans="1:10">
      <c r="A354" t="s">
        <v>86</v>
      </c>
      <c r="B354">
        <v>1</v>
      </c>
      <c r="D354" t="s">
        <v>3656</v>
      </c>
      <c r="E354" t="s">
        <v>3657</v>
      </c>
      <c r="F354" t="s">
        <v>193</v>
      </c>
      <c r="G354" t="s">
        <v>193</v>
      </c>
      <c r="H354" t="s">
        <v>3660</v>
      </c>
      <c r="I354" t="s">
        <v>3661</v>
      </c>
      <c r="J354">
        <v>41222823</v>
      </c>
    </row>
    <row r="355" spans="1:10">
      <c r="A355" t="s">
        <v>86</v>
      </c>
      <c r="B355">
        <v>1</v>
      </c>
      <c r="D355" t="s">
        <v>3656</v>
      </c>
      <c r="E355" t="s">
        <v>3657</v>
      </c>
      <c r="F355" t="s">
        <v>193</v>
      </c>
      <c r="G355" t="s">
        <v>193</v>
      </c>
      <c r="H355" t="s">
        <v>3662</v>
      </c>
      <c r="I355" t="s">
        <v>3663</v>
      </c>
      <c r="J355">
        <v>41222823</v>
      </c>
    </row>
    <row r="356" spans="1:10">
      <c r="A356" t="s">
        <v>86</v>
      </c>
      <c r="B356">
        <v>1</v>
      </c>
      <c r="D356" t="s">
        <v>3656</v>
      </c>
      <c r="E356" t="s">
        <v>3657</v>
      </c>
      <c r="F356" t="s">
        <v>193</v>
      </c>
      <c r="G356" t="s">
        <v>193</v>
      </c>
      <c r="H356" t="s">
        <v>3664</v>
      </c>
      <c r="I356" t="s">
        <v>3665</v>
      </c>
      <c r="J356">
        <v>41222823</v>
      </c>
    </row>
    <row r="357" spans="1:10">
      <c r="A357" t="s">
        <v>86</v>
      </c>
      <c r="B357">
        <v>1</v>
      </c>
      <c r="D357" t="s">
        <v>3656</v>
      </c>
      <c r="E357" t="s">
        <v>3657</v>
      </c>
      <c r="F357" t="s">
        <v>3666</v>
      </c>
      <c r="G357" t="s">
        <v>193</v>
      </c>
      <c r="H357" t="s">
        <v>3667</v>
      </c>
      <c r="I357" t="s">
        <v>3668</v>
      </c>
      <c r="J357">
        <v>41222823</v>
      </c>
    </row>
    <row r="358" spans="1:10">
      <c r="A358" t="s">
        <v>86</v>
      </c>
      <c r="B358">
        <v>1</v>
      </c>
      <c r="D358" t="s">
        <v>3656</v>
      </c>
      <c r="E358" t="s">
        <v>3657</v>
      </c>
      <c r="F358" t="s">
        <v>3666</v>
      </c>
      <c r="G358" t="s">
        <v>193</v>
      </c>
      <c r="H358" t="s">
        <v>3669</v>
      </c>
      <c r="I358" t="s">
        <v>3670</v>
      </c>
      <c r="J358">
        <v>41222823</v>
      </c>
    </row>
    <row r="359" spans="1:10">
      <c r="A359" t="s">
        <v>86</v>
      </c>
      <c r="B359">
        <v>1</v>
      </c>
      <c r="D359" t="s">
        <v>3656</v>
      </c>
      <c r="E359" t="s">
        <v>3657</v>
      </c>
      <c r="F359" t="s">
        <v>193</v>
      </c>
      <c r="G359" t="s">
        <v>193</v>
      </c>
      <c r="H359" t="s">
        <v>3671</v>
      </c>
      <c r="I359" t="s">
        <v>3672</v>
      </c>
      <c r="J359">
        <v>41222823</v>
      </c>
    </row>
    <row r="360" spans="1:10">
      <c r="A360" t="s">
        <v>86</v>
      </c>
      <c r="B360">
        <v>0</v>
      </c>
      <c r="E360" t="s">
        <v>3655</v>
      </c>
      <c r="I360" t="s">
        <v>3673</v>
      </c>
      <c r="J360">
        <v>41222823</v>
      </c>
    </row>
    <row r="361" spans="1:10">
      <c r="A361" t="s">
        <v>86</v>
      </c>
      <c r="B361">
        <v>1</v>
      </c>
      <c r="D361" t="s">
        <v>3673</v>
      </c>
      <c r="E361" t="s">
        <v>3674</v>
      </c>
      <c r="F361" t="s">
        <v>3675</v>
      </c>
      <c r="G361" t="s">
        <v>193</v>
      </c>
      <c r="H361" t="s">
        <v>3676</v>
      </c>
      <c r="I361" t="s">
        <v>3677</v>
      </c>
      <c r="J361">
        <v>41222823</v>
      </c>
    </row>
    <row r="362" spans="1:10">
      <c r="A362" t="s">
        <v>88</v>
      </c>
      <c r="B362">
        <v>0</v>
      </c>
      <c r="E362" t="s">
        <v>3655</v>
      </c>
      <c r="I362" t="s">
        <v>3656</v>
      </c>
      <c r="J362">
        <v>41203439</v>
      </c>
    </row>
    <row r="363" spans="1:10">
      <c r="A363" t="s">
        <v>88</v>
      </c>
      <c r="B363">
        <v>1</v>
      </c>
      <c r="D363" t="s">
        <v>3656</v>
      </c>
      <c r="E363" t="s">
        <v>3657</v>
      </c>
      <c r="F363" t="s">
        <v>193</v>
      </c>
      <c r="G363" t="s">
        <v>193</v>
      </c>
      <c r="H363" t="s">
        <v>3658</v>
      </c>
      <c r="I363" t="s">
        <v>3659</v>
      </c>
      <c r="J363">
        <v>41203439</v>
      </c>
    </row>
    <row r="364" spans="1:10">
      <c r="A364" t="s">
        <v>88</v>
      </c>
      <c r="B364">
        <v>1</v>
      </c>
      <c r="D364" t="s">
        <v>3656</v>
      </c>
      <c r="E364" t="s">
        <v>3657</v>
      </c>
      <c r="F364" t="s">
        <v>193</v>
      </c>
      <c r="G364" t="s">
        <v>193</v>
      </c>
      <c r="H364" t="s">
        <v>3660</v>
      </c>
      <c r="I364" t="s">
        <v>3661</v>
      </c>
      <c r="J364">
        <v>41203439</v>
      </c>
    </row>
    <row r="365" spans="1:10">
      <c r="A365" t="s">
        <v>88</v>
      </c>
      <c r="B365">
        <v>1</v>
      </c>
      <c r="D365" t="s">
        <v>3656</v>
      </c>
      <c r="E365" t="s">
        <v>3657</v>
      </c>
      <c r="F365" t="s">
        <v>193</v>
      </c>
      <c r="G365" t="s">
        <v>193</v>
      </c>
      <c r="H365" t="s">
        <v>3662</v>
      </c>
      <c r="I365" t="s">
        <v>3663</v>
      </c>
      <c r="J365">
        <v>41203439</v>
      </c>
    </row>
    <row r="366" spans="1:10">
      <c r="A366" t="s">
        <v>88</v>
      </c>
      <c r="B366">
        <v>1</v>
      </c>
      <c r="D366" t="s">
        <v>3656</v>
      </c>
      <c r="E366" t="s">
        <v>3657</v>
      </c>
      <c r="F366" t="s">
        <v>193</v>
      </c>
      <c r="G366" t="s">
        <v>193</v>
      </c>
      <c r="H366" t="s">
        <v>3664</v>
      </c>
      <c r="I366" t="s">
        <v>3665</v>
      </c>
      <c r="J366">
        <v>41203439</v>
      </c>
    </row>
    <row r="367" spans="1:10">
      <c r="A367" t="s">
        <v>88</v>
      </c>
      <c r="B367">
        <v>1</v>
      </c>
      <c r="D367" t="s">
        <v>3656</v>
      </c>
      <c r="E367" t="s">
        <v>3657</v>
      </c>
      <c r="F367" t="s">
        <v>3666</v>
      </c>
      <c r="G367" t="s">
        <v>193</v>
      </c>
      <c r="H367" t="s">
        <v>3667</v>
      </c>
      <c r="I367" t="s">
        <v>3668</v>
      </c>
      <c r="J367">
        <v>41203439</v>
      </c>
    </row>
    <row r="368" spans="1:10">
      <c r="A368" t="s">
        <v>88</v>
      </c>
      <c r="B368">
        <v>1</v>
      </c>
      <c r="D368" t="s">
        <v>3656</v>
      </c>
      <c r="E368" t="s">
        <v>3657</v>
      </c>
      <c r="F368" t="s">
        <v>3666</v>
      </c>
      <c r="G368" t="s">
        <v>193</v>
      </c>
      <c r="H368" t="s">
        <v>3669</v>
      </c>
      <c r="I368" t="s">
        <v>3670</v>
      </c>
      <c r="J368">
        <v>41203439</v>
      </c>
    </row>
    <row r="369" spans="1:10">
      <c r="A369" t="s">
        <v>88</v>
      </c>
      <c r="B369">
        <v>1</v>
      </c>
      <c r="D369" t="s">
        <v>3656</v>
      </c>
      <c r="E369" t="s">
        <v>3657</v>
      </c>
      <c r="F369" t="s">
        <v>193</v>
      </c>
      <c r="G369" t="s">
        <v>193</v>
      </c>
      <c r="H369" t="s">
        <v>3671</v>
      </c>
      <c r="I369" t="s">
        <v>3672</v>
      </c>
      <c r="J369">
        <v>41203439</v>
      </c>
    </row>
    <row r="370" spans="1:10">
      <c r="A370" t="s">
        <v>88</v>
      </c>
      <c r="B370">
        <v>0</v>
      </c>
      <c r="E370" t="s">
        <v>3655</v>
      </c>
      <c r="I370" t="s">
        <v>3673</v>
      </c>
      <c r="J370">
        <v>41203439</v>
      </c>
    </row>
    <row r="371" spans="1:10">
      <c r="A371" t="s">
        <v>88</v>
      </c>
      <c r="B371">
        <v>1</v>
      </c>
      <c r="D371" t="s">
        <v>3673</v>
      </c>
      <c r="E371" t="s">
        <v>3674</v>
      </c>
      <c r="F371" t="s">
        <v>3675</v>
      </c>
      <c r="G371" t="s">
        <v>193</v>
      </c>
      <c r="H371" t="s">
        <v>3676</v>
      </c>
      <c r="I371" t="s">
        <v>3677</v>
      </c>
      <c r="J371">
        <v>41203439</v>
      </c>
    </row>
    <row r="372" spans="1:10">
      <c r="A372" t="s">
        <v>90</v>
      </c>
      <c r="B372">
        <v>0</v>
      </c>
      <c r="E372" t="s">
        <v>3655</v>
      </c>
      <c r="I372" t="s">
        <v>3656</v>
      </c>
      <c r="J372">
        <v>41192737</v>
      </c>
    </row>
    <row r="373" spans="1:10">
      <c r="A373" t="s">
        <v>90</v>
      </c>
      <c r="B373">
        <v>1</v>
      </c>
      <c r="D373" t="s">
        <v>3656</v>
      </c>
      <c r="E373" t="s">
        <v>3657</v>
      </c>
      <c r="F373" t="s">
        <v>193</v>
      </c>
      <c r="G373" t="s">
        <v>193</v>
      </c>
      <c r="H373" t="s">
        <v>3658</v>
      </c>
      <c r="I373" t="s">
        <v>3659</v>
      </c>
      <c r="J373">
        <v>41192737</v>
      </c>
    </row>
    <row r="374" spans="1:10">
      <c r="A374" t="s">
        <v>90</v>
      </c>
      <c r="B374">
        <v>1</v>
      </c>
      <c r="D374" t="s">
        <v>3656</v>
      </c>
      <c r="E374" t="s">
        <v>3657</v>
      </c>
      <c r="F374" t="s">
        <v>193</v>
      </c>
      <c r="G374" t="s">
        <v>193</v>
      </c>
      <c r="H374" t="s">
        <v>3660</v>
      </c>
      <c r="I374" t="s">
        <v>3661</v>
      </c>
      <c r="J374">
        <v>41192737</v>
      </c>
    </row>
    <row r="375" spans="1:10">
      <c r="A375" t="s">
        <v>90</v>
      </c>
      <c r="B375">
        <v>1</v>
      </c>
      <c r="D375" t="s">
        <v>3656</v>
      </c>
      <c r="E375" t="s">
        <v>3657</v>
      </c>
      <c r="F375" t="s">
        <v>193</v>
      </c>
      <c r="G375" t="s">
        <v>193</v>
      </c>
      <c r="H375" t="s">
        <v>3662</v>
      </c>
      <c r="I375" t="s">
        <v>3663</v>
      </c>
      <c r="J375">
        <v>41192737</v>
      </c>
    </row>
    <row r="376" spans="1:10">
      <c r="A376" t="s">
        <v>90</v>
      </c>
      <c r="B376">
        <v>1</v>
      </c>
      <c r="D376" t="s">
        <v>3656</v>
      </c>
      <c r="E376" t="s">
        <v>3657</v>
      </c>
      <c r="F376" t="s">
        <v>193</v>
      </c>
      <c r="G376" t="s">
        <v>193</v>
      </c>
      <c r="H376" t="s">
        <v>3664</v>
      </c>
      <c r="I376" t="s">
        <v>3665</v>
      </c>
      <c r="J376">
        <v>41192737</v>
      </c>
    </row>
    <row r="377" spans="1:10">
      <c r="A377" t="s">
        <v>90</v>
      </c>
      <c r="B377">
        <v>1</v>
      </c>
      <c r="D377" t="s">
        <v>3656</v>
      </c>
      <c r="E377" t="s">
        <v>3657</v>
      </c>
      <c r="F377" t="s">
        <v>3666</v>
      </c>
      <c r="G377" t="s">
        <v>193</v>
      </c>
      <c r="H377" t="s">
        <v>3667</v>
      </c>
      <c r="I377" t="s">
        <v>3668</v>
      </c>
      <c r="J377">
        <v>41192737</v>
      </c>
    </row>
    <row r="378" spans="1:10">
      <c r="A378" t="s">
        <v>90</v>
      </c>
      <c r="B378">
        <v>1</v>
      </c>
      <c r="D378" t="s">
        <v>3656</v>
      </c>
      <c r="E378" t="s">
        <v>3657</v>
      </c>
      <c r="F378" t="s">
        <v>3666</v>
      </c>
      <c r="G378" t="s">
        <v>193</v>
      </c>
      <c r="H378" t="s">
        <v>3669</v>
      </c>
      <c r="I378" t="s">
        <v>3670</v>
      </c>
      <c r="J378">
        <v>41192737</v>
      </c>
    </row>
    <row r="379" spans="1:10">
      <c r="A379" t="s">
        <v>90</v>
      </c>
      <c r="B379">
        <v>1</v>
      </c>
      <c r="D379" t="s">
        <v>3656</v>
      </c>
      <c r="E379" t="s">
        <v>3657</v>
      </c>
      <c r="F379" t="s">
        <v>193</v>
      </c>
      <c r="G379" t="s">
        <v>193</v>
      </c>
      <c r="H379" t="s">
        <v>3671</v>
      </c>
      <c r="I379" t="s">
        <v>3672</v>
      </c>
      <c r="J379">
        <v>41192737</v>
      </c>
    </row>
    <row r="380" spans="1:10">
      <c r="A380" t="s">
        <v>90</v>
      </c>
      <c r="B380">
        <v>0</v>
      </c>
      <c r="E380" t="s">
        <v>3655</v>
      </c>
      <c r="I380" t="s">
        <v>3673</v>
      </c>
      <c r="J380">
        <v>41192737</v>
      </c>
    </row>
    <row r="381" spans="1:10">
      <c r="A381" t="s">
        <v>90</v>
      </c>
      <c r="B381">
        <v>1</v>
      </c>
      <c r="D381" t="s">
        <v>3673</v>
      </c>
      <c r="E381" t="s">
        <v>3674</v>
      </c>
      <c r="F381" t="s">
        <v>3675</v>
      </c>
      <c r="G381" t="s">
        <v>193</v>
      </c>
      <c r="H381" t="s">
        <v>3676</v>
      </c>
      <c r="I381" t="s">
        <v>3677</v>
      </c>
      <c r="J381">
        <v>41192737</v>
      </c>
    </row>
    <row r="382" spans="1:10">
      <c r="A382" t="s">
        <v>91</v>
      </c>
      <c r="B382">
        <v>0</v>
      </c>
      <c r="E382" t="s">
        <v>3655</v>
      </c>
      <c r="I382" t="s">
        <v>3656</v>
      </c>
      <c r="J382">
        <v>41189810</v>
      </c>
    </row>
    <row r="383" spans="1:10">
      <c r="A383" t="s">
        <v>91</v>
      </c>
      <c r="B383">
        <v>1</v>
      </c>
      <c r="D383" t="s">
        <v>3656</v>
      </c>
      <c r="E383" t="s">
        <v>3657</v>
      </c>
      <c r="F383" t="s">
        <v>193</v>
      </c>
      <c r="G383" t="s">
        <v>193</v>
      </c>
      <c r="H383" t="s">
        <v>3658</v>
      </c>
      <c r="I383" t="s">
        <v>3659</v>
      </c>
      <c r="J383">
        <v>41189810</v>
      </c>
    </row>
    <row r="384" spans="1:10">
      <c r="A384" t="s">
        <v>91</v>
      </c>
      <c r="B384">
        <v>1</v>
      </c>
      <c r="D384" t="s">
        <v>3656</v>
      </c>
      <c r="E384" t="s">
        <v>3657</v>
      </c>
      <c r="F384" t="s">
        <v>193</v>
      </c>
      <c r="G384" t="s">
        <v>193</v>
      </c>
      <c r="H384" t="s">
        <v>3660</v>
      </c>
      <c r="I384" t="s">
        <v>3661</v>
      </c>
      <c r="J384">
        <v>41189810</v>
      </c>
    </row>
    <row r="385" spans="1:10">
      <c r="A385" t="s">
        <v>91</v>
      </c>
      <c r="B385">
        <v>1</v>
      </c>
      <c r="D385" t="s">
        <v>3656</v>
      </c>
      <c r="E385" t="s">
        <v>3657</v>
      </c>
      <c r="F385" t="s">
        <v>193</v>
      </c>
      <c r="G385" t="s">
        <v>193</v>
      </c>
      <c r="H385" t="s">
        <v>3662</v>
      </c>
      <c r="I385" t="s">
        <v>3663</v>
      </c>
      <c r="J385">
        <v>41189810</v>
      </c>
    </row>
    <row r="386" spans="1:10">
      <c r="A386" t="s">
        <v>91</v>
      </c>
      <c r="B386">
        <v>1</v>
      </c>
      <c r="D386" t="s">
        <v>3656</v>
      </c>
      <c r="E386" t="s">
        <v>3657</v>
      </c>
      <c r="F386" t="s">
        <v>193</v>
      </c>
      <c r="G386" t="s">
        <v>193</v>
      </c>
      <c r="H386" t="s">
        <v>3664</v>
      </c>
      <c r="I386" t="s">
        <v>3665</v>
      </c>
      <c r="J386">
        <v>41189810</v>
      </c>
    </row>
    <row r="387" spans="1:10">
      <c r="A387" t="s">
        <v>91</v>
      </c>
      <c r="B387">
        <v>1</v>
      </c>
      <c r="D387" t="s">
        <v>3656</v>
      </c>
      <c r="E387" t="s">
        <v>3657</v>
      </c>
      <c r="F387" t="s">
        <v>3666</v>
      </c>
      <c r="G387" t="s">
        <v>193</v>
      </c>
      <c r="H387" t="s">
        <v>3667</v>
      </c>
      <c r="I387" t="s">
        <v>3668</v>
      </c>
      <c r="J387">
        <v>41189810</v>
      </c>
    </row>
    <row r="388" spans="1:10">
      <c r="A388" t="s">
        <v>91</v>
      </c>
      <c r="B388">
        <v>1</v>
      </c>
      <c r="D388" t="s">
        <v>3656</v>
      </c>
      <c r="E388" t="s">
        <v>3657</v>
      </c>
      <c r="F388" t="s">
        <v>3666</v>
      </c>
      <c r="G388" t="s">
        <v>193</v>
      </c>
      <c r="H388" t="s">
        <v>3669</v>
      </c>
      <c r="I388" t="s">
        <v>3670</v>
      </c>
      <c r="J388">
        <v>41189810</v>
      </c>
    </row>
    <row r="389" spans="1:10">
      <c r="A389" t="s">
        <v>91</v>
      </c>
      <c r="B389">
        <v>1</v>
      </c>
      <c r="D389" t="s">
        <v>3656</v>
      </c>
      <c r="E389" t="s">
        <v>3657</v>
      </c>
      <c r="F389" t="s">
        <v>193</v>
      </c>
      <c r="G389" t="s">
        <v>193</v>
      </c>
      <c r="H389" t="s">
        <v>3671</v>
      </c>
      <c r="I389" t="s">
        <v>3672</v>
      </c>
      <c r="J389">
        <v>41189810</v>
      </c>
    </row>
    <row r="390" spans="1:10">
      <c r="A390" t="s">
        <v>91</v>
      </c>
      <c r="B390">
        <v>0</v>
      </c>
      <c r="E390" t="s">
        <v>3655</v>
      </c>
      <c r="I390" t="s">
        <v>3673</v>
      </c>
      <c r="J390">
        <v>41189810</v>
      </c>
    </row>
    <row r="391" spans="1:10">
      <c r="A391" t="s">
        <v>91</v>
      </c>
      <c r="B391">
        <v>1</v>
      </c>
      <c r="D391" t="s">
        <v>3673</v>
      </c>
      <c r="E391" t="s">
        <v>3674</v>
      </c>
      <c r="F391" t="s">
        <v>3675</v>
      </c>
      <c r="G391" t="s">
        <v>193</v>
      </c>
      <c r="H391" t="s">
        <v>3676</v>
      </c>
      <c r="I391" t="s">
        <v>3677</v>
      </c>
      <c r="J391">
        <v>41189810</v>
      </c>
    </row>
    <row r="392" spans="1:10">
      <c r="A392" t="s">
        <v>93</v>
      </c>
      <c r="B392">
        <v>0</v>
      </c>
      <c r="E392" t="s">
        <v>3655</v>
      </c>
      <c r="I392" t="s">
        <v>3656</v>
      </c>
      <c r="J392">
        <v>41169630</v>
      </c>
    </row>
    <row r="393" spans="1:10">
      <c r="A393" t="s">
        <v>93</v>
      </c>
      <c r="B393">
        <v>1</v>
      </c>
      <c r="D393" t="s">
        <v>3656</v>
      </c>
      <c r="E393" t="s">
        <v>3657</v>
      </c>
      <c r="F393" t="s">
        <v>193</v>
      </c>
      <c r="G393" t="s">
        <v>193</v>
      </c>
      <c r="H393" t="s">
        <v>3658</v>
      </c>
      <c r="I393" t="s">
        <v>3659</v>
      </c>
      <c r="J393">
        <v>41169630</v>
      </c>
    </row>
    <row r="394" spans="1:10">
      <c r="A394" t="s">
        <v>93</v>
      </c>
      <c r="B394">
        <v>1</v>
      </c>
      <c r="D394" t="s">
        <v>3656</v>
      </c>
      <c r="E394" t="s">
        <v>3657</v>
      </c>
      <c r="F394" t="s">
        <v>193</v>
      </c>
      <c r="G394" t="s">
        <v>193</v>
      </c>
      <c r="H394" t="s">
        <v>3660</v>
      </c>
      <c r="I394" t="s">
        <v>3661</v>
      </c>
      <c r="J394">
        <v>41169630</v>
      </c>
    </row>
    <row r="395" spans="1:10">
      <c r="A395" t="s">
        <v>93</v>
      </c>
      <c r="B395">
        <v>1</v>
      </c>
      <c r="D395" t="s">
        <v>3656</v>
      </c>
      <c r="E395" t="s">
        <v>3657</v>
      </c>
      <c r="F395" t="s">
        <v>193</v>
      </c>
      <c r="G395" t="s">
        <v>193</v>
      </c>
      <c r="H395" t="s">
        <v>3662</v>
      </c>
      <c r="I395" t="s">
        <v>3663</v>
      </c>
      <c r="J395">
        <v>41169630</v>
      </c>
    </row>
    <row r="396" spans="1:10">
      <c r="A396" t="s">
        <v>93</v>
      </c>
      <c r="B396">
        <v>1</v>
      </c>
      <c r="D396" t="s">
        <v>3656</v>
      </c>
      <c r="E396" t="s">
        <v>3657</v>
      </c>
      <c r="F396" t="s">
        <v>193</v>
      </c>
      <c r="G396" t="s">
        <v>193</v>
      </c>
      <c r="H396" t="s">
        <v>3664</v>
      </c>
      <c r="I396" t="s">
        <v>3665</v>
      </c>
      <c r="J396">
        <v>41169630</v>
      </c>
    </row>
    <row r="397" spans="1:10">
      <c r="A397" t="s">
        <v>93</v>
      </c>
      <c r="B397">
        <v>1</v>
      </c>
      <c r="D397" t="s">
        <v>3656</v>
      </c>
      <c r="E397" t="s">
        <v>3657</v>
      </c>
      <c r="F397" t="s">
        <v>3666</v>
      </c>
      <c r="G397" t="s">
        <v>193</v>
      </c>
      <c r="H397" t="s">
        <v>3667</v>
      </c>
      <c r="I397" t="s">
        <v>3668</v>
      </c>
      <c r="J397">
        <v>41169630</v>
      </c>
    </row>
    <row r="398" spans="1:10">
      <c r="A398" t="s">
        <v>93</v>
      </c>
      <c r="B398">
        <v>1</v>
      </c>
      <c r="D398" t="s">
        <v>3656</v>
      </c>
      <c r="E398" t="s">
        <v>3657</v>
      </c>
      <c r="F398" t="s">
        <v>3666</v>
      </c>
      <c r="G398" t="s">
        <v>193</v>
      </c>
      <c r="H398" t="s">
        <v>3669</v>
      </c>
      <c r="I398" t="s">
        <v>3670</v>
      </c>
      <c r="J398">
        <v>41169630</v>
      </c>
    </row>
    <row r="399" spans="1:10">
      <c r="A399" t="s">
        <v>93</v>
      </c>
      <c r="B399">
        <v>1</v>
      </c>
      <c r="D399" t="s">
        <v>3656</v>
      </c>
      <c r="E399" t="s">
        <v>3657</v>
      </c>
      <c r="F399" t="s">
        <v>193</v>
      </c>
      <c r="G399" t="s">
        <v>193</v>
      </c>
      <c r="H399" t="s">
        <v>3671</v>
      </c>
      <c r="I399" t="s">
        <v>3672</v>
      </c>
      <c r="J399">
        <v>41169630</v>
      </c>
    </row>
    <row r="400" spans="1:10">
      <c r="A400" t="s">
        <v>93</v>
      </c>
      <c r="B400">
        <v>0</v>
      </c>
      <c r="E400" t="s">
        <v>3655</v>
      </c>
      <c r="I400" t="s">
        <v>3673</v>
      </c>
      <c r="J400">
        <v>41169630</v>
      </c>
    </row>
    <row r="401" spans="1:10">
      <c r="A401" t="s">
        <v>93</v>
      </c>
      <c r="B401">
        <v>1</v>
      </c>
      <c r="D401" t="s">
        <v>3673</v>
      </c>
      <c r="E401" t="s">
        <v>3674</v>
      </c>
      <c r="F401" t="s">
        <v>3675</v>
      </c>
      <c r="G401" t="s">
        <v>193</v>
      </c>
      <c r="H401" t="s">
        <v>3676</v>
      </c>
      <c r="I401" t="s">
        <v>3677</v>
      </c>
      <c r="J401">
        <v>41169630</v>
      </c>
    </row>
    <row r="402" spans="1:10">
      <c r="A402" t="s">
        <v>95</v>
      </c>
      <c r="B402">
        <v>0</v>
      </c>
      <c r="E402" t="s">
        <v>3655</v>
      </c>
      <c r="I402" t="s">
        <v>3656</v>
      </c>
      <c r="J402">
        <v>41179282</v>
      </c>
    </row>
    <row r="403" spans="1:10">
      <c r="A403" t="s">
        <v>95</v>
      </c>
      <c r="B403">
        <v>1</v>
      </c>
      <c r="D403" t="s">
        <v>3656</v>
      </c>
      <c r="E403" t="s">
        <v>3657</v>
      </c>
      <c r="F403" t="s">
        <v>193</v>
      </c>
      <c r="G403" t="s">
        <v>193</v>
      </c>
      <c r="H403" t="s">
        <v>3658</v>
      </c>
      <c r="I403" t="s">
        <v>3659</v>
      </c>
      <c r="J403">
        <v>41179282</v>
      </c>
    </row>
    <row r="404" spans="1:10">
      <c r="A404" t="s">
        <v>95</v>
      </c>
      <c r="B404">
        <v>1</v>
      </c>
      <c r="D404" t="s">
        <v>3656</v>
      </c>
      <c r="E404" t="s">
        <v>3657</v>
      </c>
      <c r="F404" t="s">
        <v>193</v>
      </c>
      <c r="G404" t="s">
        <v>193</v>
      </c>
      <c r="H404" t="s">
        <v>3660</v>
      </c>
      <c r="I404" t="s">
        <v>3661</v>
      </c>
      <c r="J404">
        <v>41179282</v>
      </c>
    </row>
    <row r="405" spans="1:10">
      <c r="A405" t="s">
        <v>95</v>
      </c>
      <c r="B405">
        <v>1</v>
      </c>
      <c r="D405" t="s">
        <v>3656</v>
      </c>
      <c r="E405" t="s">
        <v>3657</v>
      </c>
      <c r="F405" t="s">
        <v>193</v>
      </c>
      <c r="G405" t="s">
        <v>193</v>
      </c>
      <c r="H405" t="s">
        <v>3662</v>
      </c>
      <c r="I405" t="s">
        <v>3663</v>
      </c>
      <c r="J405">
        <v>41179282</v>
      </c>
    </row>
    <row r="406" spans="1:10">
      <c r="A406" t="s">
        <v>95</v>
      </c>
      <c r="B406">
        <v>1</v>
      </c>
      <c r="D406" t="s">
        <v>3656</v>
      </c>
      <c r="E406" t="s">
        <v>3657</v>
      </c>
      <c r="F406" t="s">
        <v>193</v>
      </c>
      <c r="G406" t="s">
        <v>193</v>
      </c>
      <c r="H406" t="s">
        <v>3664</v>
      </c>
      <c r="I406" t="s">
        <v>3665</v>
      </c>
      <c r="J406">
        <v>41179282</v>
      </c>
    </row>
    <row r="407" spans="1:10">
      <c r="A407" t="s">
        <v>95</v>
      </c>
      <c r="B407">
        <v>1</v>
      </c>
      <c r="D407" t="s">
        <v>3656</v>
      </c>
      <c r="E407" t="s">
        <v>3657</v>
      </c>
      <c r="F407" t="s">
        <v>3666</v>
      </c>
      <c r="G407" t="s">
        <v>193</v>
      </c>
      <c r="H407" t="s">
        <v>3667</v>
      </c>
      <c r="I407" t="s">
        <v>3668</v>
      </c>
      <c r="J407">
        <v>41179282</v>
      </c>
    </row>
    <row r="408" spans="1:10">
      <c r="A408" t="s">
        <v>95</v>
      </c>
      <c r="B408">
        <v>1</v>
      </c>
      <c r="D408" t="s">
        <v>3656</v>
      </c>
      <c r="E408" t="s">
        <v>3657</v>
      </c>
      <c r="F408" t="s">
        <v>3666</v>
      </c>
      <c r="G408" t="s">
        <v>193</v>
      </c>
      <c r="H408" t="s">
        <v>3669</v>
      </c>
      <c r="I408" t="s">
        <v>3670</v>
      </c>
      <c r="J408">
        <v>41179282</v>
      </c>
    </row>
    <row r="409" spans="1:10">
      <c r="A409" t="s">
        <v>95</v>
      </c>
      <c r="B409">
        <v>1</v>
      </c>
      <c r="D409" t="s">
        <v>3656</v>
      </c>
      <c r="E409" t="s">
        <v>3657</v>
      </c>
      <c r="F409" t="s">
        <v>193</v>
      </c>
      <c r="G409" t="s">
        <v>193</v>
      </c>
      <c r="H409" t="s">
        <v>3671</v>
      </c>
      <c r="I409" t="s">
        <v>3672</v>
      </c>
      <c r="J409">
        <v>41179282</v>
      </c>
    </row>
    <row r="410" spans="1:10">
      <c r="A410" t="s">
        <v>95</v>
      </c>
      <c r="B410">
        <v>0</v>
      </c>
      <c r="E410" t="s">
        <v>3655</v>
      </c>
      <c r="I410" t="s">
        <v>3673</v>
      </c>
      <c r="J410">
        <v>41179282</v>
      </c>
    </row>
    <row r="411" spans="1:10">
      <c r="A411" t="s">
        <v>95</v>
      </c>
      <c r="B411">
        <v>1</v>
      </c>
      <c r="D411" t="s">
        <v>3673</v>
      </c>
      <c r="E411" t="s">
        <v>3674</v>
      </c>
      <c r="F411" t="s">
        <v>3675</v>
      </c>
      <c r="G411" t="s">
        <v>193</v>
      </c>
      <c r="H411" t="s">
        <v>3676</v>
      </c>
      <c r="I411" t="s">
        <v>3677</v>
      </c>
      <c r="J411">
        <v>41179282</v>
      </c>
    </row>
    <row r="412" spans="1:10">
      <c r="A412" t="s">
        <v>97</v>
      </c>
      <c r="B412">
        <v>0</v>
      </c>
      <c r="E412" t="s">
        <v>3655</v>
      </c>
      <c r="I412" t="s">
        <v>3656</v>
      </c>
      <c r="J412">
        <v>41161416</v>
      </c>
    </row>
    <row r="413" spans="1:10">
      <c r="A413" t="s">
        <v>97</v>
      </c>
      <c r="B413">
        <v>1</v>
      </c>
      <c r="D413" t="s">
        <v>3656</v>
      </c>
      <c r="E413" t="s">
        <v>3657</v>
      </c>
      <c r="F413" t="s">
        <v>193</v>
      </c>
      <c r="G413" t="s">
        <v>193</v>
      </c>
      <c r="H413" t="s">
        <v>3658</v>
      </c>
      <c r="I413" t="s">
        <v>3659</v>
      </c>
      <c r="J413">
        <v>41161416</v>
      </c>
    </row>
    <row r="414" spans="1:10">
      <c r="A414" t="s">
        <v>97</v>
      </c>
      <c r="B414">
        <v>1</v>
      </c>
      <c r="D414" t="s">
        <v>3656</v>
      </c>
      <c r="E414" t="s">
        <v>3657</v>
      </c>
      <c r="F414" t="s">
        <v>193</v>
      </c>
      <c r="G414" t="s">
        <v>193</v>
      </c>
      <c r="H414" t="s">
        <v>3660</v>
      </c>
      <c r="I414" t="s">
        <v>3661</v>
      </c>
      <c r="J414">
        <v>41161416</v>
      </c>
    </row>
    <row r="415" spans="1:10">
      <c r="A415" t="s">
        <v>97</v>
      </c>
      <c r="B415">
        <v>1</v>
      </c>
      <c r="D415" t="s">
        <v>3656</v>
      </c>
      <c r="E415" t="s">
        <v>3657</v>
      </c>
      <c r="F415" t="s">
        <v>193</v>
      </c>
      <c r="G415" t="s">
        <v>193</v>
      </c>
      <c r="H415" t="s">
        <v>3662</v>
      </c>
      <c r="I415" t="s">
        <v>3663</v>
      </c>
      <c r="J415">
        <v>41161416</v>
      </c>
    </row>
    <row r="416" spans="1:10">
      <c r="A416" t="s">
        <v>97</v>
      </c>
      <c r="B416">
        <v>1</v>
      </c>
      <c r="D416" t="s">
        <v>3656</v>
      </c>
      <c r="E416" t="s">
        <v>3657</v>
      </c>
      <c r="F416" t="s">
        <v>193</v>
      </c>
      <c r="G416" t="s">
        <v>193</v>
      </c>
      <c r="H416" t="s">
        <v>3664</v>
      </c>
      <c r="I416" t="s">
        <v>3665</v>
      </c>
      <c r="J416">
        <v>41161416</v>
      </c>
    </row>
    <row r="417" spans="1:10">
      <c r="A417" t="s">
        <v>97</v>
      </c>
      <c r="B417">
        <v>1</v>
      </c>
      <c r="D417" t="s">
        <v>3656</v>
      </c>
      <c r="E417" t="s">
        <v>3657</v>
      </c>
      <c r="F417" t="s">
        <v>3666</v>
      </c>
      <c r="G417" t="s">
        <v>193</v>
      </c>
      <c r="H417" t="s">
        <v>3667</v>
      </c>
      <c r="I417" t="s">
        <v>3668</v>
      </c>
      <c r="J417">
        <v>41161416</v>
      </c>
    </row>
    <row r="418" spans="1:10">
      <c r="A418" t="s">
        <v>97</v>
      </c>
      <c r="B418">
        <v>1</v>
      </c>
      <c r="D418" t="s">
        <v>3656</v>
      </c>
      <c r="E418" t="s">
        <v>3657</v>
      </c>
      <c r="F418" t="s">
        <v>3666</v>
      </c>
      <c r="G418" t="s">
        <v>193</v>
      </c>
      <c r="H418" t="s">
        <v>3669</v>
      </c>
      <c r="I418" t="s">
        <v>3670</v>
      </c>
      <c r="J418">
        <v>41161416</v>
      </c>
    </row>
    <row r="419" spans="1:10">
      <c r="A419" t="s">
        <v>97</v>
      </c>
      <c r="B419">
        <v>1</v>
      </c>
      <c r="D419" t="s">
        <v>3656</v>
      </c>
      <c r="E419" t="s">
        <v>3657</v>
      </c>
      <c r="F419" t="s">
        <v>193</v>
      </c>
      <c r="G419" t="s">
        <v>193</v>
      </c>
      <c r="H419" t="s">
        <v>3671</v>
      </c>
      <c r="I419" t="s">
        <v>3672</v>
      </c>
      <c r="J419">
        <v>41161416</v>
      </c>
    </row>
    <row r="420" spans="1:10">
      <c r="A420" t="s">
        <v>97</v>
      </c>
      <c r="B420">
        <v>0</v>
      </c>
      <c r="E420" t="s">
        <v>3655</v>
      </c>
      <c r="I420" t="s">
        <v>3673</v>
      </c>
      <c r="J420">
        <v>41161416</v>
      </c>
    </row>
    <row r="421" spans="1:10">
      <c r="A421" t="s">
        <v>97</v>
      </c>
      <c r="B421">
        <v>1</v>
      </c>
      <c r="D421" t="s">
        <v>3673</v>
      </c>
      <c r="E421" t="s">
        <v>3674</v>
      </c>
      <c r="F421" t="s">
        <v>3675</v>
      </c>
      <c r="G421" t="s">
        <v>193</v>
      </c>
      <c r="H421" t="s">
        <v>3676</v>
      </c>
      <c r="I421" t="s">
        <v>3677</v>
      </c>
      <c r="J421">
        <v>41161416</v>
      </c>
    </row>
    <row r="422" spans="1:10">
      <c r="A422" t="s">
        <v>99</v>
      </c>
      <c r="B422">
        <v>0</v>
      </c>
      <c r="E422" t="s">
        <v>3655</v>
      </c>
      <c r="I422" t="s">
        <v>3656</v>
      </c>
      <c r="J422">
        <v>41151139</v>
      </c>
    </row>
    <row r="423" spans="1:10">
      <c r="A423" t="s">
        <v>99</v>
      </c>
      <c r="B423">
        <v>1</v>
      </c>
      <c r="D423" t="s">
        <v>3656</v>
      </c>
      <c r="E423" t="s">
        <v>3657</v>
      </c>
      <c r="F423" t="s">
        <v>193</v>
      </c>
      <c r="G423" t="s">
        <v>193</v>
      </c>
      <c r="H423" t="s">
        <v>3658</v>
      </c>
      <c r="I423" t="s">
        <v>3659</v>
      </c>
      <c r="J423">
        <v>41151139</v>
      </c>
    </row>
    <row r="424" spans="1:10">
      <c r="A424" t="s">
        <v>99</v>
      </c>
      <c r="B424">
        <v>1</v>
      </c>
      <c r="D424" t="s">
        <v>3656</v>
      </c>
      <c r="E424" t="s">
        <v>3657</v>
      </c>
      <c r="F424" t="s">
        <v>193</v>
      </c>
      <c r="G424" t="s">
        <v>193</v>
      </c>
      <c r="H424" t="s">
        <v>3660</v>
      </c>
      <c r="I424" t="s">
        <v>3661</v>
      </c>
      <c r="J424">
        <v>41151139</v>
      </c>
    </row>
    <row r="425" spans="1:10">
      <c r="A425" t="s">
        <v>99</v>
      </c>
      <c r="B425">
        <v>1</v>
      </c>
      <c r="D425" t="s">
        <v>3656</v>
      </c>
      <c r="E425" t="s">
        <v>3657</v>
      </c>
      <c r="F425" t="s">
        <v>193</v>
      </c>
      <c r="G425" t="s">
        <v>193</v>
      </c>
      <c r="H425" t="s">
        <v>3662</v>
      </c>
      <c r="I425" t="s">
        <v>3663</v>
      </c>
      <c r="J425">
        <v>41151139</v>
      </c>
    </row>
    <row r="426" spans="1:10">
      <c r="A426" t="s">
        <v>99</v>
      </c>
      <c r="B426">
        <v>1</v>
      </c>
      <c r="D426" t="s">
        <v>3656</v>
      </c>
      <c r="E426" t="s">
        <v>3657</v>
      </c>
      <c r="F426" t="s">
        <v>193</v>
      </c>
      <c r="G426" t="s">
        <v>193</v>
      </c>
      <c r="H426" t="s">
        <v>3664</v>
      </c>
      <c r="I426" t="s">
        <v>3665</v>
      </c>
      <c r="J426">
        <v>41151139</v>
      </c>
    </row>
    <row r="427" spans="1:10">
      <c r="A427" t="s">
        <v>99</v>
      </c>
      <c r="B427">
        <v>1</v>
      </c>
      <c r="D427" t="s">
        <v>3656</v>
      </c>
      <c r="E427" t="s">
        <v>3657</v>
      </c>
      <c r="F427" t="s">
        <v>3666</v>
      </c>
      <c r="G427" t="s">
        <v>193</v>
      </c>
      <c r="H427" t="s">
        <v>3667</v>
      </c>
      <c r="I427" t="s">
        <v>3668</v>
      </c>
      <c r="J427">
        <v>41151139</v>
      </c>
    </row>
    <row r="428" spans="1:10">
      <c r="A428" t="s">
        <v>99</v>
      </c>
      <c r="B428">
        <v>1</v>
      </c>
      <c r="D428" t="s">
        <v>3656</v>
      </c>
      <c r="E428" t="s">
        <v>3657</v>
      </c>
      <c r="F428" t="s">
        <v>3666</v>
      </c>
      <c r="G428" t="s">
        <v>193</v>
      </c>
      <c r="H428" t="s">
        <v>3669</v>
      </c>
      <c r="I428" t="s">
        <v>3670</v>
      </c>
      <c r="J428">
        <v>41151139</v>
      </c>
    </row>
    <row r="429" spans="1:10">
      <c r="A429" t="s">
        <v>99</v>
      </c>
      <c r="B429">
        <v>1</v>
      </c>
      <c r="D429" t="s">
        <v>3656</v>
      </c>
      <c r="E429" t="s">
        <v>3657</v>
      </c>
      <c r="F429" t="s">
        <v>193</v>
      </c>
      <c r="G429" t="s">
        <v>193</v>
      </c>
      <c r="H429" t="s">
        <v>3671</v>
      </c>
      <c r="I429" t="s">
        <v>3672</v>
      </c>
      <c r="J429">
        <v>41151139</v>
      </c>
    </row>
    <row r="430" spans="1:10">
      <c r="A430" t="s">
        <v>99</v>
      </c>
      <c r="B430">
        <v>0</v>
      </c>
      <c r="E430" t="s">
        <v>3655</v>
      </c>
      <c r="I430" t="s">
        <v>3673</v>
      </c>
      <c r="J430">
        <v>41151139</v>
      </c>
    </row>
    <row r="431" spans="1:10">
      <c r="A431" t="s">
        <v>99</v>
      </c>
      <c r="B431">
        <v>1</v>
      </c>
      <c r="D431" t="s">
        <v>3673</v>
      </c>
      <c r="E431" t="s">
        <v>3674</v>
      </c>
      <c r="F431" t="s">
        <v>3675</v>
      </c>
      <c r="G431" t="s">
        <v>193</v>
      </c>
      <c r="H431" t="s">
        <v>3676</v>
      </c>
      <c r="I431" t="s">
        <v>3677</v>
      </c>
      <c r="J431">
        <v>41151139</v>
      </c>
    </row>
    <row r="432" spans="1:10">
      <c r="A432" t="s">
        <v>100</v>
      </c>
      <c r="B432">
        <v>0</v>
      </c>
      <c r="E432" t="s">
        <v>3655</v>
      </c>
      <c r="I432" t="s">
        <v>3656</v>
      </c>
      <c r="J432">
        <v>41149660</v>
      </c>
    </row>
    <row r="433" spans="1:10">
      <c r="A433" t="s">
        <v>100</v>
      </c>
      <c r="B433">
        <v>1</v>
      </c>
      <c r="D433" t="s">
        <v>3656</v>
      </c>
      <c r="E433" t="s">
        <v>3657</v>
      </c>
      <c r="F433" t="s">
        <v>193</v>
      </c>
      <c r="G433" t="s">
        <v>193</v>
      </c>
      <c r="H433" t="s">
        <v>3658</v>
      </c>
      <c r="I433" t="s">
        <v>3659</v>
      </c>
      <c r="J433">
        <v>41149660</v>
      </c>
    </row>
    <row r="434" spans="1:10">
      <c r="A434" t="s">
        <v>100</v>
      </c>
      <c r="B434">
        <v>1</v>
      </c>
      <c r="D434" t="s">
        <v>3656</v>
      </c>
      <c r="E434" t="s">
        <v>3657</v>
      </c>
      <c r="F434" t="s">
        <v>193</v>
      </c>
      <c r="G434" t="s">
        <v>193</v>
      </c>
      <c r="H434" t="s">
        <v>3660</v>
      </c>
      <c r="I434" t="s">
        <v>3661</v>
      </c>
      <c r="J434">
        <v>41149660</v>
      </c>
    </row>
    <row r="435" spans="1:10">
      <c r="A435" t="s">
        <v>100</v>
      </c>
      <c r="B435">
        <v>1</v>
      </c>
      <c r="D435" t="s">
        <v>3656</v>
      </c>
      <c r="E435" t="s">
        <v>3657</v>
      </c>
      <c r="F435" t="s">
        <v>193</v>
      </c>
      <c r="G435" t="s">
        <v>193</v>
      </c>
      <c r="H435" t="s">
        <v>3662</v>
      </c>
      <c r="I435" t="s">
        <v>3663</v>
      </c>
      <c r="J435">
        <v>41149660</v>
      </c>
    </row>
    <row r="436" spans="1:10">
      <c r="A436" t="s">
        <v>100</v>
      </c>
      <c r="B436">
        <v>1</v>
      </c>
      <c r="D436" t="s">
        <v>3656</v>
      </c>
      <c r="E436" t="s">
        <v>3657</v>
      </c>
      <c r="F436" t="s">
        <v>193</v>
      </c>
      <c r="G436" t="s">
        <v>193</v>
      </c>
      <c r="H436" t="s">
        <v>3664</v>
      </c>
      <c r="I436" t="s">
        <v>3665</v>
      </c>
      <c r="J436">
        <v>41149660</v>
      </c>
    </row>
    <row r="437" spans="1:10">
      <c r="A437" t="s">
        <v>100</v>
      </c>
      <c r="B437">
        <v>1</v>
      </c>
      <c r="D437" t="s">
        <v>3656</v>
      </c>
      <c r="E437" t="s">
        <v>3657</v>
      </c>
      <c r="F437" t="s">
        <v>3666</v>
      </c>
      <c r="G437" t="s">
        <v>193</v>
      </c>
      <c r="H437" t="s">
        <v>3667</v>
      </c>
      <c r="I437" t="s">
        <v>3668</v>
      </c>
      <c r="J437">
        <v>41149660</v>
      </c>
    </row>
    <row r="438" spans="1:10">
      <c r="A438" t="s">
        <v>100</v>
      </c>
      <c r="B438">
        <v>1</v>
      </c>
      <c r="D438" t="s">
        <v>3656</v>
      </c>
      <c r="E438" t="s">
        <v>3657</v>
      </c>
      <c r="F438" t="s">
        <v>3666</v>
      </c>
      <c r="G438" t="s">
        <v>193</v>
      </c>
      <c r="H438" t="s">
        <v>3669</v>
      </c>
      <c r="I438" t="s">
        <v>3670</v>
      </c>
      <c r="J438">
        <v>41149660</v>
      </c>
    </row>
    <row r="439" spans="1:10">
      <c r="A439" t="s">
        <v>100</v>
      </c>
      <c r="B439">
        <v>1</v>
      </c>
      <c r="D439" t="s">
        <v>3656</v>
      </c>
      <c r="E439" t="s">
        <v>3657</v>
      </c>
      <c r="F439" t="s">
        <v>193</v>
      </c>
      <c r="G439" t="s">
        <v>193</v>
      </c>
      <c r="H439" t="s">
        <v>3671</v>
      </c>
      <c r="I439" t="s">
        <v>3672</v>
      </c>
      <c r="J439">
        <v>41149660</v>
      </c>
    </row>
    <row r="440" spans="1:10">
      <c r="A440" t="s">
        <v>100</v>
      </c>
      <c r="B440">
        <v>0</v>
      </c>
      <c r="E440" t="s">
        <v>3655</v>
      </c>
      <c r="I440" t="s">
        <v>3673</v>
      </c>
      <c r="J440">
        <v>41149660</v>
      </c>
    </row>
    <row r="441" spans="1:10">
      <c r="A441" t="s">
        <v>100</v>
      </c>
      <c r="B441">
        <v>1</v>
      </c>
      <c r="D441" t="s">
        <v>3673</v>
      </c>
      <c r="E441" t="s">
        <v>3674</v>
      </c>
      <c r="F441" t="s">
        <v>3675</v>
      </c>
      <c r="G441" t="s">
        <v>193</v>
      </c>
      <c r="H441" t="s">
        <v>3676</v>
      </c>
      <c r="I441" t="s">
        <v>3677</v>
      </c>
      <c r="J441">
        <v>41149660</v>
      </c>
    </row>
    <row r="442" spans="1:10">
      <c r="A442" t="s">
        <v>104</v>
      </c>
      <c r="B442">
        <v>0</v>
      </c>
      <c r="E442" t="s">
        <v>3655</v>
      </c>
      <c r="I442" t="s">
        <v>3656</v>
      </c>
      <c r="J442">
        <v>41146024</v>
      </c>
    </row>
    <row r="443" spans="1:10">
      <c r="A443" t="s">
        <v>104</v>
      </c>
      <c r="B443">
        <v>1</v>
      </c>
      <c r="D443" t="s">
        <v>3656</v>
      </c>
      <c r="E443" t="s">
        <v>3657</v>
      </c>
      <c r="F443" t="s">
        <v>193</v>
      </c>
      <c r="G443" t="s">
        <v>193</v>
      </c>
      <c r="H443" t="s">
        <v>3658</v>
      </c>
      <c r="I443" t="s">
        <v>3659</v>
      </c>
      <c r="J443">
        <v>41146024</v>
      </c>
    </row>
    <row r="444" spans="1:10">
      <c r="A444" t="s">
        <v>104</v>
      </c>
      <c r="B444">
        <v>1</v>
      </c>
      <c r="D444" t="s">
        <v>3656</v>
      </c>
      <c r="E444" t="s">
        <v>3657</v>
      </c>
      <c r="F444" t="s">
        <v>193</v>
      </c>
      <c r="G444" t="s">
        <v>193</v>
      </c>
      <c r="H444" t="s">
        <v>3660</v>
      </c>
      <c r="I444" t="s">
        <v>3661</v>
      </c>
      <c r="J444">
        <v>41146024</v>
      </c>
    </row>
    <row r="445" spans="1:10">
      <c r="A445" t="s">
        <v>104</v>
      </c>
      <c r="B445">
        <v>1</v>
      </c>
      <c r="D445" t="s">
        <v>3656</v>
      </c>
      <c r="E445" t="s">
        <v>3657</v>
      </c>
      <c r="F445" t="s">
        <v>193</v>
      </c>
      <c r="G445" t="s">
        <v>193</v>
      </c>
      <c r="H445" t="s">
        <v>3662</v>
      </c>
      <c r="I445" t="s">
        <v>3663</v>
      </c>
      <c r="J445">
        <v>41146024</v>
      </c>
    </row>
    <row r="446" spans="1:10">
      <c r="A446" t="s">
        <v>104</v>
      </c>
      <c r="B446">
        <v>1</v>
      </c>
      <c r="D446" t="s">
        <v>3656</v>
      </c>
      <c r="E446" t="s">
        <v>3657</v>
      </c>
      <c r="F446" t="s">
        <v>193</v>
      </c>
      <c r="G446" t="s">
        <v>193</v>
      </c>
      <c r="H446" t="s">
        <v>3664</v>
      </c>
      <c r="I446" t="s">
        <v>3665</v>
      </c>
      <c r="J446">
        <v>41146024</v>
      </c>
    </row>
    <row r="447" spans="1:10">
      <c r="A447" t="s">
        <v>104</v>
      </c>
      <c r="B447">
        <v>1</v>
      </c>
      <c r="D447" t="s">
        <v>3656</v>
      </c>
      <c r="E447" t="s">
        <v>3657</v>
      </c>
      <c r="F447" t="s">
        <v>3666</v>
      </c>
      <c r="G447" t="s">
        <v>193</v>
      </c>
      <c r="H447" t="s">
        <v>3667</v>
      </c>
      <c r="I447" t="s">
        <v>3668</v>
      </c>
      <c r="J447">
        <v>41146024</v>
      </c>
    </row>
    <row r="448" spans="1:10">
      <c r="A448" t="s">
        <v>104</v>
      </c>
      <c r="B448">
        <v>1</v>
      </c>
      <c r="D448" t="s">
        <v>3656</v>
      </c>
      <c r="E448" t="s">
        <v>3657</v>
      </c>
      <c r="F448" t="s">
        <v>3666</v>
      </c>
      <c r="G448" t="s">
        <v>193</v>
      </c>
      <c r="H448" t="s">
        <v>3669</v>
      </c>
      <c r="I448" t="s">
        <v>3670</v>
      </c>
      <c r="J448">
        <v>41146024</v>
      </c>
    </row>
    <row r="449" spans="1:10">
      <c r="A449" t="s">
        <v>104</v>
      </c>
      <c r="B449">
        <v>1</v>
      </c>
      <c r="D449" t="s">
        <v>3656</v>
      </c>
      <c r="E449" t="s">
        <v>3657</v>
      </c>
      <c r="F449" t="s">
        <v>193</v>
      </c>
      <c r="G449" t="s">
        <v>193</v>
      </c>
      <c r="H449" t="s">
        <v>3671</v>
      </c>
      <c r="I449" t="s">
        <v>3672</v>
      </c>
      <c r="J449">
        <v>41146024</v>
      </c>
    </row>
    <row r="450" spans="1:10">
      <c r="A450" t="s">
        <v>104</v>
      </c>
      <c r="B450">
        <v>0</v>
      </c>
      <c r="E450" t="s">
        <v>3655</v>
      </c>
      <c r="I450" t="s">
        <v>3673</v>
      </c>
      <c r="J450">
        <v>41146024</v>
      </c>
    </row>
    <row r="451" spans="1:10">
      <c r="A451" t="s">
        <v>104</v>
      </c>
      <c r="B451">
        <v>1</v>
      </c>
      <c r="D451" t="s">
        <v>3673</v>
      </c>
      <c r="E451" t="s">
        <v>3674</v>
      </c>
      <c r="F451" t="s">
        <v>3675</v>
      </c>
      <c r="G451" t="s">
        <v>193</v>
      </c>
      <c r="H451" t="s">
        <v>3676</v>
      </c>
      <c r="I451" t="s">
        <v>3677</v>
      </c>
      <c r="J451">
        <v>41146024</v>
      </c>
    </row>
    <row r="452" spans="1:10">
      <c r="A452" t="s">
        <v>106</v>
      </c>
      <c r="B452">
        <v>0</v>
      </c>
      <c r="E452" t="s">
        <v>3655</v>
      </c>
      <c r="I452" t="s">
        <v>3656</v>
      </c>
      <c r="J452">
        <v>40403035</v>
      </c>
    </row>
    <row r="453" spans="1:10">
      <c r="A453" t="s">
        <v>106</v>
      </c>
      <c r="B453">
        <v>1</v>
      </c>
      <c r="D453" t="s">
        <v>3656</v>
      </c>
      <c r="E453" t="s">
        <v>3657</v>
      </c>
      <c r="F453" t="s">
        <v>193</v>
      </c>
      <c r="G453" t="s">
        <v>193</v>
      </c>
      <c r="H453" t="s">
        <v>3658</v>
      </c>
      <c r="I453" t="s">
        <v>3659</v>
      </c>
      <c r="J453">
        <v>40403035</v>
      </c>
    </row>
    <row r="454" spans="1:10">
      <c r="A454" t="s">
        <v>106</v>
      </c>
      <c r="B454">
        <v>1</v>
      </c>
      <c r="D454" t="s">
        <v>3656</v>
      </c>
      <c r="E454" t="s">
        <v>3657</v>
      </c>
      <c r="F454" t="s">
        <v>193</v>
      </c>
      <c r="G454" t="s">
        <v>193</v>
      </c>
      <c r="H454" t="s">
        <v>3660</v>
      </c>
      <c r="I454" t="s">
        <v>3661</v>
      </c>
      <c r="J454">
        <v>40403035</v>
      </c>
    </row>
    <row r="455" spans="1:10">
      <c r="A455" t="s">
        <v>106</v>
      </c>
      <c r="B455">
        <v>1</v>
      </c>
      <c r="D455" t="s">
        <v>3656</v>
      </c>
      <c r="E455" t="s">
        <v>3657</v>
      </c>
      <c r="F455" t="s">
        <v>193</v>
      </c>
      <c r="G455" t="s">
        <v>193</v>
      </c>
      <c r="H455" t="s">
        <v>3662</v>
      </c>
      <c r="I455" t="s">
        <v>3663</v>
      </c>
      <c r="J455">
        <v>40403035</v>
      </c>
    </row>
    <row r="456" spans="1:10">
      <c r="A456" t="s">
        <v>106</v>
      </c>
      <c r="B456">
        <v>1</v>
      </c>
      <c r="D456" t="s">
        <v>3656</v>
      </c>
      <c r="E456" t="s">
        <v>3657</v>
      </c>
      <c r="F456" t="s">
        <v>193</v>
      </c>
      <c r="G456" t="s">
        <v>193</v>
      </c>
      <c r="H456" t="s">
        <v>3664</v>
      </c>
      <c r="I456" t="s">
        <v>3665</v>
      </c>
      <c r="J456">
        <v>40403035</v>
      </c>
    </row>
    <row r="457" spans="1:10">
      <c r="A457" t="s">
        <v>106</v>
      </c>
      <c r="B457">
        <v>1</v>
      </c>
      <c r="D457" t="s">
        <v>3656</v>
      </c>
      <c r="E457" t="s">
        <v>3657</v>
      </c>
      <c r="F457" t="s">
        <v>3666</v>
      </c>
      <c r="G457" t="s">
        <v>193</v>
      </c>
      <c r="H457" t="s">
        <v>3667</v>
      </c>
      <c r="I457" t="s">
        <v>3668</v>
      </c>
      <c r="J457">
        <v>40403035</v>
      </c>
    </row>
    <row r="458" spans="1:10">
      <c r="A458" t="s">
        <v>106</v>
      </c>
      <c r="B458">
        <v>1</v>
      </c>
      <c r="D458" t="s">
        <v>3656</v>
      </c>
      <c r="E458" t="s">
        <v>3657</v>
      </c>
      <c r="F458" t="s">
        <v>3666</v>
      </c>
      <c r="G458" t="s">
        <v>193</v>
      </c>
      <c r="H458" t="s">
        <v>3669</v>
      </c>
      <c r="I458" t="s">
        <v>3670</v>
      </c>
      <c r="J458">
        <v>40403035</v>
      </c>
    </row>
    <row r="459" spans="1:10">
      <c r="A459" t="s">
        <v>106</v>
      </c>
      <c r="B459">
        <v>1</v>
      </c>
      <c r="D459" t="s">
        <v>3656</v>
      </c>
      <c r="E459" t="s">
        <v>3657</v>
      </c>
      <c r="F459" t="s">
        <v>193</v>
      </c>
      <c r="G459" t="s">
        <v>193</v>
      </c>
      <c r="H459" t="s">
        <v>3671</v>
      </c>
      <c r="I459" t="s">
        <v>3672</v>
      </c>
      <c r="J459">
        <v>40403035</v>
      </c>
    </row>
    <row r="460" spans="1:10">
      <c r="A460" t="s">
        <v>106</v>
      </c>
      <c r="B460">
        <v>0</v>
      </c>
      <c r="E460" t="s">
        <v>3655</v>
      </c>
      <c r="I460" t="s">
        <v>3673</v>
      </c>
      <c r="J460">
        <v>40403035</v>
      </c>
    </row>
    <row r="461" spans="1:10">
      <c r="A461" t="s">
        <v>106</v>
      </c>
      <c r="B461">
        <v>1</v>
      </c>
      <c r="D461" t="s">
        <v>3673</v>
      </c>
      <c r="E461" t="s">
        <v>3674</v>
      </c>
      <c r="F461" t="s">
        <v>3675</v>
      </c>
      <c r="G461" t="s">
        <v>193</v>
      </c>
      <c r="H461" t="s">
        <v>3676</v>
      </c>
      <c r="I461" t="s">
        <v>3677</v>
      </c>
      <c r="J461">
        <v>40403035</v>
      </c>
    </row>
    <row r="462" spans="1:10">
      <c r="A462" t="s">
        <v>108</v>
      </c>
      <c r="B462">
        <v>0</v>
      </c>
      <c r="E462" t="s">
        <v>3655</v>
      </c>
      <c r="I462" t="s">
        <v>3656</v>
      </c>
      <c r="J462">
        <v>40788412</v>
      </c>
    </row>
    <row r="463" spans="1:10">
      <c r="A463" t="s">
        <v>108</v>
      </c>
      <c r="B463">
        <v>1</v>
      </c>
      <c r="D463" t="s">
        <v>3656</v>
      </c>
      <c r="E463" t="s">
        <v>3657</v>
      </c>
      <c r="F463" t="s">
        <v>193</v>
      </c>
      <c r="G463" t="s">
        <v>193</v>
      </c>
      <c r="H463" t="s">
        <v>3658</v>
      </c>
      <c r="I463" t="s">
        <v>3659</v>
      </c>
      <c r="J463">
        <v>40788412</v>
      </c>
    </row>
    <row r="464" spans="1:10">
      <c r="A464" t="s">
        <v>108</v>
      </c>
      <c r="B464">
        <v>1</v>
      </c>
      <c r="D464" t="s">
        <v>3656</v>
      </c>
      <c r="E464" t="s">
        <v>3657</v>
      </c>
      <c r="F464" t="s">
        <v>193</v>
      </c>
      <c r="G464" t="s">
        <v>193</v>
      </c>
      <c r="H464" t="s">
        <v>3660</v>
      </c>
      <c r="I464" t="s">
        <v>3661</v>
      </c>
      <c r="J464">
        <v>40788412</v>
      </c>
    </row>
    <row r="465" spans="1:10">
      <c r="A465" t="s">
        <v>108</v>
      </c>
      <c r="B465">
        <v>1</v>
      </c>
      <c r="D465" t="s">
        <v>3656</v>
      </c>
      <c r="E465" t="s">
        <v>3657</v>
      </c>
      <c r="F465" t="s">
        <v>193</v>
      </c>
      <c r="G465" t="s">
        <v>193</v>
      </c>
      <c r="H465" t="s">
        <v>3662</v>
      </c>
      <c r="I465" t="s">
        <v>3663</v>
      </c>
      <c r="J465">
        <v>40788412</v>
      </c>
    </row>
    <row r="466" spans="1:10">
      <c r="A466" t="s">
        <v>108</v>
      </c>
      <c r="B466">
        <v>1</v>
      </c>
      <c r="D466" t="s">
        <v>3656</v>
      </c>
      <c r="E466" t="s">
        <v>3657</v>
      </c>
      <c r="F466" t="s">
        <v>193</v>
      </c>
      <c r="G466" t="s">
        <v>193</v>
      </c>
      <c r="H466" t="s">
        <v>3664</v>
      </c>
      <c r="I466" t="s">
        <v>3665</v>
      </c>
      <c r="J466">
        <v>40788412</v>
      </c>
    </row>
    <row r="467" spans="1:10">
      <c r="A467" t="s">
        <v>108</v>
      </c>
      <c r="B467">
        <v>1</v>
      </c>
      <c r="D467" t="s">
        <v>3656</v>
      </c>
      <c r="E467" t="s">
        <v>3657</v>
      </c>
      <c r="F467" t="s">
        <v>3666</v>
      </c>
      <c r="G467" t="s">
        <v>193</v>
      </c>
      <c r="H467" t="s">
        <v>3667</v>
      </c>
      <c r="I467" t="s">
        <v>3668</v>
      </c>
      <c r="J467">
        <v>40788412</v>
      </c>
    </row>
    <row r="468" spans="1:10">
      <c r="A468" t="s">
        <v>108</v>
      </c>
      <c r="B468">
        <v>1</v>
      </c>
      <c r="D468" t="s">
        <v>3656</v>
      </c>
      <c r="E468" t="s">
        <v>3657</v>
      </c>
      <c r="F468" t="s">
        <v>3666</v>
      </c>
      <c r="G468" t="s">
        <v>193</v>
      </c>
      <c r="H468" t="s">
        <v>3669</v>
      </c>
      <c r="I468" t="s">
        <v>3670</v>
      </c>
      <c r="J468">
        <v>40788412</v>
      </c>
    </row>
    <row r="469" spans="1:10">
      <c r="A469" t="s">
        <v>108</v>
      </c>
      <c r="B469">
        <v>1</v>
      </c>
      <c r="D469" t="s">
        <v>3656</v>
      </c>
      <c r="E469" t="s">
        <v>3657</v>
      </c>
      <c r="F469" t="s">
        <v>193</v>
      </c>
      <c r="G469" t="s">
        <v>193</v>
      </c>
      <c r="H469" t="s">
        <v>3671</v>
      </c>
      <c r="I469" t="s">
        <v>3672</v>
      </c>
      <c r="J469">
        <v>40788412</v>
      </c>
    </row>
    <row r="470" spans="1:10">
      <c r="A470" t="s">
        <v>108</v>
      </c>
      <c r="B470">
        <v>0</v>
      </c>
      <c r="E470" t="s">
        <v>3655</v>
      </c>
      <c r="I470" t="s">
        <v>3673</v>
      </c>
      <c r="J470">
        <v>40788412</v>
      </c>
    </row>
    <row r="471" spans="1:10">
      <c r="A471" t="s">
        <v>108</v>
      </c>
      <c r="B471">
        <v>1</v>
      </c>
      <c r="D471" t="s">
        <v>3673</v>
      </c>
      <c r="E471" t="s">
        <v>3674</v>
      </c>
      <c r="F471" t="s">
        <v>3675</v>
      </c>
      <c r="G471" t="s">
        <v>193</v>
      </c>
      <c r="H471" t="s">
        <v>3676</v>
      </c>
      <c r="I471" t="s">
        <v>3677</v>
      </c>
      <c r="J471">
        <v>40788412</v>
      </c>
    </row>
    <row r="472" spans="1:10">
      <c r="A472" t="s">
        <v>110</v>
      </c>
      <c r="B472">
        <v>0</v>
      </c>
      <c r="E472" t="s">
        <v>3655</v>
      </c>
      <c r="I472" t="s">
        <v>3656</v>
      </c>
      <c r="J472">
        <v>40211340</v>
      </c>
    </row>
    <row r="473" spans="1:10">
      <c r="A473" t="s">
        <v>110</v>
      </c>
      <c r="B473">
        <v>1</v>
      </c>
      <c r="D473" t="s">
        <v>3656</v>
      </c>
      <c r="E473" t="s">
        <v>3657</v>
      </c>
      <c r="F473" t="s">
        <v>193</v>
      </c>
      <c r="G473" t="s">
        <v>193</v>
      </c>
      <c r="H473" t="s">
        <v>3658</v>
      </c>
      <c r="I473" t="s">
        <v>3659</v>
      </c>
      <c r="J473">
        <v>40211340</v>
      </c>
    </row>
    <row r="474" spans="1:10">
      <c r="A474" t="s">
        <v>110</v>
      </c>
      <c r="B474">
        <v>1</v>
      </c>
      <c r="D474" t="s">
        <v>3656</v>
      </c>
      <c r="E474" t="s">
        <v>3657</v>
      </c>
      <c r="F474" t="s">
        <v>193</v>
      </c>
      <c r="G474" t="s">
        <v>193</v>
      </c>
      <c r="H474" t="s">
        <v>3660</v>
      </c>
      <c r="I474" t="s">
        <v>3661</v>
      </c>
      <c r="J474">
        <v>40211340</v>
      </c>
    </row>
    <row r="475" spans="1:10">
      <c r="A475" t="s">
        <v>110</v>
      </c>
      <c r="B475">
        <v>1</v>
      </c>
      <c r="D475" t="s">
        <v>3656</v>
      </c>
      <c r="E475" t="s">
        <v>3657</v>
      </c>
      <c r="F475" t="s">
        <v>193</v>
      </c>
      <c r="G475" t="s">
        <v>193</v>
      </c>
      <c r="H475" t="s">
        <v>3662</v>
      </c>
      <c r="I475" t="s">
        <v>3663</v>
      </c>
      <c r="J475">
        <v>40211340</v>
      </c>
    </row>
    <row r="476" spans="1:10">
      <c r="A476" t="s">
        <v>110</v>
      </c>
      <c r="B476">
        <v>1</v>
      </c>
      <c r="D476" t="s">
        <v>3656</v>
      </c>
      <c r="E476" t="s">
        <v>3657</v>
      </c>
      <c r="F476" t="s">
        <v>193</v>
      </c>
      <c r="G476" t="s">
        <v>193</v>
      </c>
      <c r="H476" t="s">
        <v>3664</v>
      </c>
      <c r="I476" t="s">
        <v>3665</v>
      </c>
      <c r="J476">
        <v>40211340</v>
      </c>
    </row>
    <row r="477" spans="1:10">
      <c r="A477" t="s">
        <v>110</v>
      </c>
      <c r="B477">
        <v>1</v>
      </c>
      <c r="D477" t="s">
        <v>3656</v>
      </c>
      <c r="E477" t="s">
        <v>3657</v>
      </c>
      <c r="F477" t="s">
        <v>3666</v>
      </c>
      <c r="G477" t="s">
        <v>193</v>
      </c>
      <c r="H477" t="s">
        <v>3667</v>
      </c>
      <c r="I477" t="s">
        <v>3668</v>
      </c>
      <c r="J477">
        <v>40211340</v>
      </c>
    </row>
    <row r="478" spans="1:10">
      <c r="A478" t="s">
        <v>110</v>
      </c>
      <c r="B478">
        <v>1</v>
      </c>
      <c r="D478" t="s">
        <v>3656</v>
      </c>
      <c r="E478" t="s">
        <v>3657</v>
      </c>
      <c r="F478" t="s">
        <v>3666</v>
      </c>
      <c r="G478" t="s">
        <v>193</v>
      </c>
      <c r="H478" t="s">
        <v>3669</v>
      </c>
      <c r="I478" t="s">
        <v>3670</v>
      </c>
      <c r="J478">
        <v>40211340</v>
      </c>
    </row>
    <row r="479" spans="1:10">
      <c r="A479" t="s">
        <v>110</v>
      </c>
      <c r="B479">
        <v>1</v>
      </c>
      <c r="D479" t="s">
        <v>3656</v>
      </c>
      <c r="E479" t="s">
        <v>3657</v>
      </c>
      <c r="F479" t="s">
        <v>193</v>
      </c>
      <c r="G479" t="s">
        <v>193</v>
      </c>
      <c r="H479" t="s">
        <v>3671</v>
      </c>
      <c r="I479" t="s">
        <v>3672</v>
      </c>
      <c r="J479">
        <v>40211340</v>
      </c>
    </row>
    <row r="480" spans="1:10">
      <c r="A480" t="s">
        <v>110</v>
      </c>
      <c r="B480">
        <v>0</v>
      </c>
      <c r="E480" t="s">
        <v>3655</v>
      </c>
      <c r="I480" t="s">
        <v>3673</v>
      </c>
      <c r="J480">
        <v>40211340</v>
      </c>
    </row>
    <row r="481" spans="1:10">
      <c r="A481" t="s">
        <v>110</v>
      </c>
      <c r="B481">
        <v>1</v>
      </c>
      <c r="D481" t="s">
        <v>3673</v>
      </c>
      <c r="E481" t="s">
        <v>3674</v>
      </c>
      <c r="F481" t="s">
        <v>3675</v>
      </c>
      <c r="G481" t="s">
        <v>193</v>
      </c>
      <c r="H481" t="s">
        <v>3676</v>
      </c>
      <c r="I481" t="s">
        <v>3677</v>
      </c>
      <c r="J481">
        <v>40211340</v>
      </c>
    </row>
    <row r="482" spans="1:10">
      <c r="A482" t="s">
        <v>112</v>
      </c>
      <c r="B482">
        <v>0</v>
      </c>
      <c r="E482" t="s">
        <v>3655</v>
      </c>
      <c r="I482" t="s">
        <v>3656</v>
      </c>
      <c r="J482">
        <v>40349454</v>
      </c>
    </row>
    <row r="483" spans="1:10">
      <c r="A483" t="s">
        <v>112</v>
      </c>
      <c r="B483">
        <v>1</v>
      </c>
      <c r="D483" t="s">
        <v>3656</v>
      </c>
      <c r="E483" t="s">
        <v>3657</v>
      </c>
      <c r="F483" t="s">
        <v>193</v>
      </c>
      <c r="G483" t="s">
        <v>193</v>
      </c>
      <c r="H483" t="s">
        <v>3658</v>
      </c>
      <c r="I483" t="s">
        <v>3659</v>
      </c>
      <c r="J483">
        <v>40349454</v>
      </c>
    </row>
    <row r="484" spans="1:10">
      <c r="A484" t="s">
        <v>112</v>
      </c>
      <c r="B484">
        <v>1</v>
      </c>
      <c r="D484" t="s">
        <v>3656</v>
      </c>
      <c r="E484" t="s">
        <v>3657</v>
      </c>
      <c r="F484" t="s">
        <v>193</v>
      </c>
      <c r="G484" t="s">
        <v>193</v>
      </c>
      <c r="H484" t="s">
        <v>3660</v>
      </c>
      <c r="I484" t="s">
        <v>3661</v>
      </c>
      <c r="J484">
        <v>40349454</v>
      </c>
    </row>
    <row r="485" spans="1:10">
      <c r="A485" t="s">
        <v>112</v>
      </c>
      <c r="B485">
        <v>1</v>
      </c>
      <c r="D485" t="s">
        <v>3656</v>
      </c>
      <c r="E485" t="s">
        <v>3657</v>
      </c>
      <c r="F485" t="s">
        <v>193</v>
      </c>
      <c r="G485" t="s">
        <v>193</v>
      </c>
      <c r="H485" t="s">
        <v>3662</v>
      </c>
      <c r="I485" t="s">
        <v>3663</v>
      </c>
      <c r="J485">
        <v>40349454</v>
      </c>
    </row>
    <row r="486" spans="1:10">
      <c r="A486" t="s">
        <v>112</v>
      </c>
      <c r="B486">
        <v>1</v>
      </c>
      <c r="D486" t="s">
        <v>3656</v>
      </c>
      <c r="E486" t="s">
        <v>3657</v>
      </c>
      <c r="F486" t="s">
        <v>193</v>
      </c>
      <c r="G486" t="s">
        <v>193</v>
      </c>
      <c r="H486" t="s">
        <v>3664</v>
      </c>
      <c r="I486" t="s">
        <v>3665</v>
      </c>
      <c r="J486">
        <v>40349454</v>
      </c>
    </row>
    <row r="487" spans="1:10">
      <c r="A487" t="s">
        <v>112</v>
      </c>
      <c r="B487">
        <v>1</v>
      </c>
      <c r="D487" t="s">
        <v>3656</v>
      </c>
      <c r="E487" t="s">
        <v>3657</v>
      </c>
      <c r="F487" t="s">
        <v>3666</v>
      </c>
      <c r="G487" t="s">
        <v>193</v>
      </c>
      <c r="H487" t="s">
        <v>3667</v>
      </c>
      <c r="I487" t="s">
        <v>3668</v>
      </c>
      <c r="J487">
        <v>40349454</v>
      </c>
    </row>
    <row r="488" spans="1:10">
      <c r="A488" t="s">
        <v>112</v>
      </c>
      <c r="B488">
        <v>1</v>
      </c>
      <c r="D488" t="s">
        <v>3656</v>
      </c>
      <c r="E488" t="s">
        <v>3657</v>
      </c>
      <c r="F488" t="s">
        <v>3666</v>
      </c>
      <c r="G488" t="s">
        <v>193</v>
      </c>
      <c r="H488" t="s">
        <v>3669</v>
      </c>
      <c r="I488" t="s">
        <v>3670</v>
      </c>
      <c r="J488">
        <v>40349454</v>
      </c>
    </row>
    <row r="489" spans="1:10">
      <c r="A489" t="s">
        <v>112</v>
      </c>
      <c r="B489">
        <v>1</v>
      </c>
      <c r="D489" t="s">
        <v>3656</v>
      </c>
      <c r="E489" t="s">
        <v>3657</v>
      </c>
      <c r="F489" t="s">
        <v>193</v>
      </c>
      <c r="G489" t="s">
        <v>193</v>
      </c>
      <c r="H489" t="s">
        <v>3671</v>
      </c>
      <c r="I489" t="s">
        <v>3672</v>
      </c>
      <c r="J489">
        <v>40349454</v>
      </c>
    </row>
    <row r="490" spans="1:10">
      <c r="A490" t="s">
        <v>112</v>
      </c>
      <c r="B490">
        <v>0</v>
      </c>
      <c r="E490" t="s">
        <v>3655</v>
      </c>
      <c r="I490" t="s">
        <v>3673</v>
      </c>
      <c r="J490">
        <v>40349454</v>
      </c>
    </row>
    <row r="491" spans="1:10">
      <c r="A491" t="s">
        <v>112</v>
      </c>
      <c r="B491">
        <v>1</v>
      </c>
      <c r="D491" t="s">
        <v>3673</v>
      </c>
      <c r="E491" t="s">
        <v>3674</v>
      </c>
      <c r="F491" t="s">
        <v>3675</v>
      </c>
      <c r="G491" t="s">
        <v>193</v>
      </c>
      <c r="H491" t="s">
        <v>3676</v>
      </c>
      <c r="I491" t="s">
        <v>3677</v>
      </c>
      <c r="J491">
        <v>40349454</v>
      </c>
    </row>
    <row r="492" spans="1:10">
      <c r="A492" t="s">
        <v>117</v>
      </c>
      <c r="B492">
        <v>0</v>
      </c>
      <c r="E492" t="s">
        <v>3655</v>
      </c>
      <c r="I492" t="s">
        <v>3656</v>
      </c>
      <c r="J492">
        <v>40941213</v>
      </c>
    </row>
    <row r="493" spans="1:10">
      <c r="A493" t="s">
        <v>117</v>
      </c>
      <c r="B493">
        <v>1</v>
      </c>
      <c r="D493" t="s">
        <v>3656</v>
      </c>
      <c r="E493" t="s">
        <v>3657</v>
      </c>
      <c r="F493" t="s">
        <v>193</v>
      </c>
      <c r="G493" t="s">
        <v>193</v>
      </c>
      <c r="H493" t="s">
        <v>3658</v>
      </c>
      <c r="I493" t="s">
        <v>3659</v>
      </c>
      <c r="J493">
        <v>40941213</v>
      </c>
    </row>
    <row r="494" spans="1:10">
      <c r="A494" t="s">
        <v>117</v>
      </c>
      <c r="B494">
        <v>1</v>
      </c>
      <c r="D494" t="s">
        <v>3656</v>
      </c>
      <c r="E494" t="s">
        <v>3657</v>
      </c>
      <c r="F494" t="s">
        <v>193</v>
      </c>
      <c r="G494" t="s">
        <v>193</v>
      </c>
      <c r="H494" t="s">
        <v>3660</v>
      </c>
      <c r="I494" t="s">
        <v>3661</v>
      </c>
      <c r="J494">
        <v>40941213</v>
      </c>
    </row>
    <row r="495" spans="1:10">
      <c r="A495" t="s">
        <v>117</v>
      </c>
      <c r="B495">
        <v>1</v>
      </c>
      <c r="D495" t="s">
        <v>3656</v>
      </c>
      <c r="E495" t="s">
        <v>3657</v>
      </c>
      <c r="F495" t="s">
        <v>193</v>
      </c>
      <c r="G495" t="s">
        <v>193</v>
      </c>
      <c r="H495" t="s">
        <v>3662</v>
      </c>
      <c r="I495" t="s">
        <v>3663</v>
      </c>
      <c r="J495">
        <v>40941213</v>
      </c>
    </row>
    <row r="496" spans="1:10">
      <c r="A496" t="s">
        <v>117</v>
      </c>
      <c r="B496">
        <v>1</v>
      </c>
      <c r="D496" t="s">
        <v>3656</v>
      </c>
      <c r="E496" t="s">
        <v>3657</v>
      </c>
      <c r="F496" t="s">
        <v>193</v>
      </c>
      <c r="G496" t="s">
        <v>193</v>
      </c>
      <c r="H496" t="s">
        <v>3664</v>
      </c>
      <c r="I496" t="s">
        <v>3665</v>
      </c>
      <c r="J496">
        <v>40941213</v>
      </c>
    </row>
    <row r="497" spans="1:10">
      <c r="A497" t="s">
        <v>117</v>
      </c>
      <c r="B497">
        <v>1</v>
      </c>
      <c r="D497" t="s">
        <v>3656</v>
      </c>
      <c r="E497" t="s">
        <v>3657</v>
      </c>
      <c r="F497" t="s">
        <v>3666</v>
      </c>
      <c r="G497" t="s">
        <v>193</v>
      </c>
      <c r="H497" t="s">
        <v>3667</v>
      </c>
      <c r="I497" t="s">
        <v>3668</v>
      </c>
      <c r="J497">
        <v>40941213</v>
      </c>
    </row>
    <row r="498" spans="1:10">
      <c r="A498" t="s">
        <v>117</v>
      </c>
      <c r="B498">
        <v>1</v>
      </c>
      <c r="D498" t="s">
        <v>3656</v>
      </c>
      <c r="E498" t="s">
        <v>3657</v>
      </c>
      <c r="F498" t="s">
        <v>3666</v>
      </c>
      <c r="G498" t="s">
        <v>193</v>
      </c>
      <c r="H498" t="s">
        <v>3669</v>
      </c>
      <c r="I498" t="s">
        <v>3670</v>
      </c>
      <c r="J498">
        <v>40941213</v>
      </c>
    </row>
    <row r="499" spans="1:10">
      <c r="A499" t="s">
        <v>117</v>
      </c>
      <c r="B499">
        <v>1</v>
      </c>
      <c r="D499" t="s">
        <v>3656</v>
      </c>
      <c r="E499" t="s">
        <v>3657</v>
      </c>
      <c r="F499" t="s">
        <v>193</v>
      </c>
      <c r="G499" t="s">
        <v>193</v>
      </c>
      <c r="H499" t="s">
        <v>3671</v>
      </c>
      <c r="I499" t="s">
        <v>3672</v>
      </c>
      <c r="J499">
        <v>40941213</v>
      </c>
    </row>
    <row r="500" spans="1:10">
      <c r="A500" t="s">
        <v>117</v>
      </c>
      <c r="B500">
        <v>0</v>
      </c>
      <c r="E500" t="s">
        <v>3655</v>
      </c>
      <c r="I500" t="s">
        <v>3673</v>
      </c>
      <c r="J500">
        <v>40941213</v>
      </c>
    </row>
    <row r="501" spans="1:10">
      <c r="A501" t="s">
        <v>117</v>
      </c>
      <c r="B501">
        <v>1</v>
      </c>
      <c r="D501" t="s">
        <v>3673</v>
      </c>
      <c r="E501" t="s">
        <v>3674</v>
      </c>
      <c r="F501" t="s">
        <v>3675</v>
      </c>
      <c r="G501" t="s">
        <v>193</v>
      </c>
      <c r="H501" t="s">
        <v>3676</v>
      </c>
      <c r="I501" t="s">
        <v>3677</v>
      </c>
      <c r="J501">
        <v>40941213</v>
      </c>
    </row>
    <row r="502" spans="1:10">
      <c r="A502" t="s">
        <v>119</v>
      </c>
      <c r="B502">
        <v>0</v>
      </c>
      <c r="E502" t="s">
        <v>3655</v>
      </c>
      <c r="I502" t="s">
        <v>3656</v>
      </c>
      <c r="J502">
        <v>40943677</v>
      </c>
    </row>
    <row r="503" spans="1:10">
      <c r="A503" t="s">
        <v>119</v>
      </c>
      <c r="B503">
        <v>1</v>
      </c>
      <c r="D503" t="s">
        <v>3656</v>
      </c>
      <c r="E503" t="s">
        <v>3657</v>
      </c>
      <c r="F503" t="s">
        <v>193</v>
      </c>
      <c r="G503" t="s">
        <v>193</v>
      </c>
      <c r="H503" t="s">
        <v>3658</v>
      </c>
      <c r="I503" t="s">
        <v>3659</v>
      </c>
      <c r="J503">
        <v>40943677</v>
      </c>
    </row>
    <row r="504" spans="1:10">
      <c r="A504" t="s">
        <v>119</v>
      </c>
      <c r="B504">
        <v>1</v>
      </c>
      <c r="D504" t="s">
        <v>3656</v>
      </c>
      <c r="E504" t="s">
        <v>3657</v>
      </c>
      <c r="F504" t="s">
        <v>193</v>
      </c>
      <c r="G504" t="s">
        <v>193</v>
      </c>
      <c r="H504" t="s">
        <v>3660</v>
      </c>
      <c r="I504" t="s">
        <v>3661</v>
      </c>
      <c r="J504">
        <v>40943677</v>
      </c>
    </row>
    <row r="505" spans="1:10">
      <c r="A505" t="s">
        <v>119</v>
      </c>
      <c r="B505">
        <v>1</v>
      </c>
      <c r="D505" t="s">
        <v>3656</v>
      </c>
      <c r="E505" t="s">
        <v>3657</v>
      </c>
      <c r="F505" t="s">
        <v>193</v>
      </c>
      <c r="G505" t="s">
        <v>193</v>
      </c>
      <c r="H505" t="s">
        <v>3662</v>
      </c>
      <c r="I505" t="s">
        <v>3663</v>
      </c>
      <c r="J505">
        <v>40943677</v>
      </c>
    </row>
    <row r="506" spans="1:10">
      <c r="A506" t="s">
        <v>119</v>
      </c>
      <c r="B506">
        <v>1</v>
      </c>
      <c r="D506" t="s">
        <v>3656</v>
      </c>
      <c r="E506" t="s">
        <v>3657</v>
      </c>
      <c r="F506" t="s">
        <v>193</v>
      </c>
      <c r="G506" t="s">
        <v>193</v>
      </c>
      <c r="H506" t="s">
        <v>3664</v>
      </c>
      <c r="I506" t="s">
        <v>3665</v>
      </c>
      <c r="J506">
        <v>40943677</v>
      </c>
    </row>
    <row r="507" spans="1:10">
      <c r="A507" t="s">
        <v>119</v>
      </c>
      <c r="B507">
        <v>1</v>
      </c>
      <c r="D507" t="s">
        <v>3656</v>
      </c>
      <c r="E507" t="s">
        <v>3657</v>
      </c>
      <c r="F507" t="s">
        <v>3666</v>
      </c>
      <c r="G507" t="s">
        <v>193</v>
      </c>
      <c r="H507" t="s">
        <v>3667</v>
      </c>
      <c r="I507" t="s">
        <v>3668</v>
      </c>
      <c r="J507">
        <v>40943677</v>
      </c>
    </row>
    <row r="508" spans="1:10">
      <c r="A508" t="s">
        <v>119</v>
      </c>
      <c r="B508">
        <v>1</v>
      </c>
      <c r="D508" t="s">
        <v>3656</v>
      </c>
      <c r="E508" t="s">
        <v>3657</v>
      </c>
      <c r="F508" t="s">
        <v>3666</v>
      </c>
      <c r="G508" t="s">
        <v>193</v>
      </c>
      <c r="H508" t="s">
        <v>3669</v>
      </c>
      <c r="I508" t="s">
        <v>3670</v>
      </c>
      <c r="J508">
        <v>40943677</v>
      </c>
    </row>
    <row r="509" spans="1:10">
      <c r="A509" t="s">
        <v>119</v>
      </c>
      <c r="B509">
        <v>1</v>
      </c>
      <c r="D509" t="s">
        <v>3656</v>
      </c>
      <c r="E509" t="s">
        <v>3657</v>
      </c>
      <c r="F509" t="s">
        <v>193</v>
      </c>
      <c r="G509" t="s">
        <v>193</v>
      </c>
      <c r="H509" t="s">
        <v>3671</v>
      </c>
      <c r="I509" t="s">
        <v>3672</v>
      </c>
      <c r="J509">
        <v>40943677</v>
      </c>
    </row>
    <row r="510" spans="1:10">
      <c r="A510" t="s">
        <v>119</v>
      </c>
      <c r="B510">
        <v>0</v>
      </c>
      <c r="E510" t="s">
        <v>3655</v>
      </c>
      <c r="I510" t="s">
        <v>3673</v>
      </c>
      <c r="J510">
        <v>40943677</v>
      </c>
    </row>
    <row r="511" spans="1:10">
      <c r="A511" t="s">
        <v>119</v>
      </c>
      <c r="B511">
        <v>1</v>
      </c>
      <c r="D511" t="s">
        <v>3673</v>
      </c>
      <c r="E511" t="s">
        <v>3674</v>
      </c>
      <c r="F511" t="s">
        <v>3675</v>
      </c>
      <c r="G511" t="s">
        <v>193</v>
      </c>
      <c r="H511" t="s">
        <v>3676</v>
      </c>
      <c r="I511" t="s">
        <v>3677</v>
      </c>
      <c r="J511">
        <v>40943677</v>
      </c>
    </row>
    <row r="512" spans="1:10">
      <c r="A512" t="s">
        <v>121</v>
      </c>
      <c r="B512">
        <v>0</v>
      </c>
      <c r="E512" t="s">
        <v>3655</v>
      </c>
      <c r="I512" t="s">
        <v>3656</v>
      </c>
      <c r="J512">
        <v>40951140</v>
      </c>
    </row>
    <row r="513" spans="1:10">
      <c r="A513" t="s">
        <v>121</v>
      </c>
      <c r="B513">
        <v>1</v>
      </c>
      <c r="D513" t="s">
        <v>3656</v>
      </c>
      <c r="E513" t="s">
        <v>3657</v>
      </c>
      <c r="F513" t="s">
        <v>193</v>
      </c>
      <c r="G513" t="s">
        <v>193</v>
      </c>
      <c r="H513" t="s">
        <v>3658</v>
      </c>
      <c r="I513" t="s">
        <v>3659</v>
      </c>
      <c r="J513">
        <v>40951140</v>
      </c>
    </row>
    <row r="514" spans="1:10">
      <c r="A514" t="s">
        <v>121</v>
      </c>
      <c r="B514">
        <v>1</v>
      </c>
      <c r="D514" t="s">
        <v>3656</v>
      </c>
      <c r="E514" t="s">
        <v>3657</v>
      </c>
      <c r="F514" t="s">
        <v>193</v>
      </c>
      <c r="G514" t="s">
        <v>193</v>
      </c>
      <c r="H514" t="s">
        <v>3660</v>
      </c>
      <c r="I514" t="s">
        <v>3661</v>
      </c>
      <c r="J514">
        <v>40951140</v>
      </c>
    </row>
    <row r="515" spans="1:10">
      <c r="A515" t="s">
        <v>121</v>
      </c>
      <c r="B515">
        <v>1</v>
      </c>
      <c r="D515" t="s">
        <v>3656</v>
      </c>
      <c r="E515" t="s">
        <v>3657</v>
      </c>
      <c r="F515" t="s">
        <v>193</v>
      </c>
      <c r="G515" t="s">
        <v>193</v>
      </c>
      <c r="H515" t="s">
        <v>3662</v>
      </c>
      <c r="I515" t="s">
        <v>3663</v>
      </c>
      <c r="J515">
        <v>40951140</v>
      </c>
    </row>
    <row r="516" spans="1:10">
      <c r="A516" t="s">
        <v>121</v>
      </c>
      <c r="B516">
        <v>1</v>
      </c>
      <c r="D516" t="s">
        <v>3656</v>
      </c>
      <c r="E516" t="s">
        <v>3657</v>
      </c>
      <c r="F516" t="s">
        <v>193</v>
      </c>
      <c r="G516" t="s">
        <v>193</v>
      </c>
      <c r="H516" t="s">
        <v>3664</v>
      </c>
      <c r="I516" t="s">
        <v>3665</v>
      </c>
      <c r="J516">
        <v>40951140</v>
      </c>
    </row>
    <row r="517" spans="1:10">
      <c r="A517" t="s">
        <v>121</v>
      </c>
      <c r="B517">
        <v>1</v>
      </c>
      <c r="D517" t="s">
        <v>3656</v>
      </c>
      <c r="E517" t="s">
        <v>3657</v>
      </c>
      <c r="F517" t="s">
        <v>3666</v>
      </c>
      <c r="G517" t="s">
        <v>193</v>
      </c>
      <c r="H517" t="s">
        <v>3667</v>
      </c>
      <c r="I517" t="s">
        <v>3668</v>
      </c>
      <c r="J517">
        <v>40951140</v>
      </c>
    </row>
    <row r="518" spans="1:10">
      <c r="A518" t="s">
        <v>121</v>
      </c>
      <c r="B518">
        <v>1</v>
      </c>
      <c r="D518" t="s">
        <v>3656</v>
      </c>
      <c r="E518" t="s">
        <v>3657</v>
      </c>
      <c r="F518" t="s">
        <v>3666</v>
      </c>
      <c r="G518" t="s">
        <v>193</v>
      </c>
      <c r="H518" t="s">
        <v>3669</v>
      </c>
      <c r="I518" t="s">
        <v>3670</v>
      </c>
      <c r="J518">
        <v>40951140</v>
      </c>
    </row>
    <row r="519" spans="1:10">
      <c r="A519" t="s">
        <v>121</v>
      </c>
      <c r="B519">
        <v>1</v>
      </c>
      <c r="D519" t="s">
        <v>3656</v>
      </c>
      <c r="E519" t="s">
        <v>3657</v>
      </c>
      <c r="F519" t="s">
        <v>193</v>
      </c>
      <c r="G519" t="s">
        <v>193</v>
      </c>
      <c r="H519" t="s">
        <v>3671</v>
      </c>
      <c r="I519" t="s">
        <v>3672</v>
      </c>
      <c r="J519">
        <v>40951140</v>
      </c>
    </row>
    <row r="520" spans="1:10">
      <c r="A520" t="s">
        <v>121</v>
      </c>
      <c r="B520">
        <v>0</v>
      </c>
      <c r="E520" t="s">
        <v>3655</v>
      </c>
      <c r="I520" t="s">
        <v>3673</v>
      </c>
      <c r="J520">
        <v>40951140</v>
      </c>
    </row>
    <row r="521" spans="1:10">
      <c r="A521" t="s">
        <v>121</v>
      </c>
      <c r="B521">
        <v>1</v>
      </c>
      <c r="D521" t="s">
        <v>3673</v>
      </c>
      <c r="E521" t="s">
        <v>3674</v>
      </c>
      <c r="F521" t="s">
        <v>3675</v>
      </c>
      <c r="G521" t="s">
        <v>193</v>
      </c>
      <c r="H521" t="s">
        <v>3676</v>
      </c>
      <c r="I521" t="s">
        <v>3677</v>
      </c>
      <c r="J521">
        <v>40951140</v>
      </c>
    </row>
    <row r="522" spans="1:10">
      <c r="A522" t="s">
        <v>123</v>
      </c>
      <c r="B522">
        <v>0</v>
      </c>
      <c r="E522" t="s">
        <v>3655</v>
      </c>
      <c r="I522" t="s">
        <v>3656</v>
      </c>
      <c r="J522">
        <v>41289569</v>
      </c>
    </row>
    <row r="523" spans="1:10">
      <c r="A523" t="s">
        <v>123</v>
      </c>
      <c r="B523">
        <v>1</v>
      </c>
      <c r="D523" t="s">
        <v>3656</v>
      </c>
      <c r="E523" t="s">
        <v>3657</v>
      </c>
      <c r="F523" t="s">
        <v>193</v>
      </c>
      <c r="G523" t="s">
        <v>193</v>
      </c>
      <c r="H523" t="s">
        <v>3658</v>
      </c>
      <c r="I523" t="s">
        <v>3659</v>
      </c>
      <c r="J523">
        <v>41289569</v>
      </c>
    </row>
    <row r="524" spans="1:10">
      <c r="A524" t="s">
        <v>123</v>
      </c>
      <c r="B524">
        <v>1</v>
      </c>
      <c r="D524" t="s">
        <v>3656</v>
      </c>
      <c r="E524" t="s">
        <v>3657</v>
      </c>
      <c r="F524" t="s">
        <v>193</v>
      </c>
      <c r="G524" t="s">
        <v>193</v>
      </c>
      <c r="H524" t="s">
        <v>3660</v>
      </c>
      <c r="I524" t="s">
        <v>3661</v>
      </c>
      <c r="J524">
        <v>41289569</v>
      </c>
    </row>
    <row r="525" spans="1:10">
      <c r="A525" t="s">
        <v>123</v>
      </c>
      <c r="B525">
        <v>1</v>
      </c>
      <c r="D525" t="s">
        <v>3656</v>
      </c>
      <c r="E525" t="s">
        <v>3657</v>
      </c>
      <c r="F525" t="s">
        <v>193</v>
      </c>
      <c r="G525" t="s">
        <v>193</v>
      </c>
      <c r="H525" t="s">
        <v>3662</v>
      </c>
      <c r="I525" t="s">
        <v>3663</v>
      </c>
      <c r="J525">
        <v>41289569</v>
      </c>
    </row>
    <row r="526" spans="1:10">
      <c r="A526" t="s">
        <v>123</v>
      </c>
      <c r="B526">
        <v>1</v>
      </c>
      <c r="D526" t="s">
        <v>3656</v>
      </c>
      <c r="E526" t="s">
        <v>3657</v>
      </c>
      <c r="F526" t="s">
        <v>193</v>
      </c>
      <c r="G526" t="s">
        <v>193</v>
      </c>
      <c r="H526" t="s">
        <v>3664</v>
      </c>
      <c r="I526" t="s">
        <v>3665</v>
      </c>
      <c r="J526">
        <v>41289569</v>
      </c>
    </row>
    <row r="527" spans="1:10">
      <c r="A527" t="s">
        <v>123</v>
      </c>
      <c r="B527">
        <v>1</v>
      </c>
      <c r="D527" t="s">
        <v>3656</v>
      </c>
      <c r="E527" t="s">
        <v>3657</v>
      </c>
      <c r="F527" t="s">
        <v>3666</v>
      </c>
      <c r="G527" t="s">
        <v>193</v>
      </c>
      <c r="H527" t="s">
        <v>3667</v>
      </c>
      <c r="I527" t="s">
        <v>3668</v>
      </c>
      <c r="J527">
        <v>41289569</v>
      </c>
    </row>
    <row r="528" spans="1:10">
      <c r="A528" t="s">
        <v>123</v>
      </c>
      <c r="B528">
        <v>1</v>
      </c>
      <c r="D528" t="s">
        <v>3656</v>
      </c>
      <c r="E528" t="s">
        <v>3657</v>
      </c>
      <c r="F528" t="s">
        <v>3666</v>
      </c>
      <c r="G528" t="s">
        <v>193</v>
      </c>
      <c r="H528" t="s">
        <v>3669</v>
      </c>
      <c r="I528" t="s">
        <v>3670</v>
      </c>
      <c r="J528">
        <v>41289569</v>
      </c>
    </row>
    <row r="529" spans="1:10">
      <c r="A529" t="s">
        <v>123</v>
      </c>
      <c r="B529">
        <v>1</v>
      </c>
      <c r="D529" t="s">
        <v>3656</v>
      </c>
      <c r="E529" t="s">
        <v>3657</v>
      </c>
      <c r="F529" t="s">
        <v>193</v>
      </c>
      <c r="G529" t="s">
        <v>193</v>
      </c>
      <c r="H529" t="s">
        <v>3671</v>
      </c>
      <c r="I529" t="s">
        <v>3672</v>
      </c>
      <c r="J529">
        <v>41289569</v>
      </c>
    </row>
    <row r="530" spans="1:10">
      <c r="A530" t="s">
        <v>123</v>
      </c>
      <c r="B530">
        <v>0</v>
      </c>
      <c r="E530" t="s">
        <v>3655</v>
      </c>
      <c r="I530" t="s">
        <v>3673</v>
      </c>
      <c r="J530">
        <v>41289569</v>
      </c>
    </row>
    <row r="531" spans="1:10">
      <c r="A531" t="s">
        <v>123</v>
      </c>
      <c r="B531">
        <v>1</v>
      </c>
      <c r="D531" t="s">
        <v>3673</v>
      </c>
      <c r="E531" t="s">
        <v>3674</v>
      </c>
      <c r="F531" t="s">
        <v>3675</v>
      </c>
      <c r="G531" t="s">
        <v>193</v>
      </c>
      <c r="H531" t="s">
        <v>3676</v>
      </c>
      <c r="I531" t="s">
        <v>3677</v>
      </c>
      <c r="J531">
        <v>41289569</v>
      </c>
    </row>
    <row r="532" spans="1:10">
      <c r="A532" t="s">
        <v>129</v>
      </c>
      <c r="B532">
        <v>0</v>
      </c>
      <c r="E532" t="s">
        <v>3655</v>
      </c>
      <c r="I532" t="s">
        <v>3656</v>
      </c>
      <c r="J532">
        <v>41285870</v>
      </c>
    </row>
    <row r="533" spans="1:10">
      <c r="A533" t="s">
        <v>129</v>
      </c>
      <c r="B533">
        <v>1</v>
      </c>
      <c r="D533" t="s">
        <v>3656</v>
      </c>
      <c r="E533" t="s">
        <v>3657</v>
      </c>
      <c r="F533" t="s">
        <v>193</v>
      </c>
      <c r="G533" t="s">
        <v>193</v>
      </c>
      <c r="H533" t="s">
        <v>3658</v>
      </c>
      <c r="I533" t="s">
        <v>3659</v>
      </c>
      <c r="J533">
        <v>41285870</v>
      </c>
    </row>
    <row r="534" spans="1:10">
      <c r="A534" t="s">
        <v>129</v>
      </c>
      <c r="B534">
        <v>1</v>
      </c>
      <c r="D534" t="s">
        <v>3656</v>
      </c>
      <c r="E534" t="s">
        <v>3657</v>
      </c>
      <c r="F534" t="s">
        <v>193</v>
      </c>
      <c r="G534" t="s">
        <v>193</v>
      </c>
      <c r="H534" t="s">
        <v>3660</v>
      </c>
      <c r="I534" t="s">
        <v>3661</v>
      </c>
      <c r="J534">
        <v>41285870</v>
      </c>
    </row>
    <row r="535" spans="1:10">
      <c r="A535" t="s">
        <v>129</v>
      </c>
      <c r="B535">
        <v>1</v>
      </c>
      <c r="D535" t="s">
        <v>3656</v>
      </c>
      <c r="E535" t="s">
        <v>3657</v>
      </c>
      <c r="F535" t="s">
        <v>193</v>
      </c>
      <c r="G535" t="s">
        <v>193</v>
      </c>
      <c r="H535" t="s">
        <v>3662</v>
      </c>
      <c r="I535" t="s">
        <v>3663</v>
      </c>
      <c r="J535">
        <v>41285870</v>
      </c>
    </row>
    <row r="536" spans="1:10">
      <c r="A536" t="s">
        <v>129</v>
      </c>
      <c r="B536">
        <v>1</v>
      </c>
      <c r="D536" t="s">
        <v>3656</v>
      </c>
      <c r="E536" t="s">
        <v>3657</v>
      </c>
      <c r="F536" t="s">
        <v>193</v>
      </c>
      <c r="G536" t="s">
        <v>193</v>
      </c>
      <c r="H536" t="s">
        <v>3664</v>
      </c>
      <c r="I536" t="s">
        <v>3665</v>
      </c>
      <c r="J536">
        <v>41285870</v>
      </c>
    </row>
    <row r="537" spans="1:10">
      <c r="A537" t="s">
        <v>129</v>
      </c>
      <c r="B537">
        <v>1</v>
      </c>
      <c r="D537" t="s">
        <v>3656</v>
      </c>
      <c r="E537" t="s">
        <v>3657</v>
      </c>
      <c r="F537" t="s">
        <v>3666</v>
      </c>
      <c r="G537" t="s">
        <v>193</v>
      </c>
      <c r="H537" t="s">
        <v>3667</v>
      </c>
      <c r="I537" t="s">
        <v>3668</v>
      </c>
      <c r="J537">
        <v>41285870</v>
      </c>
    </row>
    <row r="538" spans="1:10">
      <c r="A538" t="s">
        <v>129</v>
      </c>
      <c r="B538">
        <v>1</v>
      </c>
      <c r="D538" t="s">
        <v>3656</v>
      </c>
      <c r="E538" t="s">
        <v>3657</v>
      </c>
      <c r="F538" t="s">
        <v>3666</v>
      </c>
      <c r="G538" t="s">
        <v>193</v>
      </c>
      <c r="H538" t="s">
        <v>3669</v>
      </c>
      <c r="I538" t="s">
        <v>3670</v>
      </c>
      <c r="J538">
        <v>41285870</v>
      </c>
    </row>
    <row r="539" spans="1:10">
      <c r="A539" t="s">
        <v>129</v>
      </c>
      <c r="B539">
        <v>1</v>
      </c>
      <c r="D539" t="s">
        <v>3656</v>
      </c>
      <c r="E539" t="s">
        <v>3657</v>
      </c>
      <c r="F539" t="s">
        <v>193</v>
      </c>
      <c r="G539" t="s">
        <v>193</v>
      </c>
      <c r="H539" t="s">
        <v>3671</v>
      </c>
      <c r="I539" t="s">
        <v>3672</v>
      </c>
      <c r="J539">
        <v>41285870</v>
      </c>
    </row>
    <row r="540" spans="1:10">
      <c r="A540" t="s">
        <v>129</v>
      </c>
      <c r="B540">
        <v>0</v>
      </c>
      <c r="E540" t="s">
        <v>3655</v>
      </c>
      <c r="I540" t="s">
        <v>3673</v>
      </c>
      <c r="J540">
        <v>41285870</v>
      </c>
    </row>
    <row r="541" spans="1:10">
      <c r="A541" t="s">
        <v>129</v>
      </c>
      <c r="B541">
        <v>1</v>
      </c>
      <c r="D541" t="s">
        <v>3673</v>
      </c>
      <c r="E541" t="s">
        <v>3674</v>
      </c>
      <c r="F541" t="s">
        <v>3675</v>
      </c>
      <c r="G541" t="s">
        <v>193</v>
      </c>
      <c r="H541" t="s">
        <v>3676</v>
      </c>
      <c r="I541" t="s">
        <v>3677</v>
      </c>
      <c r="J541">
        <v>41285870</v>
      </c>
    </row>
    <row r="542" spans="1:10">
      <c r="A542" t="s">
        <v>131</v>
      </c>
      <c r="B542">
        <v>0</v>
      </c>
      <c r="E542" t="s">
        <v>3655</v>
      </c>
      <c r="I542" t="s">
        <v>3656</v>
      </c>
      <c r="J542">
        <v>41279771</v>
      </c>
    </row>
    <row r="543" spans="1:10">
      <c r="A543" t="s">
        <v>131</v>
      </c>
      <c r="B543">
        <v>1</v>
      </c>
      <c r="D543" t="s">
        <v>3656</v>
      </c>
      <c r="E543" t="s">
        <v>3657</v>
      </c>
      <c r="F543" t="s">
        <v>193</v>
      </c>
      <c r="G543" t="s">
        <v>193</v>
      </c>
      <c r="H543" t="s">
        <v>3658</v>
      </c>
      <c r="I543" t="s">
        <v>3659</v>
      </c>
      <c r="J543">
        <v>41279771</v>
      </c>
    </row>
    <row r="544" spans="1:10">
      <c r="A544" t="s">
        <v>131</v>
      </c>
      <c r="B544">
        <v>1</v>
      </c>
      <c r="D544" t="s">
        <v>3656</v>
      </c>
      <c r="E544" t="s">
        <v>3657</v>
      </c>
      <c r="F544" t="s">
        <v>193</v>
      </c>
      <c r="G544" t="s">
        <v>193</v>
      </c>
      <c r="H544" t="s">
        <v>3660</v>
      </c>
      <c r="I544" t="s">
        <v>3661</v>
      </c>
      <c r="J544">
        <v>41279771</v>
      </c>
    </row>
    <row r="545" spans="1:10">
      <c r="A545" t="s">
        <v>131</v>
      </c>
      <c r="B545">
        <v>1</v>
      </c>
      <c r="D545" t="s">
        <v>3656</v>
      </c>
      <c r="E545" t="s">
        <v>3657</v>
      </c>
      <c r="F545" t="s">
        <v>193</v>
      </c>
      <c r="G545" t="s">
        <v>193</v>
      </c>
      <c r="H545" t="s">
        <v>3662</v>
      </c>
      <c r="I545" t="s">
        <v>3663</v>
      </c>
      <c r="J545">
        <v>41279771</v>
      </c>
    </row>
    <row r="546" spans="1:10">
      <c r="A546" t="s">
        <v>131</v>
      </c>
      <c r="B546">
        <v>1</v>
      </c>
      <c r="D546" t="s">
        <v>3656</v>
      </c>
      <c r="E546" t="s">
        <v>3657</v>
      </c>
      <c r="F546" t="s">
        <v>193</v>
      </c>
      <c r="G546" t="s">
        <v>193</v>
      </c>
      <c r="H546" t="s">
        <v>3664</v>
      </c>
      <c r="I546" t="s">
        <v>3665</v>
      </c>
      <c r="J546">
        <v>41279771</v>
      </c>
    </row>
    <row r="547" spans="1:10">
      <c r="A547" t="s">
        <v>131</v>
      </c>
      <c r="B547">
        <v>1</v>
      </c>
      <c r="D547" t="s">
        <v>3656</v>
      </c>
      <c r="E547" t="s">
        <v>3657</v>
      </c>
      <c r="F547" t="s">
        <v>3666</v>
      </c>
      <c r="G547" t="s">
        <v>193</v>
      </c>
      <c r="H547" t="s">
        <v>3667</v>
      </c>
      <c r="I547" t="s">
        <v>3668</v>
      </c>
      <c r="J547">
        <v>41279771</v>
      </c>
    </row>
    <row r="548" spans="1:10">
      <c r="A548" t="s">
        <v>131</v>
      </c>
      <c r="B548">
        <v>1</v>
      </c>
      <c r="D548" t="s">
        <v>3656</v>
      </c>
      <c r="E548" t="s">
        <v>3657</v>
      </c>
      <c r="F548" t="s">
        <v>3666</v>
      </c>
      <c r="G548" t="s">
        <v>193</v>
      </c>
      <c r="H548" t="s">
        <v>3669</v>
      </c>
      <c r="I548" t="s">
        <v>3670</v>
      </c>
      <c r="J548">
        <v>41279771</v>
      </c>
    </row>
    <row r="549" spans="1:10">
      <c r="A549" t="s">
        <v>131</v>
      </c>
      <c r="B549">
        <v>1</v>
      </c>
      <c r="D549" t="s">
        <v>3656</v>
      </c>
      <c r="E549" t="s">
        <v>3657</v>
      </c>
      <c r="F549" t="s">
        <v>193</v>
      </c>
      <c r="G549" t="s">
        <v>193</v>
      </c>
      <c r="H549" t="s">
        <v>3671</v>
      </c>
      <c r="I549" t="s">
        <v>3672</v>
      </c>
      <c r="J549">
        <v>41279771</v>
      </c>
    </row>
    <row r="550" spans="1:10">
      <c r="A550" t="s">
        <v>131</v>
      </c>
      <c r="B550">
        <v>0</v>
      </c>
      <c r="E550" t="s">
        <v>3655</v>
      </c>
      <c r="I550" t="s">
        <v>3673</v>
      </c>
      <c r="J550">
        <v>41279771</v>
      </c>
    </row>
    <row r="551" spans="1:10">
      <c r="A551" t="s">
        <v>131</v>
      </c>
      <c r="B551">
        <v>1</v>
      </c>
      <c r="D551" t="s">
        <v>3673</v>
      </c>
      <c r="E551" t="s">
        <v>3674</v>
      </c>
      <c r="F551" t="s">
        <v>3675</v>
      </c>
      <c r="G551" t="s">
        <v>193</v>
      </c>
      <c r="H551" t="s">
        <v>3676</v>
      </c>
      <c r="I551" t="s">
        <v>3677</v>
      </c>
      <c r="J551">
        <v>41279771</v>
      </c>
    </row>
    <row r="552" spans="1:10">
      <c r="A552" t="s">
        <v>133</v>
      </c>
      <c r="B552">
        <v>0</v>
      </c>
      <c r="E552" t="s">
        <v>3655</v>
      </c>
      <c r="I552" t="s">
        <v>3656</v>
      </c>
      <c r="J552">
        <v>40500959</v>
      </c>
    </row>
    <row r="553" spans="1:10">
      <c r="A553" t="s">
        <v>133</v>
      </c>
      <c r="B553">
        <v>1</v>
      </c>
      <c r="D553" t="s">
        <v>3656</v>
      </c>
      <c r="E553" t="s">
        <v>3657</v>
      </c>
      <c r="F553" t="s">
        <v>193</v>
      </c>
      <c r="G553" t="s">
        <v>193</v>
      </c>
      <c r="H553" t="s">
        <v>3658</v>
      </c>
      <c r="I553" t="s">
        <v>3659</v>
      </c>
      <c r="J553">
        <v>40500959</v>
      </c>
    </row>
    <row r="554" spans="1:10">
      <c r="A554" t="s">
        <v>133</v>
      </c>
      <c r="B554">
        <v>1</v>
      </c>
      <c r="D554" t="s">
        <v>3656</v>
      </c>
      <c r="E554" t="s">
        <v>3657</v>
      </c>
      <c r="F554" t="s">
        <v>193</v>
      </c>
      <c r="G554" t="s">
        <v>193</v>
      </c>
      <c r="H554" t="s">
        <v>3660</v>
      </c>
      <c r="I554" t="s">
        <v>3661</v>
      </c>
      <c r="J554">
        <v>40500959</v>
      </c>
    </row>
    <row r="555" spans="1:10">
      <c r="A555" t="s">
        <v>133</v>
      </c>
      <c r="B555">
        <v>1</v>
      </c>
      <c r="D555" t="s">
        <v>3656</v>
      </c>
      <c r="E555" t="s">
        <v>3657</v>
      </c>
      <c r="F555" t="s">
        <v>193</v>
      </c>
      <c r="G555" t="s">
        <v>193</v>
      </c>
      <c r="H555" t="s">
        <v>3662</v>
      </c>
      <c r="I555" t="s">
        <v>3663</v>
      </c>
      <c r="J555">
        <v>40500959</v>
      </c>
    </row>
    <row r="556" spans="1:10">
      <c r="A556" t="s">
        <v>133</v>
      </c>
      <c r="B556">
        <v>1</v>
      </c>
      <c r="D556" t="s">
        <v>3656</v>
      </c>
      <c r="E556" t="s">
        <v>3657</v>
      </c>
      <c r="F556" t="s">
        <v>193</v>
      </c>
      <c r="G556" t="s">
        <v>193</v>
      </c>
      <c r="H556" t="s">
        <v>3664</v>
      </c>
      <c r="I556" t="s">
        <v>3665</v>
      </c>
      <c r="J556">
        <v>40500959</v>
      </c>
    </row>
    <row r="557" spans="1:10">
      <c r="A557" t="s">
        <v>133</v>
      </c>
      <c r="B557">
        <v>1</v>
      </c>
      <c r="D557" t="s">
        <v>3656</v>
      </c>
      <c r="E557" t="s">
        <v>3657</v>
      </c>
      <c r="F557" t="s">
        <v>3666</v>
      </c>
      <c r="G557" t="s">
        <v>193</v>
      </c>
      <c r="H557" t="s">
        <v>3667</v>
      </c>
      <c r="I557" t="s">
        <v>3668</v>
      </c>
      <c r="J557">
        <v>40500959</v>
      </c>
    </row>
    <row r="558" spans="1:10">
      <c r="A558" t="s">
        <v>133</v>
      </c>
      <c r="B558">
        <v>1</v>
      </c>
      <c r="D558" t="s">
        <v>3656</v>
      </c>
      <c r="E558" t="s">
        <v>3657</v>
      </c>
      <c r="F558" t="s">
        <v>3666</v>
      </c>
      <c r="G558" t="s">
        <v>193</v>
      </c>
      <c r="H558" t="s">
        <v>3669</v>
      </c>
      <c r="I558" t="s">
        <v>3670</v>
      </c>
      <c r="J558">
        <v>40500959</v>
      </c>
    </row>
    <row r="559" spans="1:10">
      <c r="A559" t="s">
        <v>133</v>
      </c>
      <c r="B559">
        <v>1</v>
      </c>
      <c r="D559" t="s">
        <v>3656</v>
      </c>
      <c r="E559" t="s">
        <v>3657</v>
      </c>
      <c r="F559" t="s">
        <v>193</v>
      </c>
      <c r="G559" t="s">
        <v>193</v>
      </c>
      <c r="H559" t="s">
        <v>3671</v>
      </c>
      <c r="I559" t="s">
        <v>3672</v>
      </c>
      <c r="J559">
        <v>40500959</v>
      </c>
    </row>
    <row r="560" spans="1:10">
      <c r="A560" t="s">
        <v>133</v>
      </c>
      <c r="B560">
        <v>0</v>
      </c>
      <c r="E560" t="s">
        <v>3655</v>
      </c>
      <c r="I560" t="s">
        <v>3673</v>
      </c>
      <c r="J560">
        <v>40500959</v>
      </c>
    </row>
    <row r="561" spans="1:10">
      <c r="A561" t="s">
        <v>133</v>
      </c>
      <c r="B561">
        <v>1</v>
      </c>
      <c r="D561" t="s">
        <v>3673</v>
      </c>
      <c r="E561" t="s">
        <v>3674</v>
      </c>
      <c r="F561" t="s">
        <v>3675</v>
      </c>
      <c r="G561" t="s">
        <v>193</v>
      </c>
      <c r="H561" t="s">
        <v>3676</v>
      </c>
      <c r="I561" t="s">
        <v>3677</v>
      </c>
      <c r="J561">
        <v>40500959</v>
      </c>
    </row>
    <row r="562" spans="1:10">
      <c r="A562" t="s">
        <v>135</v>
      </c>
      <c r="B562">
        <v>0</v>
      </c>
      <c r="E562" t="s">
        <v>3655</v>
      </c>
      <c r="I562" t="s">
        <v>3656</v>
      </c>
      <c r="J562">
        <v>40648835</v>
      </c>
    </row>
    <row r="563" spans="1:10">
      <c r="A563" t="s">
        <v>135</v>
      </c>
      <c r="B563">
        <v>1</v>
      </c>
      <c r="D563" t="s">
        <v>3656</v>
      </c>
      <c r="E563" t="s">
        <v>3657</v>
      </c>
      <c r="F563" t="s">
        <v>193</v>
      </c>
      <c r="G563" t="s">
        <v>193</v>
      </c>
      <c r="H563" t="s">
        <v>3658</v>
      </c>
      <c r="I563" t="s">
        <v>3659</v>
      </c>
      <c r="J563">
        <v>40648835</v>
      </c>
    </row>
    <row r="564" spans="1:10">
      <c r="A564" t="s">
        <v>135</v>
      </c>
      <c r="B564">
        <v>1</v>
      </c>
      <c r="D564" t="s">
        <v>3656</v>
      </c>
      <c r="E564" t="s">
        <v>3657</v>
      </c>
      <c r="F564" t="s">
        <v>193</v>
      </c>
      <c r="G564" t="s">
        <v>193</v>
      </c>
      <c r="H564" t="s">
        <v>3660</v>
      </c>
      <c r="I564" t="s">
        <v>3661</v>
      </c>
      <c r="J564">
        <v>40648835</v>
      </c>
    </row>
    <row r="565" spans="1:10">
      <c r="A565" t="s">
        <v>135</v>
      </c>
      <c r="B565">
        <v>1</v>
      </c>
      <c r="D565" t="s">
        <v>3656</v>
      </c>
      <c r="E565" t="s">
        <v>3657</v>
      </c>
      <c r="F565" t="s">
        <v>193</v>
      </c>
      <c r="G565" t="s">
        <v>193</v>
      </c>
      <c r="H565" t="s">
        <v>3662</v>
      </c>
      <c r="I565" t="s">
        <v>3663</v>
      </c>
      <c r="J565">
        <v>40648835</v>
      </c>
    </row>
    <row r="566" spans="1:10">
      <c r="A566" t="s">
        <v>135</v>
      </c>
      <c r="B566">
        <v>1</v>
      </c>
      <c r="D566" t="s">
        <v>3656</v>
      </c>
      <c r="E566" t="s">
        <v>3657</v>
      </c>
      <c r="F566" t="s">
        <v>193</v>
      </c>
      <c r="G566" t="s">
        <v>193</v>
      </c>
      <c r="H566" t="s">
        <v>3664</v>
      </c>
      <c r="I566" t="s">
        <v>3665</v>
      </c>
      <c r="J566">
        <v>40648835</v>
      </c>
    </row>
    <row r="567" spans="1:10">
      <c r="A567" t="s">
        <v>135</v>
      </c>
      <c r="B567">
        <v>1</v>
      </c>
      <c r="D567" t="s">
        <v>3656</v>
      </c>
      <c r="E567" t="s">
        <v>3657</v>
      </c>
      <c r="F567" t="s">
        <v>3666</v>
      </c>
      <c r="G567" t="s">
        <v>193</v>
      </c>
      <c r="H567" t="s">
        <v>3667</v>
      </c>
      <c r="I567" t="s">
        <v>3668</v>
      </c>
      <c r="J567">
        <v>40648835</v>
      </c>
    </row>
    <row r="568" spans="1:10">
      <c r="A568" t="s">
        <v>135</v>
      </c>
      <c r="B568">
        <v>1</v>
      </c>
      <c r="D568" t="s">
        <v>3656</v>
      </c>
      <c r="E568" t="s">
        <v>3657</v>
      </c>
      <c r="F568" t="s">
        <v>3666</v>
      </c>
      <c r="G568" t="s">
        <v>193</v>
      </c>
      <c r="H568" t="s">
        <v>3669</v>
      </c>
      <c r="I568" t="s">
        <v>3670</v>
      </c>
      <c r="J568">
        <v>40648835</v>
      </c>
    </row>
    <row r="569" spans="1:10">
      <c r="A569" t="s">
        <v>135</v>
      </c>
      <c r="B569">
        <v>1</v>
      </c>
      <c r="D569" t="s">
        <v>3656</v>
      </c>
      <c r="E569" t="s">
        <v>3657</v>
      </c>
      <c r="F569" t="s">
        <v>193</v>
      </c>
      <c r="G569" t="s">
        <v>193</v>
      </c>
      <c r="H569" t="s">
        <v>3671</v>
      </c>
      <c r="I569" t="s">
        <v>3672</v>
      </c>
      <c r="J569">
        <v>40648835</v>
      </c>
    </row>
    <row r="570" spans="1:10">
      <c r="A570" t="s">
        <v>135</v>
      </c>
      <c r="B570">
        <v>0</v>
      </c>
      <c r="E570" t="s">
        <v>3655</v>
      </c>
      <c r="I570" t="s">
        <v>3673</v>
      </c>
      <c r="J570">
        <v>40648835</v>
      </c>
    </row>
    <row r="571" spans="1:10">
      <c r="A571" t="s">
        <v>135</v>
      </c>
      <c r="B571">
        <v>1</v>
      </c>
      <c r="D571" t="s">
        <v>3673</v>
      </c>
      <c r="E571" t="s">
        <v>3674</v>
      </c>
      <c r="F571" t="s">
        <v>3675</v>
      </c>
      <c r="G571" t="s">
        <v>193</v>
      </c>
      <c r="H571" t="s">
        <v>3676</v>
      </c>
      <c r="I571" t="s">
        <v>3677</v>
      </c>
      <c r="J571">
        <v>40648835</v>
      </c>
    </row>
    <row r="572" spans="1:10">
      <c r="A572" t="s">
        <v>137</v>
      </c>
      <c r="B572">
        <v>0</v>
      </c>
      <c r="E572" t="s">
        <v>3655</v>
      </c>
      <c r="I572" t="s">
        <v>3656</v>
      </c>
      <c r="J572">
        <v>40681023</v>
      </c>
    </row>
    <row r="573" spans="1:10">
      <c r="A573" t="s">
        <v>137</v>
      </c>
      <c r="B573">
        <v>1</v>
      </c>
      <c r="D573" t="s">
        <v>3656</v>
      </c>
      <c r="E573" t="s">
        <v>3657</v>
      </c>
      <c r="F573" t="s">
        <v>193</v>
      </c>
      <c r="G573" t="s">
        <v>193</v>
      </c>
      <c r="H573" t="s">
        <v>3658</v>
      </c>
      <c r="I573" t="s">
        <v>3659</v>
      </c>
      <c r="J573">
        <v>40681023</v>
      </c>
    </row>
    <row r="574" spans="1:10">
      <c r="A574" t="s">
        <v>137</v>
      </c>
      <c r="B574">
        <v>1</v>
      </c>
      <c r="D574" t="s">
        <v>3656</v>
      </c>
      <c r="E574" t="s">
        <v>3657</v>
      </c>
      <c r="F574" t="s">
        <v>193</v>
      </c>
      <c r="G574" t="s">
        <v>193</v>
      </c>
      <c r="H574" t="s">
        <v>3660</v>
      </c>
      <c r="I574" t="s">
        <v>3661</v>
      </c>
      <c r="J574">
        <v>40681023</v>
      </c>
    </row>
    <row r="575" spans="1:10">
      <c r="A575" t="s">
        <v>137</v>
      </c>
      <c r="B575">
        <v>1</v>
      </c>
      <c r="D575" t="s">
        <v>3656</v>
      </c>
      <c r="E575" t="s">
        <v>3657</v>
      </c>
      <c r="F575" t="s">
        <v>193</v>
      </c>
      <c r="G575" t="s">
        <v>193</v>
      </c>
      <c r="H575" t="s">
        <v>3662</v>
      </c>
      <c r="I575" t="s">
        <v>3663</v>
      </c>
      <c r="J575">
        <v>40681023</v>
      </c>
    </row>
    <row r="576" spans="1:10">
      <c r="A576" t="s">
        <v>137</v>
      </c>
      <c r="B576">
        <v>1</v>
      </c>
      <c r="D576" t="s">
        <v>3656</v>
      </c>
      <c r="E576" t="s">
        <v>3657</v>
      </c>
      <c r="F576" t="s">
        <v>193</v>
      </c>
      <c r="G576" t="s">
        <v>193</v>
      </c>
      <c r="H576" t="s">
        <v>3664</v>
      </c>
      <c r="I576" t="s">
        <v>3665</v>
      </c>
      <c r="J576">
        <v>40681023</v>
      </c>
    </row>
    <row r="577" spans="1:10">
      <c r="A577" t="s">
        <v>137</v>
      </c>
      <c r="B577">
        <v>1</v>
      </c>
      <c r="D577" t="s">
        <v>3656</v>
      </c>
      <c r="E577" t="s">
        <v>3657</v>
      </c>
      <c r="F577" t="s">
        <v>3666</v>
      </c>
      <c r="G577" t="s">
        <v>193</v>
      </c>
      <c r="H577" t="s">
        <v>3667</v>
      </c>
      <c r="I577" t="s">
        <v>3668</v>
      </c>
      <c r="J577">
        <v>40681023</v>
      </c>
    </row>
    <row r="578" spans="1:10">
      <c r="A578" t="s">
        <v>137</v>
      </c>
      <c r="B578">
        <v>1</v>
      </c>
      <c r="D578" t="s">
        <v>3656</v>
      </c>
      <c r="E578" t="s">
        <v>3657</v>
      </c>
      <c r="F578" t="s">
        <v>3666</v>
      </c>
      <c r="G578" t="s">
        <v>193</v>
      </c>
      <c r="H578" t="s">
        <v>3669</v>
      </c>
      <c r="I578" t="s">
        <v>3670</v>
      </c>
      <c r="J578">
        <v>40681023</v>
      </c>
    </row>
    <row r="579" spans="1:10">
      <c r="A579" t="s">
        <v>137</v>
      </c>
      <c r="B579">
        <v>1</v>
      </c>
      <c r="D579" t="s">
        <v>3656</v>
      </c>
      <c r="E579" t="s">
        <v>3657</v>
      </c>
      <c r="F579" t="s">
        <v>193</v>
      </c>
      <c r="G579" t="s">
        <v>193</v>
      </c>
      <c r="H579" t="s">
        <v>3671</v>
      </c>
      <c r="I579" t="s">
        <v>3672</v>
      </c>
      <c r="J579">
        <v>40681023</v>
      </c>
    </row>
    <row r="580" spans="1:10">
      <c r="A580" t="s">
        <v>137</v>
      </c>
      <c r="B580">
        <v>0</v>
      </c>
      <c r="E580" t="s">
        <v>3655</v>
      </c>
      <c r="I580" t="s">
        <v>3673</v>
      </c>
      <c r="J580">
        <v>40681023</v>
      </c>
    </row>
    <row r="581" spans="1:10">
      <c r="A581" t="s">
        <v>137</v>
      </c>
      <c r="B581">
        <v>1</v>
      </c>
      <c r="D581" t="s">
        <v>3673</v>
      </c>
      <c r="E581" t="s">
        <v>3674</v>
      </c>
      <c r="F581" t="s">
        <v>3675</v>
      </c>
      <c r="G581" t="s">
        <v>193</v>
      </c>
      <c r="H581" t="s">
        <v>3676</v>
      </c>
      <c r="I581" t="s">
        <v>3677</v>
      </c>
      <c r="J581">
        <v>40681023</v>
      </c>
    </row>
    <row r="582" spans="1:10">
      <c r="A582" t="s">
        <v>139</v>
      </c>
      <c r="B582">
        <v>0</v>
      </c>
      <c r="E582" t="s">
        <v>3655</v>
      </c>
      <c r="I582" t="s">
        <v>3656</v>
      </c>
      <c r="J582">
        <v>40525443</v>
      </c>
    </row>
    <row r="583" spans="1:10">
      <c r="A583" t="s">
        <v>139</v>
      </c>
      <c r="B583">
        <v>1</v>
      </c>
      <c r="D583" t="s">
        <v>3656</v>
      </c>
      <c r="E583" t="s">
        <v>3657</v>
      </c>
      <c r="F583" t="s">
        <v>193</v>
      </c>
      <c r="G583" t="s">
        <v>193</v>
      </c>
      <c r="H583" t="s">
        <v>3658</v>
      </c>
      <c r="I583" t="s">
        <v>3659</v>
      </c>
      <c r="J583">
        <v>40525443</v>
      </c>
    </row>
    <row r="584" spans="1:10">
      <c r="A584" t="s">
        <v>139</v>
      </c>
      <c r="B584">
        <v>1</v>
      </c>
      <c r="D584" t="s">
        <v>3656</v>
      </c>
      <c r="E584" t="s">
        <v>3657</v>
      </c>
      <c r="F584" t="s">
        <v>193</v>
      </c>
      <c r="G584" t="s">
        <v>193</v>
      </c>
      <c r="H584" t="s">
        <v>3660</v>
      </c>
      <c r="I584" t="s">
        <v>3661</v>
      </c>
      <c r="J584">
        <v>40525443</v>
      </c>
    </row>
    <row r="585" spans="1:10">
      <c r="A585" t="s">
        <v>139</v>
      </c>
      <c r="B585">
        <v>1</v>
      </c>
      <c r="D585" t="s">
        <v>3656</v>
      </c>
      <c r="E585" t="s">
        <v>3657</v>
      </c>
      <c r="F585" t="s">
        <v>193</v>
      </c>
      <c r="G585" t="s">
        <v>193</v>
      </c>
      <c r="H585" t="s">
        <v>3662</v>
      </c>
      <c r="I585" t="s">
        <v>3663</v>
      </c>
      <c r="J585">
        <v>40525443</v>
      </c>
    </row>
    <row r="586" spans="1:10">
      <c r="A586" t="s">
        <v>139</v>
      </c>
      <c r="B586">
        <v>1</v>
      </c>
      <c r="D586" t="s">
        <v>3656</v>
      </c>
      <c r="E586" t="s">
        <v>3657</v>
      </c>
      <c r="F586" t="s">
        <v>193</v>
      </c>
      <c r="G586" t="s">
        <v>193</v>
      </c>
      <c r="H586" t="s">
        <v>3664</v>
      </c>
      <c r="I586" t="s">
        <v>3665</v>
      </c>
      <c r="J586">
        <v>40525443</v>
      </c>
    </row>
    <row r="587" spans="1:10">
      <c r="A587" t="s">
        <v>139</v>
      </c>
      <c r="B587">
        <v>1</v>
      </c>
      <c r="D587" t="s">
        <v>3656</v>
      </c>
      <c r="E587" t="s">
        <v>3657</v>
      </c>
      <c r="F587" t="s">
        <v>3666</v>
      </c>
      <c r="G587" t="s">
        <v>193</v>
      </c>
      <c r="H587" t="s">
        <v>3667</v>
      </c>
      <c r="I587" t="s">
        <v>3668</v>
      </c>
      <c r="J587">
        <v>40525443</v>
      </c>
    </row>
    <row r="588" spans="1:10">
      <c r="A588" t="s">
        <v>139</v>
      </c>
      <c r="B588">
        <v>1</v>
      </c>
      <c r="D588" t="s">
        <v>3656</v>
      </c>
      <c r="E588" t="s">
        <v>3657</v>
      </c>
      <c r="F588" t="s">
        <v>3666</v>
      </c>
      <c r="G588" t="s">
        <v>193</v>
      </c>
      <c r="H588" t="s">
        <v>3669</v>
      </c>
      <c r="I588" t="s">
        <v>3670</v>
      </c>
      <c r="J588">
        <v>40525443</v>
      </c>
    </row>
    <row r="589" spans="1:10">
      <c r="A589" t="s">
        <v>139</v>
      </c>
      <c r="B589">
        <v>1</v>
      </c>
      <c r="D589" t="s">
        <v>3656</v>
      </c>
      <c r="E589" t="s">
        <v>3657</v>
      </c>
      <c r="F589" t="s">
        <v>193</v>
      </c>
      <c r="G589" t="s">
        <v>193</v>
      </c>
      <c r="H589" t="s">
        <v>3671</v>
      </c>
      <c r="I589" t="s">
        <v>3672</v>
      </c>
      <c r="J589">
        <v>40525443</v>
      </c>
    </row>
    <row r="590" spans="1:10">
      <c r="A590" t="s">
        <v>139</v>
      </c>
      <c r="B590">
        <v>0</v>
      </c>
      <c r="E590" t="s">
        <v>3655</v>
      </c>
      <c r="I590" t="s">
        <v>3673</v>
      </c>
      <c r="J590">
        <v>40525443</v>
      </c>
    </row>
    <row r="591" spans="1:10">
      <c r="A591" t="s">
        <v>139</v>
      </c>
      <c r="B591">
        <v>1</v>
      </c>
      <c r="D591" t="s">
        <v>3673</v>
      </c>
      <c r="E591" t="s">
        <v>3674</v>
      </c>
      <c r="F591" t="s">
        <v>3675</v>
      </c>
      <c r="G591" t="s">
        <v>193</v>
      </c>
      <c r="H591" t="s">
        <v>3676</v>
      </c>
      <c r="I591" t="s">
        <v>3677</v>
      </c>
      <c r="J591">
        <v>40525443</v>
      </c>
    </row>
    <row r="592" spans="1:10">
      <c r="A592" t="s">
        <v>141</v>
      </c>
      <c r="B592">
        <v>0</v>
      </c>
      <c r="E592" t="s">
        <v>3655</v>
      </c>
      <c r="I592" t="s">
        <v>3656</v>
      </c>
      <c r="J592">
        <v>39159625</v>
      </c>
    </row>
    <row r="593" spans="1:10">
      <c r="A593" t="s">
        <v>141</v>
      </c>
      <c r="B593">
        <v>1</v>
      </c>
      <c r="D593" t="s">
        <v>3656</v>
      </c>
      <c r="E593" t="s">
        <v>3657</v>
      </c>
      <c r="F593" t="s">
        <v>193</v>
      </c>
      <c r="G593" t="s">
        <v>193</v>
      </c>
      <c r="H593" t="s">
        <v>3658</v>
      </c>
      <c r="I593" t="s">
        <v>3659</v>
      </c>
      <c r="J593">
        <v>39159625</v>
      </c>
    </row>
    <row r="594" spans="1:10">
      <c r="A594" t="s">
        <v>141</v>
      </c>
      <c r="B594">
        <v>1</v>
      </c>
      <c r="D594" t="s">
        <v>3656</v>
      </c>
      <c r="E594" t="s">
        <v>3657</v>
      </c>
      <c r="F594" t="s">
        <v>193</v>
      </c>
      <c r="G594" t="s">
        <v>193</v>
      </c>
      <c r="H594" t="s">
        <v>3660</v>
      </c>
      <c r="I594" t="s">
        <v>3661</v>
      </c>
      <c r="J594">
        <v>39159625</v>
      </c>
    </row>
    <row r="595" spans="1:10">
      <c r="A595" t="s">
        <v>141</v>
      </c>
      <c r="B595">
        <v>1</v>
      </c>
      <c r="D595" t="s">
        <v>3656</v>
      </c>
      <c r="E595" t="s">
        <v>3657</v>
      </c>
      <c r="F595" t="s">
        <v>193</v>
      </c>
      <c r="G595" t="s">
        <v>193</v>
      </c>
      <c r="H595" t="s">
        <v>3662</v>
      </c>
      <c r="I595" t="s">
        <v>3663</v>
      </c>
      <c r="J595">
        <v>39159625</v>
      </c>
    </row>
    <row r="596" spans="1:10">
      <c r="A596" t="s">
        <v>141</v>
      </c>
      <c r="B596">
        <v>1</v>
      </c>
      <c r="D596" t="s">
        <v>3656</v>
      </c>
      <c r="E596" t="s">
        <v>3657</v>
      </c>
      <c r="F596" t="s">
        <v>193</v>
      </c>
      <c r="G596" t="s">
        <v>193</v>
      </c>
      <c r="H596" t="s">
        <v>3664</v>
      </c>
      <c r="I596" t="s">
        <v>3665</v>
      </c>
      <c r="J596">
        <v>39159625</v>
      </c>
    </row>
    <row r="597" spans="1:10">
      <c r="A597" t="s">
        <v>141</v>
      </c>
      <c r="B597">
        <v>1</v>
      </c>
      <c r="D597" t="s">
        <v>3656</v>
      </c>
      <c r="E597" t="s">
        <v>3657</v>
      </c>
      <c r="F597" t="s">
        <v>3666</v>
      </c>
      <c r="G597" t="s">
        <v>193</v>
      </c>
      <c r="H597" t="s">
        <v>3667</v>
      </c>
      <c r="I597" t="s">
        <v>3668</v>
      </c>
      <c r="J597">
        <v>39159625</v>
      </c>
    </row>
    <row r="598" spans="1:10">
      <c r="A598" t="s">
        <v>141</v>
      </c>
      <c r="B598">
        <v>1</v>
      </c>
      <c r="D598" t="s">
        <v>3656</v>
      </c>
      <c r="E598" t="s">
        <v>3657</v>
      </c>
      <c r="F598" t="s">
        <v>3666</v>
      </c>
      <c r="G598" t="s">
        <v>193</v>
      </c>
      <c r="H598" t="s">
        <v>3669</v>
      </c>
      <c r="I598" t="s">
        <v>3670</v>
      </c>
      <c r="J598">
        <v>39159625</v>
      </c>
    </row>
    <row r="599" spans="1:10">
      <c r="A599" t="s">
        <v>141</v>
      </c>
      <c r="B599">
        <v>1</v>
      </c>
      <c r="D599" t="s">
        <v>3656</v>
      </c>
      <c r="E599" t="s">
        <v>3657</v>
      </c>
      <c r="F599" t="s">
        <v>193</v>
      </c>
      <c r="G599" t="s">
        <v>193</v>
      </c>
      <c r="H599" t="s">
        <v>3671</v>
      </c>
      <c r="I599" t="s">
        <v>3672</v>
      </c>
      <c r="J599">
        <v>39159625</v>
      </c>
    </row>
    <row r="600" spans="1:10">
      <c r="A600" t="s">
        <v>141</v>
      </c>
      <c r="B600">
        <v>0</v>
      </c>
      <c r="E600" t="s">
        <v>3655</v>
      </c>
      <c r="I600" t="s">
        <v>3673</v>
      </c>
      <c r="J600">
        <v>39159625</v>
      </c>
    </row>
    <row r="601" spans="1:10">
      <c r="A601" t="s">
        <v>141</v>
      </c>
      <c r="B601">
        <v>1</v>
      </c>
      <c r="D601" t="s">
        <v>3673</v>
      </c>
      <c r="E601" t="s">
        <v>3674</v>
      </c>
      <c r="F601" t="s">
        <v>3675</v>
      </c>
      <c r="G601" t="s">
        <v>193</v>
      </c>
      <c r="H601" t="s">
        <v>3676</v>
      </c>
      <c r="I601" t="s">
        <v>3677</v>
      </c>
      <c r="J601">
        <v>39159625</v>
      </c>
    </row>
    <row r="602" spans="1:10">
      <c r="A602" t="s">
        <v>143</v>
      </c>
      <c r="B602">
        <v>0</v>
      </c>
      <c r="E602" t="s">
        <v>3655</v>
      </c>
      <c r="I602" t="s">
        <v>3656</v>
      </c>
      <c r="J602">
        <v>39927353</v>
      </c>
    </row>
    <row r="603" spans="1:10">
      <c r="A603" t="s">
        <v>143</v>
      </c>
      <c r="B603">
        <v>1</v>
      </c>
      <c r="D603" t="s">
        <v>3656</v>
      </c>
      <c r="E603" t="s">
        <v>3657</v>
      </c>
      <c r="F603" t="s">
        <v>193</v>
      </c>
      <c r="G603" t="s">
        <v>193</v>
      </c>
      <c r="H603" t="s">
        <v>3658</v>
      </c>
      <c r="I603" t="s">
        <v>3659</v>
      </c>
      <c r="J603">
        <v>39927353</v>
      </c>
    </row>
    <row r="604" spans="1:10">
      <c r="A604" t="s">
        <v>143</v>
      </c>
      <c r="B604">
        <v>1</v>
      </c>
      <c r="D604" t="s">
        <v>3656</v>
      </c>
      <c r="E604" t="s">
        <v>3657</v>
      </c>
      <c r="F604" t="s">
        <v>193</v>
      </c>
      <c r="G604" t="s">
        <v>193</v>
      </c>
      <c r="H604" t="s">
        <v>3660</v>
      </c>
      <c r="I604" t="s">
        <v>3661</v>
      </c>
      <c r="J604">
        <v>39927353</v>
      </c>
    </row>
    <row r="605" spans="1:10">
      <c r="A605" t="s">
        <v>143</v>
      </c>
      <c r="B605">
        <v>1</v>
      </c>
      <c r="D605" t="s">
        <v>3656</v>
      </c>
      <c r="E605" t="s">
        <v>3657</v>
      </c>
      <c r="F605" t="s">
        <v>193</v>
      </c>
      <c r="G605" t="s">
        <v>193</v>
      </c>
      <c r="H605" t="s">
        <v>3662</v>
      </c>
      <c r="I605" t="s">
        <v>3663</v>
      </c>
      <c r="J605">
        <v>39927353</v>
      </c>
    </row>
    <row r="606" spans="1:10">
      <c r="A606" t="s">
        <v>143</v>
      </c>
      <c r="B606">
        <v>1</v>
      </c>
      <c r="D606" t="s">
        <v>3656</v>
      </c>
      <c r="E606" t="s">
        <v>3657</v>
      </c>
      <c r="F606" t="s">
        <v>193</v>
      </c>
      <c r="G606" t="s">
        <v>193</v>
      </c>
      <c r="H606" t="s">
        <v>3664</v>
      </c>
      <c r="I606" t="s">
        <v>3665</v>
      </c>
      <c r="J606">
        <v>39927353</v>
      </c>
    </row>
    <row r="607" spans="1:10">
      <c r="A607" t="s">
        <v>143</v>
      </c>
      <c r="B607">
        <v>1</v>
      </c>
      <c r="D607" t="s">
        <v>3656</v>
      </c>
      <c r="E607" t="s">
        <v>3657</v>
      </c>
      <c r="F607" t="s">
        <v>3666</v>
      </c>
      <c r="G607" t="s">
        <v>193</v>
      </c>
      <c r="H607" t="s">
        <v>3667</v>
      </c>
      <c r="I607" t="s">
        <v>3668</v>
      </c>
      <c r="J607">
        <v>39927353</v>
      </c>
    </row>
    <row r="608" spans="1:10">
      <c r="A608" t="s">
        <v>143</v>
      </c>
      <c r="B608">
        <v>1</v>
      </c>
      <c r="D608" t="s">
        <v>3656</v>
      </c>
      <c r="E608" t="s">
        <v>3657</v>
      </c>
      <c r="F608" t="s">
        <v>3666</v>
      </c>
      <c r="G608" t="s">
        <v>193</v>
      </c>
      <c r="H608" t="s">
        <v>3669</v>
      </c>
      <c r="I608" t="s">
        <v>3670</v>
      </c>
      <c r="J608">
        <v>39927353</v>
      </c>
    </row>
    <row r="609" spans="1:10">
      <c r="A609" t="s">
        <v>143</v>
      </c>
      <c r="B609">
        <v>1</v>
      </c>
      <c r="D609" t="s">
        <v>3656</v>
      </c>
      <c r="E609" t="s">
        <v>3657</v>
      </c>
      <c r="F609" t="s">
        <v>193</v>
      </c>
      <c r="G609" t="s">
        <v>193</v>
      </c>
      <c r="H609" t="s">
        <v>3671</v>
      </c>
      <c r="I609" t="s">
        <v>3672</v>
      </c>
      <c r="J609">
        <v>39927353</v>
      </c>
    </row>
    <row r="610" spans="1:10">
      <c r="A610" t="s">
        <v>143</v>
      </c>
      <c r="B610">
        <v>0</v>
      </c>
      <c r="E610" t="s">
        <v>3655</v>
      </c>
      <c r="I610" t="s">
        <v>3673</v>
      </c>
      <c r="J610">
        <v>39927353</v>
      </c>
    </row>
    <row r="611" spans="1:10">
      <c r="A611" t="s">
        <v>143</v>
      </c>
      <c r="B611">
        <v>1</v>
      </c>
      <c r="D611" t="s">
        <v>3673</v>
      </c>
      <c r="E611" t="s">
        <v>3674</v>
      </c>
      <c r="F611" t="s">
        <v>3675</v>
      </c>
      <c r="G611" t="s">
        <v>193</v>
      </c>
      <c r="H611" t="s">
        <v>3676</v>
      </c>
      <c r="I611" t="s">
        <v>3677</v>
      </c>
      <c r="J611">
        <v>39927353</v>
      </c>
    </row>
    <row r="612" spans="1:10">
      <c r="A612" t="s">
        <v>147</v>
      </c>
      <c r="B612">
        <v>0</v>
      </c>
      <c r="E612" t="s">
        <v>3655</v>
      </c>
      <c r="I612" t="s">
        <v>3656</v>
      </c>
      <c r="J612">
        <v>40730683</v>
      </c>
    </row>
    <row r="613" spans="1:10">
      <c r="A613" t="s">
        <v>147</v>
      </c>
      <c r="B613">
        <v>1</v>
      </c>
      <c r="D613" t="s">
        <v>3656</v>
      </c>
      <c r="E613" t="s">
        <v>3657</v>
      </c>
      <c r="F613" t="s">
        <v>193</v>
      </c>
      <c r="G613" t="s">
        <v>193</v>
      </c>
      <c r="H613" t="s">
        <v>3658</v>
      </c>
      <c r="I613" t="s">
        <v>3659</v>
      </c>
      <c r="J613">
        <v>40730683</v>
      </c>
    </row>
    <row r="614" spans="1:10">
      <c r="A614" t="s">
        <v>147</v>
      </c>
      <c r="B614">
        <v>1</v>
      </c>
      <c r="D614" t="s">
        <v>3656</v>
      </c>
      <c r="E614" t="s">
        <v>3657</v>
      </c>
      <c r="F614" t="s">
        <v>193</v>
      </c>
      <c r="G614" t="s">
        <v>193</v>
      </c>
      <c r="H614" t="s">
        <v>3660</v>
      </c>
      <c r="I614" t="s">
        <v>3661</v>
      </c>
      <c r="J614">
        <v>40730683</v>
      </c>
    </row>
    <row r="615" spans="1:10">
      <c r="A615" t="s">
        <v>147</v>
      </c>
      <c r="B615">
        <v>1</v>
      </c>
      <c r="D615" t="s">
        <v>3656</v>
      </c>
      <c r="E615" t="s">
        <v>3657</v>
      </c>
      <c r="F615" t="s">
        <v>193</v>
      </c>
      <c r="G615" t="s">
        <v>193</v>
      </c>
      <c r="H615" t="s">
        <v>3662</v>
      </c>
      <c r="I615" t="s">
        <v>3663</v>
      </c>
      <c r="J615">
        <v>40730683</v>
      </c>
    </row>
    <row r="616" spans="1:10">
      <c r="A616" t="s">
        <v>147</v>
      </c>
      <c r="B616">
        <v>1</v>
      </c>
      <c r="D616" t="s">
        <v>3656</v>
      </c>
      <c r="E616" t="s">
        <v>3657</v>
      </c>
      <c r="F616" t="s">
        <v>193</v>
      </c>
      <c r="G616" t="s">
        <v>193</v>
      </c>
      <c r="H616" t="s">
        <v>3664</v>
      </c>
      <c r="I616" t="s">
        <v>3665</v>
      </c>
      <c r="J616">
        <v>40730683</v>
      </c>
    </row>
    <row r="617" spans="1:10">
      <c r="A617" t="s">
        <v>147</v>
      </c>
      <c r="B617">
        <v>1</v>
      </c>
      <c r="D617" t="s">
        <v>3656</v>
      </c>
      <c r="E617" t="s">
        <v>3657</v>
      </c>
      <c r="F617" t="s">
        <v>3666</v>
      </c>
      <c r="G617" t="s">
        <v>193</v>
      </c>
      <c r="H617" t="s">
        <v>3667</v>
      </c>
      <c r="I617" t="s">
        <v>3668</v>
      </c>
      <c r="J617">
        <v>40730683</v>
      </c>
    </row>
    <row r="618" spans="1:10">
      <c r="A618" t="s">
        <v>147</v>
      </c>
      <c r="B618">
        <v>1</v>
      </c>
      <c r="D618" t="s">
        <v>3656</v>
      </c>
      <c r="E618" t="s">
        <v>3657</v>
      </c>
      <c r="F618" t="s">
        <v>3666</v>
      </c>
      <c r="G618" t="s">
        <v>193</v>
      </c>
      <c r="H618" t="s">
        <v>3669</v>
      </c>
      <c r="I618" t="s">
        <v>3670</v>
      </c>
      <c r="J618">
        <v>40730683</v>
      </c>
    </row>
    <row r="619" spans="1:10">
      <c r="A619" t="s">
        <v>147</v>
      </c>
      <c r="B619">
        <v>1</v>
      </c>
      <c r="D619" t="s">
        <v>3656</v>
      </c>
      <c r="E619" t="s">
        <v>3657</v>
      </c>
      <c r="F619" t="s">
        <v>193</v>
      </c>
      <c r="G619" t="s">
        <v>193</v>
      </c>
      <c r="H619" t="s">
        <v>3671</v>
      </c>
      <c r="I619" t="s">
        <v>3672</v>
      </c>
      <c r="J619">
        <v>40730683</v>
      </c>
    </row>
    <row r="620" spans="1:10">
      <c r="A620" t="s">
        <v>147</v>
      </c>
      <c r="B620">
        <v>0</v>
      </c>
      <c r="E620" t="s">
        <v>3655</v>
      </c>
      <c r="I620" t="s">
        <v>3673</v>
      </c>
      <c r="J620">
        <v>40730683</v>
      </c>
    </row>
    <row r="621" spans="1:10">
      <c r="A621" t="s">
        <v>147</v>
      </c>
      <c r="B621">
        <v>1</v>
      </c>
      <c r="D621" t="s">
        <v>3673</v>
      </c>
      <c r="E621" t="s">
        <v>3674</v>
      </c>
      <c r="F621" t="s">
        <v>3675</v>
      </c>
      <c r="G621" t="s">
        <v>193</v>
      </c>
      <c r="H621" t="s">
        <v>3676</v>
      </c>
      <c r="I621" t="s">
        <v>3677</v>
      </c>
      <c r="J621">
        <v>40730683</v>
      </c>
    </row>
    <row r="622" spans="1:10">
      <c r="A622" t="s">
        <v>149</v>
      </c>
      <c r="B622">
        <v>0</v>
      </c>
      <c r="E622" t="s">
        <v>3655</v>
      </c>
      <c r="I622" t="s">
        <v>3656</v>
      </c>
      <c r="J622">
        <v>40918149</v>
      </c>
    </row>
    <row r="623" spans="1:10">
      <c r="A623" t="s">
        <v>149</v>
      </c>
      <c r="B623">
        <v>1</v>
      </c>
      <c r="D623" t="s">
        <v>3656</v>
      </c>
      <c r="E623" t="s">
        <v>3657</v>
      </c>
      <c r="F623" t="s">
        <v>193</v>
      </c>
      <c r="G623" t="s">
        <v>193</v>
      </c>
      <c r="H623" t="s">
        <v>3658</v>
      </c>
      <c r="I623" t="s">
        <v>3659</v>
      </c>
      <c r="J623">
        <v>40918149</v>
      </c>
    </row>
    <row r="624" spans="1:10">
      <c r="A624" t="s">
        <v>149</v>
      </c>
      <c r="B624">
        <v>1</v>
      </c>
      <c r="D624" t="s">
        <v>3656</v>
      </c>
      <c r="E624" t="s">
        <v>3657</v>
      </c>
      <c r="F624" t="s">
        <v>193</v>
      </c>
      <c r="G624" t="s">
        <v>193</v>
      </c>
      <c r="H624" t="s">
        <v>3660</v>
      </c>
      <c r="I624" t="s">
        <v>3661</v>
      </c>
      <c r="J624">
        <v>40918149</v>
      </c>
    </row>
    <row r="625" spans="1:10">
      <c r="A625" t="s">
        <v>149</v>
      </c>
      <c r="B625">
        <v>1</v>
      </c>
      <c r="D625" t="s">
        <v>3656</v>
      </c>
      <c r="E625" t="s">
        <v>3657</v>
      </c>
      <c r="F625" t="s">
        <v>193</v>
      </c>
      <c r="G625" t="s">
        <v>193</v>
      </c>
      <c r="H625" t="s">
        <v>3662</v>
      </c>
      <c r="I625" t="s">
        <v>3663</v>
      </c>
      <c r="J625">
        <v>40918149</v>
      </c>
    </row>
    <row r="626" spans="1:10">
      <c r="A626" t="s">
        <v>149</v>
      </c>
      <c r="B626">
        <v>1</v>
      </c>
      <c r="D626" t="s">
        <v>3656</v>
      </c>
      <c r="E626" t="s">
        <v>3657</v>
      </c>
      <c r="F626" t="s">
        <v>193</v>
      </c>
      <c r="G626" t="s">
        <v>193</v>
      </c>
      <c r="H626" t="s">
        <v>3664</v>
      </c>
      <c r="I626" t="s">
        <v>3665</v>
      </c>
      <c r="J626">
        <v>40918149</v>
      </c>
    </row>
    <row r="627" spans="1:10">
      <c r="A627" t="s">
        <v>149</v>
      </c>
      <c r="B627">
        <v>1</v>
      </c>
      <c r="D627" t="s">
        <v>3656</v>
      </c>
      <c r="E627" t="s">
        <v>3657</v>
      </c>
      <c r="F627" t="s">
        <v>3666</v>
      </c>
      <c r="G627" t="s">
        <v>193</v>
      </c>
      <c r="H627" t="s">
        <v>3667</v>
      </c>
      <c r="I627" t="s">
        <v>3668</v>
      </c>
      <c r="J627">
        <v>40918149</v>
      </c>
    </row>
    <row r="628" spans="1:10">
      <c r="A628" t="s">
        <v>149</v>
      </c>
      <c r="B628">
        <v>1</v>
      </c>
      <c r="D628" t="s">
        <v>3656</v>
      </c>
      <c r="E628" t="s">
        <v>3657</v>
      </c>
      <c r="F628" t="s">
        <v>3666</v>
      </c>
      <c r="G628" t="s">
        <v>193</v>
      </c>
      <c r="H628" t="s">
        <v>3669</v>
      </c>
      <c r="I628" t="s">
        <v>3670</v>
      </c>
      <c r="J628">
        <v>40918149</v>
      </c>
    </row>
    <row r="629" spans="1:10">
      <c r="A629" t="s">
        <v>149</v>
      </c>
      <c r="B629">
        <v>1</v>
      </c>
      <c r="D629" t="s">
        <v>3656</v>
      </c>
      <c r="E629" t="s">
        <v>3657</v>
      </c>
      <c r="F629" t="s">
        <v>193</v>
      </c>
      <c r="G629" t="s">
        <v>193</v>
      </c>
      <c r="H629" t="s">
        <v>3671</v>
      </c>
      <c r="I629" t="s">
        <v>3672</v>
      </c>
      <c r="J629">
        <v>40918149</v>
      </c>
    </row>
    <row r="630" spans="1:10">
      <c r="A630" t="s">
        <v>149</v>
      </c>
      <c r="B630">
        <v>0</v>
      </c>
      <c r="E630" t="s">
        <v>3655</v>
      </c>
      <c r="I630" t="s">
        <v>3673</v>
      </c>
      <c r="J630">
        <v>40918149</v>
      </c>
    </row>
    <row r="631" spans="1:10">
      <c r="A631" t="s">
        <v>149</v>
      </c>
      <c r="B631">
        <v>1</v>
      </c>
      <c r="D631" t="s">
        <v>3673</v>
      </c>
      <c r="E631" t="s">
        <v>3674</v>
      </c>
      <c r="F631" t="s">
        <v>3675</v>
      </c>
      <c r="G631" t="s">
        <v>193</v>
      </c>
      <c r="H631" t="s">
        <v>3676</v>
      </c>
      <c r="I631" t="s">
        <v>3677</v>
      </c>
      <c r="J631">
        <v>40918149</v>
      </c>
    </row>
    <row r="632" spans="1:10">
      <c r="A632" t="s">
        <v>153</v>
      </c>
      <c r="B632">
        <v>0</v>
      </c>
      <c r="E632" t="s">
        <v>3655</v>
      </c>
      <c r="I632" t="s">
        <v>3656</v>
      </c>
      <c r="J632">
        <v>40844342</v>
      </c>
    </row>
    <row r="633" spans="1:10">
      <c r="A633" t="s">
        <v>153</v>
      </c>
      <c r="B633">
        <v>1</v>
      </c>
      <c r="D633" t="s">
        <v>3656</v>
      </c>
      <c r="E633" t="s">
        <v>3657</v>
      </c>
      <c r="F633" t="s">
        <v>193</v>
      </c>
      <c r="G633" t="s">
        <v>193</v>
      </c>
      <c r="H633" t="s">
        <v>3658</v>
      </c>
      <c r="I633" t="s">
        <v>3659</v>
      </c>
      <c r="J633">
        <v>40844342</v>
      </c>
    </row>
    <row r="634" spans="1:10">
      <c r="A634" t="s">
        <v>153</v>
      </c>
      <c r="B634">
        <v>1</v>
      </c>
      <c r="D634" t="s">
        <v>3656</v>
      </c>
      <c r="E634" t="s">
        <v>3657</v>
      </c>
      <c r="F634" t="s">
        <v>193</v>
      </c>
      <c r="G634" t="s">
        <v>193</v>
      </c>
      <c r="H634" t="s">
        <v>3660</v>
      </c>
      <c r="I634" t="s">
        <v>3661</v>
      </c>
      <c r="J634">
        <v>40844342</v>
      </c>
    </row>
    <row r="635" spans="1:10">
      <c r="A635" t="s">
        <v>153</v>
      </c>
      <c r="B635">
        <v>1</v>
      </c>
      <c r="D635" t="s">
        <v>3656</v>
      </c>
      <c r="E635" t="s">
        <v>3657</v>
      </c>
      <c r="F635" t="s">
        <v>193</v>
      </c>
      <c r="G635" t="s">
        <v>193</v>
      </c>
      <c r="H635" t="s">
        <v>3662</v>
      </c>
      <c r="I635" t="s">
        <v>3663</v>
      </c>
      <c r="J635">
        <v>40844342</v>
      </c>
    </row>
    <row r="636" spans="1:10">
      <c r="A636" t="s">
        <v>153</v>
      </c>
      <c r="B636">
        <v>1</v>
      </c>
      <c r="D636" t="s">
        <v>3656</v>
      </c>
      <c r="E636" t="s">
        <v>3657</v>
      </c>
      <c r="F636" t="s">
        <v>193</v>
      </c>
      <c r="G636" t="s">
        <v>193</v>
      </c>
      <c r="H636" t="s">
        <v>3664</v>
      </c>
      <c r="I636" t="s">
        <v>3665</v>
      </c>
      <c r="J636">
        <v>40844342</v>
      </c>
    </row>
    <row r="637" spans="1:10">
      <c r="A637" t="s">
        <v>153</v>
      </c>
      <c r="B637">
        <v>1</v>
      </c>
      <c r="D637" t="s">
        <v>3656</v>
      </c>
      <c r="E637" t="s">
        <v>3657</v>
      </c>
      <c r="F637" t="s">
        <v>3666</v>
      </c>
      <c r="G637" t="s">
        <v>193</v>
      </c>
      <c r="H637" t="s">
        <v>3667</v>
      </c>
      <c r="I637" t="s">
        <v>3668</v>
      </c>
      <c r="J637">
        <v>40844342</v>
      </c>
    </row>
    <row r="638" spans="1:10">
      <c r="A638" t="s">
        <v>153</v>
      </c>
      <c r="B638">
        <v>1</v>
      </c>
      <c r="D638" t="s">
        <v>3656</v>
      </c>
      <c r="E638" t="s">
        <v>3657</v>
      </c>
      <c r="F638" t="s">
        <v>3666</v>
      </c>
      <c r="G638" t="s">
        <v>193</v>
      </c>
      <c r="H638" t="s">
        <v>3669</v>
      </c>
      <c r="I638" t="s">
        <v>3670</v>
      </c>
      <c r="J638">
        <v>40844342</v>
      </c>
    </row>
    <row r="639" spans="1:10">
      <c r="A639" t="s">
        <v>153</v>
      </c>
      <c r="B639">
        <v>1</v>
      </c>
      <c r="D639" t="s">
        <v>3656</v>
      </c>
      <c r="E639" t="s">
        <v>3657</v>
      </c>
      <c r="F639" t="s">
        <v>193</v>
      </c>
      <c r="G639" t="s">
        <v>193</v>
      </c>
      <c r="H639" t="s">
        <v>3671</v>
      </c>
      <c r="I639" t="s">
        <v>3672</v>
      </c>
      <c r="J639">
        <v>40844342</v>
      </c>
    </row>
    <row r="640" spans="1:10">
      <c r="A640" t="s">
        <v>153</v>
      </c>
      <c r="B640">
        <v>0</v>
      </c>
      <c r="E640" t="s">
        <v>3655</v>
      </c>
      <c r="I640" t="s">
        <v>3673</v>
      </c>
      <c r="J640">
        <v>40844342</v>
      </c>
    </row>
    <row r="641" spans="1:10">
      <c r="A641" t="s">
        <v>153</v>
      </c>
      <c r="B641">
        <v>1</v>
      </c>
      <c r="D641" t="s">
        <v>3673</v>
      </c>
      <c r="E641" t="s">
        <v>3674</v>
      </c>
      <c r="F641" t="s">
        <v>3675</v>
      </c>
      <c r="G641" t="s">
        <v>193</v>
      </c>
      <c r="H641" t="s">
        <v>3676</v>
      </c>
      <c r="I641" t="s">
        <v>3677</v>
      </c>
      <c r="J641">
        <v>40844342</v>
      </c>
    </row>
    <row r="642" spans="1:10">
      <c r="A642" t="s">
        <v>155</v>
      </c>
      <c r="B642">
        <v>0</v>
      </c>
      <c r="E642" t="s">
        <v>3655</v>
      </c>
      <c r="I642" t="s">
        <v>3656</v>
      </c>
      <c r="J642">
        <v>40928686</v>
      </c>
    </row>
    <row r="643" spans="1:10">
      <c r="A643" t="s">
        <v>155</v>
      </c>
      <c r="B643">
        <v>1</v>
      </c>
      <c r="D643" t="s">
        <v>3656</v>
      </c>
      <c r="E643" t="s">
        <v>3657</v>
      </c>
      <c r="F643" t="s">
        <v>193</v>
      </c>
      <c r="G643" t="s">
        <v>193</v>
      </c>
      <c r="H643" t="s">
        <v>3658</v>
      </c>
      <c r="I643" t="s">
        <v>3659</v>
      </c>
      <c r="J643">
        <v>40928686</v>
      </c>
    </row>
    <row r="644" spans="1:10">
      <c r="A644" t="s">
        <v>155</v>
      </c>
      <c r="B644">
        <v>1</v>
      </c>
      <c r="D644" t="s">
        <v>3656</v>
      </c>
      <c r="E644" t="s">
        <v>3657</v>
      </c>
      <c r="F644" t="s">
        <v>193</v>
      </c>
      <c r="G644" t="s">
        <v>193</v>
      </c>
      <c r="H644" t="s">
        <v>3660</v>
      </c>
      <c r="I644" t="s">
        <v>3661</v>
      </c>
      <c r="J644">
        <v>40928686</v>
      </c>
    </row>
    <row r="645" spans="1:10">
      <c r="A645" t="s">
        <v>155</v>
      </c>
      <c r="B645">
        <v>1</v>
      </c>
      <c r="D645" t="s">
        <v>3656</v>
      </c>
      <c r="E645" t="s">
        <v>3657</v>
      </c>
      <c r="F645" t="s">
        <v>193</v>
      </c>
      <c r="G645" t="s">
        <v>193</v>
      </c>
      <c r="H645" t="s">
        <v>3662</v>
      </c>
      <c r="I645" t="s">
        <v>3663</v>
      </c>
      <c r="J645">
        <v>40928686</v>
      </c>
    </row>
    <row r="646" spans="1:10">
      <c r="A646" t="s">
        <v>155</v>
      </c>
      <c r="B646">
        <v>1</v>
      </c>
      <c r="D646" t="s">
        <v>3656</v>
      </c>
      <c r="E646" t="s">
        <v>3657</v>
      </c>
      <c r="F646" t="s">
        <v>193</v>
      </c>
      <c r="G646" t="s">
        <v>193</v>
      </c>
      <c r="H646" t="s">
        <v>3664</v>
      </c>
      <c r="I646" t="s">
        <v>3665</v>
      </c>
      <c r="J646">
        <v>40928686</v>
      </c>
    </row>
    <row r="647" spans="1:10">
      <c r="A647" t="s">
        <v>155</v>
      </c>
      <c r="B647">
        <v>1</v>
      </c>
      <c r="D647" t="s">
        <v>3656</v>
      </c>
      <c r="E647" t="s">
        <v>3657</v>
      </c>
      <c r="F647" t="s">
        <v>3666</v>
      </c>
      <c r="G647" t="s">
        <v>193</v>
      </c>
      <c r="H647" t="s">
        <v>3667</v>
      </c>
      <c r="I647" t="s">
        <v>3668</v>
      </c>
      <c r="J647">
        <v>40928686</v>
      </c>
    </row>
    <row r="648" spans="1:10">
      <c r="A648" t="s">
        <v>155</v>
      </c>
      <c r="B648">
        <v>1</v>
      </c>
      <c r="D648" t="s">
        <v>3656</v>
      </c>
      <c r="E648" t="s">
        <v>3657</v>
      </c>
      <c r="F648" t="s">
        <v>3666</v>
      </c>
      <c r="G648" t="s">
        <v>193</v>
      </c>
      <c r="H648" t="s">
        <v>3669</v>
      </c>
      <c r="I648" t="s">
        <v>3670</v>
      </c>
      <c r="J648">
        <v>40928686</v>
      </c>
    </row>
    <row r="649" spans="1:10">
      <c r="A649" t="s">
        <v>155</v>
      </c>
      <c r="B649">
        <v>1</v>
      </c>
      <c r="D649" t="s">
        <v>3656</v>
      </c>
      <c r="E649" t="s">
        <v>3657</v>
      </c>
      <c r="F649" t="s">
        <v>193</v>
      </c>
      <c r="G649" t="s">
        <v>193</v>
      </c>
      <c r="H649" t="s">
        <v>3671</v>
      </c>
      <c r="I649" t="s">
        <v>3672</v>
      </c>
      <c r="J649">
        <v>40928686</v>
      </c>
    </row>
    <row r="650" spans="1:10">
      <c r="A650" t="s">
        <v>155</v>
      </c>
      <c r="B650">
        <v>0</v>
      </c>
      <c r="E650" t="s">
        <v>3655</v>
      </c>
      <c r="I650" t="s">
        <v>3673</v>
      </c>
      <c r="J650">
        <v>40928686</v>
      </c>
    </row>
    <row r="651" spans="1:10">
      <c r="A651" t="s">
        <v>155</v>
      </c>
      <c r="B651">
        <v>1</v>
      </c>
      <c r="D651" t="s">
        <v>3673</v>
      </c>
      <c r="E651" t="s">
        <v>3674</v>
      </c>
      <c r="F651" t="s">
        <v>3675</v>
      </c>
      <c r="G651" t="s">
        <v>193</v>
      </c>
      <c r="H651" t="s">
        <v>3676</v>
      </c>
      <c r="I651" t="s">
        <v>3677</v>
      </c>
      <c r="J651">
        <v>40928686</v>
      </c>
    </row>
    <row r="652" spans="1:10">
      <c r="A652" t="s">
        <v>162</v>
      </c>
      <c r="B652">
        <v>0</v>
      </c>
      <c r="E652" t="s">
        <v>3655</v>
      </c>
      <c r="I652" t="s">
        <v>3656</v>
      </c>
      <c r="J652">
        <v>40820916</v>
      </c>
    </row>
    <row r="653" spans="1:10">
      <c r="A653" t="s">
        <v>162</v>
      </c>
      <c r="B653">
        <v>1</v>
      </c>
      <c r="D653" t="s">
        <v>3656</v>
      </c>
      <c r="E653" t="s">
        <v>3657</v>
      </c>
      <c r="F653" t="s">
        <v>193</v>
      </c>
      <c r="G653" t="s">
        <v>193</v>
      </c>
      <c r="H653" t="s">
        <v>3658</v>
      </c>
      <c r="I653" t="s">
        <v>3659</v>
      </c>
      <c r="J653">
        <v>40820916</v>
      </c>
    </row>
    <row r="654" spans="1:10">
      <c r="A654" t="s">
        <v>162</v>
      </c>
      <c r="B654">
        <v>1</v>
      </c>
      <c r="D654" t="s">
        <v>3656</v>
      </c>
      <c r="E654" t="s">
        <v>3657</v>
      </c>
      <c r="F654" t="s">
        <v>193</v>
      </c>
      <c r="G654" t="s">
        <v>193</v>
      </c>
      <c r="H654" t="s">
        <v>3660</v>
      </c>
      <c r="I654" t="s">
        <v>3661</v>
      </c>
      <c r="J654">
        <v>40820916</v>
      </c>
    </row>
    <row r="655" spans="1:10">
      <c r="A655" t="s">
        <v>162</v>
      </c>
      <c r="B655">
        <v>1</v>
      </c>
      <c r="D655" t="s">
        <v>3656</v>
      </c>
      <c r="E655" t="s">
        <v>3657</v>
      </c>
      <c r="F655" t="s">
        <v>193</v>
      </c>
      <c r="G655" t="s">
        <v>193</v>
      </c>
      <c r="H655" t="s">
        <v>3662</v>
      </c>
      <c r="I655" t="s">
        <v>3663</v>
      </c>
      <c r="J655">
        <v>40820916</v>
      </c>
    </row>
    <row r="656" spans="1:10">
      <c r="A656" t="s">
        <v>162</v>
      </c>
      <c r="B656">
        <v>1</v>
      </c>
      <c r="D656" t="s">
        <v>3656</v>
      </c>
      <c r="E656" t="s">
        <v>3657</v>
      </c>
      <c r="F656" t="s">
        <v>193</v>
      </c>
      <c r="G656" t="s">
        <v>193</v>
      </c>
      <c r="H656" t="s">
        <v>3664</v>
      </c>
      <c r="I656" t="s">
        <v>3665</v>
      </c>
      <c r="J656">
        <v>40820916</v>
      </c>
    </row>
    <row r="657" spans="1:10">
      <c r="A657" t="s">
        <v>162</v>
      </c>
      <c r="B657">
        <v>1</v>
      </c>
      <c r="D657" t="s">
        <v>3656</v>
      </c>
      <c r="E657" t="s">
        <v>3657</v>
      </c>
      <c r="F657" t="s">
        <v>3666</v>
      </c>
      <c r="G657" t="s">
        <v>193</v>
      </c>
      <c r="H657" t="s">
        <v>3667</v>
      </c>
      <c r="I657" t="s">
        <v>3668</v>
      </c>
      <c r="J657">
        <v>40820916</v>
      </c>
    </row>
    <row r="658" spans="1:10">
      <c r="A658" t="s">
        <v>162</v>
      </c>
      <c r="B658">
        <v>1</v>
      </c>
      <c r="D658" t="s">
        <v>3656</v>
      </c>
      <c r="E658" t="s">
        <v>3657</v>
      </c>
      <c r="F658" t="s">
        <v>3666</v>
      </c>
      <c r="G658" t="s">
        <v>193</v>
      </c>
      <c r="H658" t="s">
        <v>3669</v>
      </c>
      <c r="I658" t="s">
        <v>3670</v>
      </c>
      <c r="J658">
        <v>40820916</v>
      </c>
    </row>
    <row r="659" spans="1:10">
      <c r="A659" t="s">
        <v>162</v>
      </c>
      <c r="B659">
        <v>1</v>
      </c>
      <c r="D659" t="s">
        <v>3656</v>
      </c>
      <c r="E659" t="s">
        <v>3657</v>
      </c>
      <c r="F659" t="s">
        <v>193</v>
      </c>
      <c r="G659" t="s">
        <v>193</v>
      </c>
      <c r="H659" t="s">
        <v>3671</v>
      </c>
      <c r="I659" t="s">
        <v>3672</v>
      </c>
      <c r="J659">
        <v>40820916</v>
      </c>
    </row>
    <row r="660" spans="1:10">
      <c r="A660" t="s">
        <v>162</v>
      </c>
      <c r="B660">
        <v>0</v>
      </c>
      <c r="E660" t="s">
        <v>3655</v>
      </c>
      <c r="I660" t="s">
        <v>3673</v>
      </c>
      <c r="J660">
        <v>40820916</v>
      </c>
    </row>
    <row r="661" spans="1:10">
      <c r="A661" t="s">
        <v>162</v>
      </c>
      <c r="B661">
        <v>1</v>
      </c>
      <c r="D661" t="s">
        <v>3673</v>
      </c>
      <c r="E661" t="s">
        <v>3674</v>
      </c>
      <c r="F661" t="s">
        <v>3675</v>
      </c>
      <c r="G661" t="s">
        <v>193</v>
      </c>
      <c r="H661" t="s">
        <v>3676</v>
      </c>
      <c r="I661" t="s">
        <v>3677</v>
      </c>
      <c r="J661">
        <v>40820916</v>
      </c>
    </row>
    <row r="662" spans="1:10">
      <c r="A662" t="s">
        <v>164</v>
      </c>
      <c r="B662">
        <v>0</v>
      </c>
      <c r="E662" t="s">
        <v>3655</v>
      </c>
      <c r="I662" t="s">
        <v>3656</v>
      </c>
      <c r="J662">
        <v>40817026</v>
      </c>
    </row>
    <row r="663" spans="1:10">
      <c r="A663" t="s">
        <v>164</v>
      </c>
      <c r="B663">
        <v>1</v>
      </c>
      <c r="D663" t="s">
        <v>3656</v>
      </c>
      <c r="E663" t="s">
        <v>3657</v>
      </c>
      <c r="F663" t="s">
        <v>193</v>
      </c>
      <c r="G663" t="s">
        <v>193</v>
      </c>
      <c r="H663" t="s">
        <v>3658</v>
      </c>
      <c r="I663" t="s">
        <v>3659</v>
      </c>
      <c r="J663">
        <v>40817026</v>
      </c>
    </row>
    <row r="664" spans="1:10">
      <c r="A664" t="s">
        <v>164</v>
      </c>
      <c r="B664">
        <v>1</v>
      </c>
      <c r="D664" t="s">
        <v>3656</v>
      </c>
      <c r="E664" t="s">
        <v>3657</v>
      </c>
      <c r="F664" t="s">
        <v>193</v>
      </c>
      <c r="G664" t="s">
        <v>193</v>
      </c>
      <c r="H664" t="s">
        <v>3660</v>
      </c>
      <c r="I664" t="s">
        <v>3661</v>
      </c>
      <c r="J664">
        <v>40817026</v>
      </c>
    </row>
    <row r="665" spans="1:10">
      <c r="A665" t="s">
        <v>164</v>
      </c>
      <c r="B665">
        <v>1</v>
      </c>
      <c r="D665" t="s">
        <v>3656</v>
      </c>
      <c r="E665" t="s">
        <v>3657</v>
      </c>
      <c r="F665" t="s">
        <v>193</v>
      </c>
      <c r="G665" t="s">
        <v>193</v>
      </c>
      <c r="H665" t="s">
        <v>3662</v>
      </c>
      <c r="I665" t="s">
        <v>3663</v>
      </c>
      <c r="J665">
        <v>40817026</v>
      </c>
    </row>
    <row r="666" spans="1:10">
      <c r="A666" t="s">
        <v>164</v>
      </c>
      <c r="B666">
        <v>1</v>
      </c>
      <c r="D666" t="s">
        <v>3656</v>
      </c>
      <c r="E666" t="s">
        <v>3657</v>
      </c>
      <c r="F666" t="s">
        <v>193</v>
      </c>
      <c r="G666" t="s">
        <v>193</v>
      </c>
      <c r="H666" t="s">
        <v>3664</v>
      </c>
      <c r="I666" t="s">
        <v>3665</v>
      </c>
      <c r="J666">
        <v>40817026</v>
      </c>
    </row>
    <row r="667" spans="1:10">
      <c r="A667" t="s">
        <v>164</v>
      </c>
      <c r="B667">
        <v>1</v>
      </c>
      <c r="D667" t="s">
        <v>3656</v>
      </c>
      <c r="E667" t="s">
        <v>3657</v>
      </c>
      <c r="F667" t="s">
        <v>3666</v>
      </c>
      <c r="G667" t="s">
        <v>193</v>
      </c>
      <c r="H667" t="s">
        <v>3667</v>
      </c>
      <c r="I667" t="s">
        <v>3668</v>
      </c>
      <c r="J667">
        <v>40817026</v>
      </c>
    </row>
    <row r="668" spans="1:10">
      <c r="A668" t="s">
        <v>164</v>
      </c>
      <c r="B668">
        <v>1</v>
      </c>
      <c r="D668" t="s">
        <v>3656</v>
      </c>
      <c r="E668" t="s">
        <v>3657</v>
      </c>
      <c r="F668" t="s">
        <v>3666</v>
      </c>
      <c r="G668" t="s">
        <v>193</v>
      </c>
      <c r="H668" t="s">
        <v>3669</v>
      </c>
      <c r="I668" t="s">
        <v>3670</v>
      </c>
      <c r="J668">
        <v>40817026</v>
      </c>
    </row>
    <row r="669" spans="1:10">
      <c r="A669" t="s">
        <v>164</v>
      </c>
      <c r="B669">
        <v>1</v>
      </c>
      <c r="D669" t="s">
        <v>3656</v>
      </c>
      <c r="E669" t="s">
        <v>3657</v>
      </c>
      <c r="F669" t="s">
        <v>193</v>
      </c>
      <c r="G669" t="s">
        <v>193</v>
      </c>
      <c r="H669" t="s">
        <v>3671</v>
      </c>
      <c r="I669" t="s">
        <v>3672</v>
      </c>
      <c r="J669">
        <v>40817026</v>
      </c>
    </row>
    <row r="670" spans="1:10">
      <c r="A670" t="s">
        <v>164</v>
      </c>
      <c r="B670">
        <v>0</v>
      </c>
      <c r="E670" t="s">
        <v>3655</v>
      </c>
      <c r="I670" t="s">
        <v>3673</v>
      </c>
      <c r="J670">
        <v>40817026</v>
      </c>
    </row>
    <row r="671" spans="1:10">
      <c r="A671" t="s">
        <v>164</v>
      </c>
      <c r="B671">
        <v>1</v>
      </c>
      <c r="D671" t="s">
        <v>3673</v>
      </c>
      <c r="E671" t="s">
        <v>3674</v>
      </c>
      <c r="F671" t="s">
        <v>3675</v>
      </c>
      <c r="G671" t="s">
        <v>193</v>
      </c>
      <c r="H671" t="s">
        <v>3676</v>
      </c>
      <c r="I671" t="s">
        <v>3677</v>
      </c>
      <c r="J671">
        <v>40817026</v>
      </c>
    </row>
    <row r="672" spans="1:10">
      <c r="A672" t="s">
        <v>166</v>
      </c>
      <c r="B672">
        <v>0</v>
      </c>
      <c r="E672" t="s">
        <v>3655</v>
      </c>
      <c r="I672" t="s">
        <v>3656</v>
      </c>
      <c r="J672">
        <v>41091081</v>
      </c>
    </row>
    <row r="673" spans="1:10">
      <c r="A673" t="s">
        <v>166</v>
      </c>
      <c r="B673">
        <v>1</v>
      </c>
      <c r="D673" t="s">
        <v>3656</v>
      </c>
      <c r="E673" t="s">
        <v>3657</v>
      </c>
      <c r="F673" t="s">
        <v>193</v>
      </c>
      <c r="G673" t="s">
        <v>193</v>
      </c>
      <c r="H673" t="s">
        <v>3658</v>
      </c>
      <c r="I673" t="s">
        <v>3659</v>
      </c>
      <c r="J673">
        <v>41091081</v>
      </c>
    </row>
    <row r="674" spans="1:10">
      <c r="A674" t="s">
        <v>166</v>
      </c>
      <c r="B674">
        <v>1</v>
      </c>
      <c r="D674" t="s">
        <v>3656</v>
      </c>
      <c r="E674" t="s">
        <v>3657</v>
      </c>
      <c r="F674" t="s">
        <v>193</v>
      </c>
      <c r="G674" t="s">
        <v>193</v>
      </c>
      <c r="H674" t="s">
        <v>3660</v>
      </c>
      <c r="I674" t="s">
        <v>3661</v>
      </c>
      <c r="J674">
        <v>41091081</v>
      </c>
    </row>
    <row r="675" spans="1:10">
      <c r="A675" t="s">
        <v>166</v>
      </c>
      <c r="B675">
        <v>1</v>
      </c>
      <c r="D675" t="s">
        <v>3656</v>
      </c>
      <c r="E675" t="s">
        <v>3657</v>
      </c>
      <c r="F675" t="s">
        <v>193</v>
      </c>
      <c r="G675" t="s">
        <v>193</v>
      </c>
      <c r="H675" t="s">
        <v>3662</v>
      </c>
      <c r="I675" t="s">
        <v>3663</v>
      </c>
      <c r="J675">
        <v>41091081</v>
      </c>
    </row>
    <row r="676" spans="1:10">
      <c r="A676" t="s">
        <v>166</v>
      </c>
      <c r="B676">
        <v>1</v>
      </c>
      <c r="D676" t="s">
        <v>3656</v>
      </c>
      <c r="E676" t="s">
        <v>3657</v>
      </c>
      <c r="F676" t="s">
        <v>193</v>
      </c>
      <c r="G676" t="s">
        <v>193</v>
      </c>
      <c r="H676" t="s">
        <v>3664</v>
      </c>
      <c r="I676" t="s">
        <v>3665</v>
      </c>
      <c r="J676">
        <v>41091081</v>
      </c>
    </row>
    <row r="677" spans="1:10">
      <c r="A677" t="s">
        <v>166</v>
      </c>
      <c r="B677">
        <v>1</v>
      </c>
      <c r="D677" t="s">
        <v>3656</v>
      </c>
      <c r="E677" t="s">
        <v>3657</v>
      </c>
      <c r="F677" t="s">
        <v>3666</v>
      </c>
      <c r="G677" t="s">
        <v>193</v>
      </c>
      <c r="H677" t="s">
        <v>3667</v>
      </c>
      <c r="I677" t="s">
        <v>3668</v>
      </c>
      <c r="J677">
        <v>41091081</v>
      </c>
    </row>
    <row r="678" spans="1:10">
      <c r="A678" t="s">
        <v>166</v>
      </c>
      <c r="B678">
        <v>1</v>
      </c>
      <c r="D678" t="s">
        <v>3656</v>
      </c>
      <c r="E678" t="s">
        <v>3657</v>
      </c>
      <c r="F678" t="s">
        <v>3666</v>
      </c>
      <c r="G678" t="s">
        <v>193</v>
      </c>
      <c r="H678" t="s">
        <v>3669</v>
      </c>
      <c r="I678" t="s">
        <v>3670</v>
      </c>
      <c r="J678">
        <v>41091081</v>
      </c>
    </row>
    <row r="679" spans="1:10">
      <c r="A679" t="s">
        <v>166</v>
      </c>
      <c r="B679">
        <v>1</v>
      </c>
      <c r="D679" t="s">
        <v>3656</v>
      </c>
      <c r="E679" t="s">
        <v>3657</v>
      </c>
      <c r="F679" t="s">
        <v>193</v>
      </c>
      <c r="G679" t="s">
        <v>193</v>
      </c>
      <c r="H679" t="s">
        <v>3671</v>
      </c>
      <c r="I679" t="s">
        <v>3672</v>
      </c>
      <c r="J679">
        <v>41091081</v>
      </c>
    </row>
    <row r="680" spans="1:10">
      <c r="A680" t="s">
        <v>166</v>
      </c>
      <c r="B680">
        <v>0</v>
      </c>
      <c r="E680" t="s">
        <v>3655</v>
      </c>
      <c r="I680" t="s">
        <v>3673</v>
      </c>
      <c r="J680">
        <v>41091081</v>
      </c>
    </row>
    <row r="681" spans="1:10">
      <c r="A681" t="s">
        <v>166</v>
      </c>
      <c r="B681">
        <v>1</v>
      </c>
      <c r="D681" t="s">
        <v>3673</v>
      </c>
      <c r="E681" t="s">
        <v>3674</v>
      </c>
      <c r="F681" t="s">
        <v>3675</v>
      </c>
      <c r="G681" t="s">
        <v>193</v>
      </c>
      <c r="H681" t="s">
        <v>3676</v>
      </c>
      <c r="I681" t="s">
        <v>3677</v>
      </c>
      <c r="J681">
        <v>41091081</v>
      </c>
    </row>
    <row r="682" spans="1:10">
      <c r="A682" t="s">
        <v>168</v>
      </c>
      <c r="B682">
        <v>0</v>
      </c>
      <c r="E682" t="s">
        <v>3655</v>
      </c>
      <c r="I682" t="s">
        <v>3656</v>
      </c>
      <c r="J682">
        <v>41061934</v>
      </c>
    </row>
    <row r="683" spans="1:10">
      <c r="A683" t="s">
        <v>168</v>
      </c>
      <c r="B683">
        <v>1</v>
      </c>
      <c r="D683" t="s">
        <v>3656</v>
      </c>
      <c r="E683" t="s">
        <v>3657</v>
      </c>
      <c r="F683" t="s">
        <v>193</v>
      </c>
      <c r="G683" t="s">
        <v>193</v>
      </c>
      <c r="H683" t="s">
        <v>3658</v>
      </c>
      <c r="I683" t="s">
        <v>3659</v>
      </c>
      <c r="J683">
        <v>41061934</v>
      </c>
    </row>
    <row r="684" spans="1:10">
      <c r="A684" t="s">
        <v>168</v>
      </c>
      <c r="B684">
        <v>1</v>
      </c>
      <c r="D684" t="s">
        <v>3656</v>
      </c>
      <c r="E684" t="s">
        <v>3657</v>
      </c>
      <c r="F684" t="s">
        <v>193</v>
      </c>
      <c r="G684" t="s">
        <v>193</v>
      </c>
      <c r="H684" t="s">
        <v>3660</v>
      </c>
      <c r="I684" t="s">
        <v>3661</v>
      </c>
      <c r="J684">
        <v>41061934</v>
      </c>
    </row>
    <row r="685" spans="1:10">
      <c r="A685" t="s">
        <v>168</v>
      </c>
      <c r="B685">
        <v>1</v>
      </c>
      <c r="D685" t="s">
        <v>3656</v>
      </c>
      <c r="E685" t="s">
        <v>3657</v>
      </c>
      <c r="F685" t="s">
        <v>193</v>
      </c>
      <c r="G685" t="s">
        <v>193</v>
      </c>
      <c r="H685" t="s">
        <v>3662</v>
      </c>
      <c r="I685" t="s">
        <v>3663</v>
      </c>
      <c r="J685">
        <v>41061934</v>
      </c>
    </row>
    <row r="686" spans="1:10">
      <c r="A686" t="s">
        <v>168</v>
      </c>
      <c r="B686">
        <v>1</v>
      </c>
      <c r="D686" t="s">
        <v>3656</v>
      </c>
      <c r="E686" t="s">
        <v>3657</v>
      </c>
      <c r="F686" t="s">
        <v>193</v>
      </c>
      <c r="G686" t="s">
        <v>193</v>
      </c>
      <c r="H686" t="s">
        <v>3664</v>
      </c>
      <c r="I686" t="s">
        <v>3665</v>
      </c>
      <c r="J686">
        <v>41061934</v>
      </c>
    </row>
    <row r="687" spans="1:10">
      <c r="A687" t="s">
        <v>168</v>
      </c>
      <c r="B687">
        <v>1</v>
      </c>
      <c r="D687" t="s">
        <v>3656</v>
      </c>
      <c r="E687" t="s">
        <v>3657</v>
      </c>
      <c r="F687" t="s">
        <v>3666</v>
      </c>
      <c r="G687" t="s">
        <v>193</v>
      </c>
      <c r="H687" t="s">
        <v>3667</v>
      </c>
      <c r="I687" t="s">
        <v>3668</v>
      </c>
      <c r="J687">
        <v>41061934</v>
      </c>
    </row>
    <row r="688" spans="1:10">
      <c r="A688" t="s">
        <v>168</v>
      </c>
      <c r="B688">
        <v>1</v>
      </c>
      <c r="D688" t="s">
        <v>3656</v>
      </c>
      <c r="E688" t="s">
        <v>3657</v>
      </c>
      <c r="F688" t="s">
        <v>3666</v>
      </c>
      <c r="G688" t="s">
        <v>193</v>
      </c>
      <c r="H688" t="s">
        <v>3669</v>
      </c>
      <c r="I688" t="s">
        <v>3670</v>
      </c>
      <c r="J688">
        <v>41061934</v>
      </c>
    </row>
    <row r="689" spans="1:10">
      <c r="A689" t="s">
        <v>168</v>
      </c>
      <c r="B689">
        <v>1</v>
      </c>
      <c r="D689" t="s">
        <v>3656</v>
      </c>
      <c r="E689" t="s">
        <v>3657</v>
      </c>
      <c r="F689" t="s">
        <v>193</v>
      </c>
      <c r="G689" t="s">
        <v>193</v>
      </c>
      <c r="H689" t="s">
        <v>3671</v>
      </c>
      <c r="I689" t="s">
        <v>3672</v>
      </c>
      <c r="J689">
        <v>41061934</v>
      </c>
    </row>
    <row r="690" spans="1:10">
      <c r="A690" t="s">
        <v>168</v>
      </c>
      <c r="B690">
        <v>0</v>
      </c>
      <c r="E690" t="s">
        <v>3655</v>
      </c>
      <c r="I690" t="s">
        <v>3673</v>
      </c>
      <c r="J690">
        <v>41061934</v>
      </c>
    </row>
    <row r="691" spans="1:10">
      <c r="A691" t="s">
        <v>168</v>
      </c>
      <c r="B691">
        <v>1</v>
      </c>
      <c r="D691" t="s">
        <v>3673</v>
      </c>
      <c r="E691" t="s">
        <v>3674</v>
      </c>
      <c r="F691" t="s">
        <v>3675</v>
      </c>
      <c r="G691" t="s">
        <v>193</v>
      </c>
      <c r="H691" t="s">
        <v>3676</v>
      </c>
      <c r="I691" t="s">
        <v>3677</v>
      </c>
      <c r="J691">
        <v>41061934</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8</vt:i4>
      </vt:variant>
    </vt:vector>
  </HeadingPairs>
  <TitlesOfParts>
    <vt:vector size="8" baseType="lpstr">
      <vt:lpstr>목록 최종정리</vt:lpstr>
      <vt:lpstr>list_100</vt:lpstr>
      <vt:lpstr>vehicle_detail</vt:lpstr>
      <vt:lpstr>inspection_detail_raw</vt:lpstr>
      <vt:lpstr>seller_user</vt:lpstr>
      <vt:lpstr>inspection_items</vt:lpstr>
      <vt:lpstr>성능점검 이미지정보</vt:lpstr>
      <vt:lpstr>inspection_etcs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aiden nam</cp:lastModifiedBy>
  <dcterms:created xsi:type="dcterms:W3CDTF">2026-01-26T02:58:55Z</dcterms:created>
  <dcterms:modified xsi:type="dcterms:W3CDTF">2026-01-26T04:07:12Z</dcterms:modified>
</cp:coreProperties>
</file>